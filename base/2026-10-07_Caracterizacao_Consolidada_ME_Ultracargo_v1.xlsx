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tos claude code\Ultracargo_Avaliacao\07_Saidas_do_Claude\Planilhas_de_trabalho\"/>
    </mc:Choice>
  </mc:AlternateContent>
  <xr:revisionPtr revIDLastSave="0" documentId="13_ncr:2001_{E8D269F4-94FA-455E-8301-B1A971154F5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EIA-ME" sheetId="1" r:id="rId1"/>
    <sheet name="CARACTERIZACAO" sheetId="2" r:id="rId2"/>
    <sheet name="NF_ME" sheetId="3" r:id="rId3"/>
  </sheets>
  <definedNames>
    <definedName name="_xlnm._FilterDatabase" localSheetId="1" hidden="1">CARACTERIZACAO!$A$3:$U$161</definedName>
    <definedName name="_xlnm.Print_Titles" localSheetId="1">CARACTERIZACAO!$3:$3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Q163" i="2"/>
  <c r="P163" i="2"/>
  <c r="R139" i="2"/>
  <c r="R135" i="2"/>
  <c r="R50" i="2"/>
  <c r="R47" i="2"/>
  <c r="R45" i="2"/>
  <c r="R42" i="2"/>
  <c r="R39" i="2"/>
  <c r="R37" i="2"/>
  <c r="R33" i="2"/>
  <c r="R30" i="2"/>
  <c r="R27" i="2"/>
  <c r="R25" i="2"/>
  <c r="R12" i="2"/>
  <c r="R11" i="2"/>
  <c r="R7" i="2"/>
  <c r="R4" i="2"/>
  <c r="R163" i="2" l="1"/>
  <c r="F30" i="3"/>
  <c r="F29" i="3"/>
</calcChain>
</file>

<file path=xl/sharedStrings.xml><?xml version="1.0" encoding="utf-8"?>
<sst xmlns="http://schemas.openxmlformats.org/spreadsheetml/2006/main" count="2301" uniqueCount="1116">
  <si>
    <t>Caracterização consolidada de M&amp;E – Ultracargo Palmeirante-TO (07/10/2026)</t>
  </si>
  <si>
    <t>Cores do texto (descrição e colunas de dados):</t>
  </si>
  <si>
    <t>Preto – crítica de orçamento M&amp;E de 05/11/2024 (RT GEREN/COSAN 2024/189): descrição, quantidade, preços, fornecedor, Finame.</t>
  </si>
  <si>
    <t>Vermelho – relação de notas fiscais de M&amp;E do relatório de comprovação RT0538/2025 (nº, data, emitente, CNPJ, descrição resumida, valor).</t>
  </si>
  <si>
    <t>Verde – inventário Ultracargo: Base de Ativos Palmeirante (seleção SAP) – local de instalação, descrição, nº do equipamento, código ABC.</t>
  </si>
  <si>
    <t>Amarelo – listas de projeto: LI-3100-6105 (lista de linhas), LI-3100-6107 (itens especiais), LI-3100-7700 (equipamentos de segurança), DE-3100-5100 (arranjo), as-built do eletrocentro DE-3100-4300-014 e proposta VOLGA 20230138 rev. 6A.</t>
  </si>
  <si>
    <t>Azul – leitura de placa em campo (vistorias de 15, 17 e 18/09/2026 e fotos de terceiros) e relatório fotográfico da ANP de 11/04/2025.</t>
  </si>
  <si>
    <t>Estrutura: uma linha CONJUNTO por linha da crítica (22 linhas, total R$ 16.576.852,44) e, abaixo, uma linha COMPONENTE por equipamento ou parte identificada. GRUPO = NF que cobre várias linhas (14 e 15-17). As somas usam só CONJUNTO e GRUPO.</t>
  </si>
  <si>
    <t>NF por linha: a NF descreve o conjunto; as linhas de componente apontam para a NF do conjunto. Onde uma NF cobre várias linhas, a coluna "Base da atribuição" diz como foi feita (exata, decomposição aritmética, indício por descrição).</t>
  </si>
  <si>
    <t>Achado novo: as NFs KSB 34370 e 34511 decompõem-se de forma única pelos preços unitários da crítica – 34370 = 10 un. da linha 4 + linhas 5, 12 e 13; 34511 = 2 un. da linha 4 + linhas 6, 7, 8, 9 e 10. A NF 543048 fica como a linha 11.</t>
  </si>
  <si>
    <t>Achado novo: a placa KSB da B-3101 A (ANP Fig. 184) traz "Ano 07/02/2025", "RC30376" e rotor Ø465 mm – posterior à NF de 05/04/2024.</t>
  </si>
  <si>
    <t>Achado novo: as dimensões dos selos batem com as placas dos tanques – linha 15 = TQ-3103/3104; linha 16 = TQ-3109/3110; linha 17 = 2 dos 3 tanques TQ-3111/3112/3113.</t>
  </si>
  <si>
    <t>Achado novo: B-31100 = sistema de pressurização dos chuveiros de emergência (LI-3100-6107: Q 10 m³/h, AMT 57 mca, 7,5 cv), igual à placa.</t>
  </si>
  <si>
    <t>Achado novo: projeto (HC, descarga), SAP ("DESCARREG", PTM-10) e ANP Fig. 175-178 indicam que as duas bombas do skid de descarga 14d são as B-3124/B-3125 da linha 13 – possível dupla contagem (NF KSB 34370 × NF PHD 1551).</t>
  </si>
  <si>
    <t>Limites: a relação de NFs do RT0538 traz só descrição resumida (sem itens, NCM e quantidades); o detalhamento depende dos XMLs. A base SAP é a seleção enviada (não tem skids, instrumentos, selos, Megaflow nem B-31100). Não há lista de equipamentos Metroval no dossiê.</t>
  </si>
  <si>
    <t>Ilegível ou não lido fica registrado como "não lido"; nenhuma leitura de campo foi ajustada para bater com documento – divergências estão na coluna de observação.</t>
  </si>
  <si>
    <t>Caracterização consolidada de Máquinas e Equipamentos – Ultracargo Palmeirante-TO (crítica 05/11/2024 × NFs do RT0538 × base SAP × listas de projeto × campo/ANP) – posição 07/10/2026</t>
  </si>
  <si>
    <t>Cores do texto: preto = crítica de orçamento | vermelho = relação de notas fiscais (RT0538) | verde = inventário SAP (Base de Ativos) | amarelo = listas de projeto (LI/LM/DE, as-built, proposta) | azul = leitura de placa em campo, terceiros ou ANP. Valores: só as linhas CONJUNTO e GRUPO entram nas somas.</t>
  </si>
  <si>
    <t>Linha da crítica</t>
  </si>
  <si>
    <t>Nível</t>
  </si>
  <si>
    <t>Item / TAG</t>
  </si>
  <si>
    <t>Descrição consolidada (preto = crítica | vermelho = NF | verde = inventário SAP | amarelo = listas de projeto | azul = placa/campo/ANP)</t>
  </si>
  <si>
    <t>Marca / fabricante</t>
  </si>
  <si>
    <t>Modelo</t>
  </si>
  <si>
    <t>Capacidade / dado de trabalho</t>
  </si>
  <si>
    <t>Nº de série / OP / ID</t>
  </si>
  <si>
    <t>TAG e nº equipamento SAP</t>
  </si>
  <si>
    <t>Fabricação</t>
  </si>
  <si>
    <t>NF nº</t>
  </si>
  <si>
    <t>Data da NF</t>
  </si>
  <si>
    <t>Fornecedor da NF (CNPJ)</t>
  </si>
  <si>
    <t>Qtd (crítica)</t>
  </si>
  <si>
    <t>Valor unitário crítica (R$)</t>
  </si>
  <si>
    <t>Valor total crítica (R$)</t>
  </si>
  <si>
    <t>Valor comprovado por NF (R$)</t>
  </si>
  <si>
    <t>Diferença NF − crítica (R$)</t>
  </si>
  <si>
    <t>Base da atribuição da NF</t>
  </si>
  <si>
    <t>Observação: leituras de campo (placas/OCR) e ANP × dados teóricos</t>
  </si>
  <si>
    <t>Fotos / fontes de campo</t>
  </si>
  <si>
    <t>1</t>
  </si>
  <si>
    <t>CONJUNTO</t>
  </si>
  <si>
    <t>Grupo gerador (GD-3101)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</si>
  <si>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Grupo gerador diesel, linha Global Lite, montado em contêiner, potência 575/506 kVA – 460/405 kWe (emergência/principal), trifásico, FP 0,8, 440/254 Vca, 60 Hz, funcionamento singelo e automático – 1 un. × R$ 393.500,00 = R$ 393.500,00; fornecedor Stemac SA Grupos Geradores; Finame 04105372.NF: NF 149420 de 15/12/2023 – STEMAC S.A. Grupos Geradores (CNPJ 92.753.269/0052-02): "GMG 0575KVA 440V 60HZ", R$ 393.500,00.SAP: GD-3101 GERADOR 01 – local BPAM-SELE-GER-01-01, equip. 000000123511, ABC A.</t>
    </r>
  </si>
  <si>
    <t>STEMAC (Global Lite – crítica)</t>
  </si>
  <si>
    <t>Motor Baudouin 6M21G460/6 + gerador WEG AG10 280MI30ZI</t>
  </si>
  <si>
    <t>575/506 kVA – 460/405 kWe, 440/254 V, 60 Hz (crítica); placa: ...506 kVA, 440 V, 754 A, 1800 rpm, 4.730 kg</t>
  </si>
  <si>
    <t>GMG nº 0575002423</t>
  </si>
  <si>
    <t>GD-3101 / 000000123511</t>
  </si>
  <si>
    <t>DEZ/2023</t>
  </si>
  <si>
    <t>149420</t>
  </si>
  <si>
    <t>15/12/2023</t>
  </si>
  <si>
    <t>STEMAC S.A. Grupos Geradores (92.753.269/0052-02)</t>
  </si>
  <si>
    <t>exata</t>
  </si>
  <si>
    <t>Placa STEMAC (fotos 0057-0058) confirma 440 V, 754 A, 60 Hz, 1800 rpm e potência "...506 kVA" (dígitos iniciais cortados), compatível com 506 kVA principal da crítica. Fabricação 12/2023 coerente com NF de 15/12/2023. A placa do conjunto traz o motor como s/n "123S001673" e a do motor "5123S001673" (dígito inicial) – mesma unidade. TAG não pintada em campo; SAP usa GD-3101. O catálogo do dossiê (Perkins 125 kVA) não corresponde a este bem. Sem imagem da ANP.</t>
  </si>
  <si>
    <t>0052-0060</t>
  </si>
  <si>
    <t>COMPONENTE</t>
  </si>
  <si>
    <t>Motor diesel do GMG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</si>
  <si>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Moteurs Baudouin (Weifang) – modelo 6M21G460/6, s/n 5123S001673, ordem DHM21D0052*01, 683 HP / 510 kW, 1800 rpm, diesel.</t>
    </r>
  </si>
  <si>
    <t>Baudouin (Weifang) Power</t>
  </si>
  <si>
    <t>6M21G460/6</t>
  </si>
  <si>
    <t>683 HP / 510 kW; 1800 rpm</t>
  </si>
  <si>
    <t>5123S001673 (ordem DHM21D0052*01)</t>
  </si>
  <si>
    <t>↑ GD-3101</t>
  </si>
  <si>
    <t>não lido</t>
  </si>
  <si>
    <t>↑ NF do conjunto</t>
  </si>
  <si>
    <t>510 kW de motor para 460 kWe de gerador (emergência) – relação coerente. Sem dado teórico próprio do motor (crítica/NF descrevem o conjunto).</t>
  </si>
  <si>
    <t>0052-0055</t>
  </si>
  <si>
    <t>Alternador (gerador) do GMG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</si>
  <si>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WEG AG10 280M(30Z) B15T, nº 1091387382, MAT 17548900, 11/2023.</t>
    </r>
  </si>
  <si>
    <t>WEG</t>
  </si>
  <si>
    <t>AG10280M(30Z) B15T</t>
  </si>
  <si>
    <t>não lido na placa do alternador (ver conjunto: 506 kVA)</t>
  </si>
  <si>
    <t>1091387382</t>
  </si>
  <si>
    <t>11/2023</t>
  </si>
  <si>
    <t>Nº de série confirmado na placa STEMAC do conjunto (recorte). Sem dado teórico próprio.</t>
  </si>
  <si>
    <t>0056, 0059, 0060</t>
  </si>
  <si>
    <t>2</t>
  </si>
  <si>
    <t>Bombas SCI B-3101 A e B-3101 B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</si>
  <si>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SCI – KSB megacpk 250-200-500 – 2 un. × R$ 407.600,52 = R$ 815.201,04; fornecedor KSB Brasil Ltda; Finame 03279333.NF: NF 526572 de 05/04/2024 – KSB Brasil Ltda (CNPJ 60.680.873/0001-14): "Conjunto bomba KSB", R$ 850.000,00 – cobre as linhas 2 e 3 (815.201,04 + 34.798,96 = 850.000,00).SAP: B-3101A e B-3101B BOMBA CENTRIFUGA (BPAM-SSCI-RDA-01-01 e -04-01; equip. 000000123885 e 000000123899; ABC B).Projeto: LI-3100-7700-001: B-3101 A/B bomba centrífuga, bomba principal do sistema de combate a incêndio, cód. Ultracargo 8000012941, casa de bombas (CBI), FD-3100-2500-021 / RM-3100-2500-005; LI-3100-6105: sucção 14" do TQ-3120 (água), recalque 12"; tanques de diesel TQ-3122/TQ-3123 (linhas 0201-0204).</t>
    </r>
  </si>
  <si>
    <t>KSB (bomba) / REVIMAQ (montagem do conjunto)</t>
  </si>
  <si>
    <t>MCPK 250-200-500 GG</t>
  </si>
  <si>
    <t>Q 650,12 m³/h; H 100,04 mca; 1800 rpm (ANP Fig. 184)</t>
  </si>
  <si>
    <t>OP M482301143 (A) / M482301144 (B)</t>
  </si>
  <si>
    <t>B-3101A / 000000123885; B-3101B / 000000123899</t>
  </si>
  <si>
    <t>2024 (B); placa da A: 07/02/2025</t>
  </si>
  <si>
    <t>526572</t>
  </si>
  <si>
    <t>05/04/2024</t>
  </si>
  <si>
    <t>KSB Brasil Ltda (60.680.873/0001-14)</t>
  </si>
  <si>
    <t>NF 526572 = linhas 2 + 3 (850.000,00 exatos); parcela da linha pelo valor da crítica</t>
  </si>
  <si>
    <t>Modelo 250-200-500 confirmado pela placa KSB (ANP Fig. 184). Em campo só foram lidas as plaquetas REVIMAQ do conjunto (03/2024) – as placas KSB e dos motores diesel não foram fotografadas legíveis (foto 0018 "motor MWM?" ilegível). ATENÇÃO: a placa KSB da B-3101 A traz "Ano 07/02/2025", "RC30376" e rotor Ø465 mm – data posterior à NF (05/04/2024); indica placa refeita ou intervenção (reparo/rebaixamento de rotor). Pedir explicação. Tanques de diesel de 1.000 L com etiquetas B-3101 A/B = TQ-3122/TQ-3123 do projeto.</t>
  </si>
  <si>
    <t>0041-0043, 1003-1010 | ANP Fig. 183, 184, 199</t>
  </si>
  <si>
    <t>B-3101A</t>
  </si>
  <si>
    <r>
      <rPr>
        <b/>
        <sz val="9"/>
        <color rgb="FF00703C"/>
        <rFont val="Arial"/>
      </rPr>
      <t xml:space="preserve">SAP: </t>
    </r>
    <r>
      <rPr>
        <sz val="9"/>
        <color rgb="FF00703C"/>
        <rFont val="Arial"/>
      </rPr>
      <t>B-3101A BOMBA CENTRIFUGA – local BPAM-SSCI-RDA-01-01, equip. 000000123885, ABC B.Placa/campo: REVIMAQ ORC 77532 / OS 63419 / OV 9975318361-000100, 03/2024, 220 VCA / 12 VCC; ANP Fig. 184: KSB MCPK 250-200-500 GG, OP M482301143, Q 650,12 m³/h, H 100,04 mca, 1800 rpm, Ø465 mm, RC30376, ano 07/02/2025.</t>
    </r>
  </si>
  <si>
    <t>KSB / REVIMAQ</t>
  </si>
  <si>
    <t>Q 650,12 m³/h; H 100,04 mca; 1800 rpm</t>
  </si>
  <si>
    <t>OP M482301143</t>
  </si>
  <si>
    <t>B-3101A / 000000123885</t>
  </si>
  <si>
    <t>07/02/2025 (placa KSB) / 03/2024 (REVIMAQ)</t>
  </si>
  <si>
    <t>Campo: "bomba principal de incêndio". Projeto e SAP: bomba principal do SCI. Dados KSB só na ANP; motor diesel sem placa lida. Placa KSB com data 07/02/2025 posterior à NF.</t>
  </si>
  <si>
    <t>0042 | ANP Fig. 184</t>
  </si>
  <si>
    <t>B-3101B</t>
  </si>
  <si>
    <r>
      <rPr>
        <b/>
        <sz val="9"/>
        <color rgb="FF00703C"/>
        <rFont val="Arial"/>
      </rPr>
      <t xml:space="preserve">SAP: </t>
    </r>
    <r>
      <rPr>
        <sz val="9"/>
        <color rgb="FF00703C"/>
        <rFont val="Arial"/>
      </rPr>
      <t>B-3101B BOMBA CENTRIFUGA – local BPAM-SSCI-RDA-04-01, equip. 000000123899, ABC B.Placa/campo: REVIMAQ ORC 77533 / OS 63420 / OV 9975318361-100, 03/2024, 220 VCA / 12 VCC; ANP Fig. 184: KSB MCPK 250-200-500 GG, OP M482301144, Q 650,12 m³/h, H 100,04 mca, 1800 rpm, 470 kg, 2024.</t>
    </r>
  </si>
  <si>
    <t>OP M482301144</t>
  </si>
  <si>
    <t>B-3101B / 000000123899</t>
  </si>
  <si>
    <t>2024 (KSB) / 03/2024 (REVIMAQ)</t>
  </si>
  <si>
    <t>Campo: "bomba de incêndio (diesel)". Projeto e SAP: bomba principal do SCI. Dados KSB só na ANP; motor diesel sem placa lida.</t>
  </si>
  <si>
    <t>0043 | ANP Fig. 184</t>
  </si>
  <si>
    <t>TQ-3122 / TQ-3123 (tanques diesel das motobombas)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</si>
  <si>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LI-3100-6105: linhas 0201-0204 de 3/4" ligando TQ-3123 ↔ B-3101A e TQ-3122 ↔ B-3101B (óleo diesel).Placa/campo: tanques de 1.000 L com adesivo KSB e etiquetas B-3101 A / B-3101 B (lote 3).</t>
    </r>
  </si>
  <si>
    <t>KSB (adesivo)</t>
  </si>
  <si>
    <t>-</t>
  </si>
  <si>
    <t>1.000 L cada</t>
  </si>
  <si>
    <t>sem plaqueta</t>
  </si>
  <si>
    <t>não consta na base SAP (seleção)</t>
  </si>
  <si>
    <t>Acessório do conjunto motobomba (combustível). Coerente com o projeto. ANP Fig. 199.</t>
  </si>
  <si>
    <t>1003-1010 | ANP Fig. 199</t>
  </si>
  <si>
    <t>3</t>
  </si>
  <si>
    <t>Bomba jockey B-3102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</si>
  <si>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Hydrobloc M A 604 – 1 un. × R$ 34.798,96 = R$ 34.798,96; fornecedor KSB Brasil Ltda; Finame 02171421.NF: NF 526572 de 05/04/2024 – KSB Brasil Ltda (CNPJ 60.680.873/0001-14): "Conjunto bomba KSB", R$ 850.000,00 – mesma NF da linha 2.SAP: B-3102 BOMBA JOCKEY – local BPAM-SSCI-RDA-07-01, equip. 000000123913, ABC B.Projeto: LI-3100-7700-001: B-3102 bomba centrífuga, bomba do sistema de pressurização da rede de água de combate a incêndio, cód. Ultracargo 8000012940, CBI, FD-3100-2500-022 / RM-3100-2500-006; LI-3100-6105: sucção 2½", recalque 2".Placa/campo: REVIMAQ ORC 77426 / OS 63336 / OV 9975318361-000200, 03/2024, 440/220 VCA / 24 VCC.</t>
    </r>
  </si>
  <si>
    <t>KSB (crítica) / REVIMAQ (montagem)</t>
  </si>
  <si>
    <t>Hydrobloc M A 604 (crítica – não lido em placa)</t>
  </si>
  <si>
    <t>não lido (vazão, altura e potência ilegíveis)</t>
  </si>
  <si>
    <t>REVIMAQ ORC 77426 / OS 63336 / OV 9975318361-000200</t>
  </si>
  <si>
    <t>B-3102 / 000000123913</t>
  </si>
  <si>
    <t>03/2024</t>
  </si>
  <si>
    <t>Só a plaqueta REVIMAQ do conjunto foi lida; a placa KSB do modelo Hydrobloc não foi fotografada. Projeto, SAP e crítica concordam na função (jockey/pressurização do SCI).</t>
  </si>
  <si>
    <t>0041</t>
  </si>
  <si>
    <t>4</t>
  </si>
  <si>
    <t>Bombas de produto CETRAN 01 – 125-080-315 (12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</si>
  <si>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125-080-315 – 12 un. × R$ 101.981,67 = R$ 1.223.780,04; fornecedor KSB Brasil Ltda; Finame 03279333.NF: NF 34370 de 15/08/2024 – KSB Brasil Ltda (CNPJ 60.680.873/0009-71): "Bomba KSB", R$ 1.328.703,93; NF 34511 de 10/09/2024 – KSB Brasil Ltda (CNPJ 60.680.873/0009-71): "Conjunto bomba KSB", R$ 1.139.300,87. Atribuição: 10 un. na NF 34370 + 2 un. na NF 34511 (decomposição aritmética única).SAP: 12 de 12 TAGs cadastradas: B-3103, B-3104, B-3105, B-3106, B-3107, B-3108, B-3110, B-3113, B-3114, B-3115, B-3116, B-3117.Projeto: LI-3100-6105-001: biodiesel, etanol anidro, etanol hidratado, gasolina, óleo diesel S10, óleo diesel S500; fluxograma DE-3100-1300-002.</t>
    </r>
  </si>
  <si>
    <t>KSB</t>
  </si>
  <si>
    <t>125-080-315</t>
  </si>
  <si>
    <t>Q 120 m³/h; H 50 a 54 mca; 1775 rpm</t>
  </si>
  <si>
    <t>OP M482301611 a M482301625 (exceto 1618, 1620, 1621)</t>
  </si>
  <si>
    <t>12 TAGs no SAP</t>
  </si>
  <si>
    <t>2024</t>
  </si>
  <si>
    <t>34370; 34511</t>
  </si>
  <si>
    <t>15/08/2024; 10/09/2024</t>
  </si>
  <si>
    <t>KSB Brasil Ltda (60.680.873/0009-71)</t>
  </si>
  <si>
    <t>10 un. na NF 34370 + 2 un. na NF 34511 (decomposição aritmética única)</t>
  </si>
  <si>
    <t>As 12 placas (campo + ANP Fig. 146-160) trazem MCPK 125-80-315 EE, 2024, OPs sequenciais M4823016xx. 12 + 2 (linha 6) = 14 bombas 125-80-315 em campo = 14 da crítica. SAP cadastra as 12 TAGs. Vínculo TAG × linha (4 × 6) por indício: as 12 de Q 120 m³/h aqui; as 2 de Q 72 m³/h (B-3111/3112) na linha 6.</t>
  </si>
  <si>
    <t>ver componentes</t>
  </si>
  <si>
    <t>B-3103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</si>
  <si>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gasolina; sucção 8", recalque 6"; fluxograma DE-3100-1300-002.SAP: B-3103 BOMBA CENTRIFUGA – local BPAM-SCAR-CET-01-34-01, equip. 000000121798, ABC B.Placa/campo: ANP Fig. 146: KSB MCPK 125-80-315 EE, OP M482301611, Q 120 m3/h, H 52 mca, 1775 rpm, 163 kg, ano 2024; campo: MCPK (serie 315) | Gasolina A - carreg. rodoviario</t>
    </r>
  </si>
  <si>
    <t>MCPK 125-80-315 EE</t>
  </si>
  <si>
    <t>Q 120 m3/h; H 52 mca; 1775 rpm</t>
  </si>
  <si>
    <t>OP M482301611</t>
  </si>
  <si>
    <t>B-3103 / 000000121798</t>
  </si>
  <si>
    <t>Modelo da placa (MCPK 125-80-315 EE) = crítica (125-080-315). OP só na ANP (M482301611); não lida em campo. Serviço em campo "Gasolina A - carreg. rodoviario" × lista de linhas "gasolina". Confronto campo×ANP: Parcial – ANP preenche OP nao lida/parcial em campo. Fabricação 2024 compatível com NF de 2024.</t>
  </si>
  <si>
    <t>0125-0131 | ANP Fig. 146</t>
  </si>
  <si>
    <t>B-3104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</si>
  <si>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gasolina; sucção 8", recalque 6"; fluxograma DE-3100-1300-002.SAP: B-3104 BOMBA CENTRIFUGA – local BPAM-SCAR-CET-01-37-01, equip. 000000121816, ABC B.Placa/campo: ANP Fig. 147: KSB MCPK 125-80-315 EE, OP M482301612, Q 120 m3/h, H 52 mca, 1775 rpm, 163 kg, ano 2024; campo: MCPK 12?-80-315 EE | Q 120 m3/h | Gasolina A - carreg. rodoviario</t>
    </r>
  </si>
  <si>
    <t>OP M482301612</t>
  </si>
  <si>
    <t>B-3104 / 000000121816</t>
  </si>
  <si>
    <t>Modelo da placa (MCPK 125-80-315 EE) = crítica (125-080-315). OP só na ANP (M482301612); não lida em campo. Serviço em campo "Gasolina A - carreg. rodoviario" × lista de linhas "gasolina". Confronto campo×ANP: Parcial – ANP preenche OP nao lida/parcial em campo. Fabricação 2024 compatível com NF de 2024.</t>
  </si>
  <si>
    <t>0118-0124 | ANP Fig. 147</t>
  </si>
  <si>
    <t>B-3105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</si>
  <si>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óleo diesel S10; sucção 8", recalque 6"; fluxograma DE-3100-1300-002.SAP: B-3105 BOMBA CENTRIFUGA – local BPAM-SCAR-CET-01-40-01, equip. 000000121831, ABC B.Placa/campo: ANP Fig. 148: KSB MCPK 125-80-315 EE, OP M482301613, Q 120 m3/h, H 54 mca, 1775 rpm, 163 kg, ano 2024; campo: MCPK (serie 315) | Q 120 m3/h | OD S10 - carreg. rodoviario</t>
    </r>
  </si>
  <si>
    <t>Q 120 m3/h; H 54 mca; 1775 rpm</t>
  </si>
  <si>
    <t>OP M482301613</t>
  </si>
  <si>
    <t>B-3105 / 000000121831</t>
  </si>
  <si>
    <t>Modelo da placa (MCPK 125-80-315 EE) = crítica (125-080-315). OP só na ANP (M482301613); não lida em campo. Serviço em campo "OD S10 - carreg. rodoviario" × lista de linhas "óleo diesel S10". Confronto campo×ANP: Parcial – ANP preenche OP nao lida/parcial em campo. Fabricação 2024 compatível com NF de 2024.</t>
  </si>
  <si>
    <t>0157-0160 | ANP Fig. 148</t>
  </si>
  <si>
    <t>B-3106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</si>
  <si>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óleo diesel S10; sucção 8", recalque 6"; fluxograma DE-3100-1300-002.SAP: B-3106 BOMBA CENTRIFUGA – local BPAM-SCAR-CET-01-43-01, equip. 000000121849, ABC B.Placa/campo: ANP Fig. 149: KSB MCPK 125-80-315 EE, OP M482301614, Q 120 m3/h, H 54 mca, 1775 rpm, 163 kg, ano 2024; campo: MCPK 125-80-315 EE | OP M482301614 | Q 120 m3/h; H 54 mca; 1775 rpm; 163 kg | OD S10 - carreg. rodoviario</t>
    </r>
  </si>
  <si>
    <t>OP M482301614</t>
  </si>
  <si>
    <t>B-3106 / 000000121849</t>
  </si>
  <si>
    <t>Modelo da placa (MCPK 125-80-315 EE) = crítica (125-080-315). OP confere campo × ANP. Serviço em campo "OD S10 - carreg. rodoviario" × lista de linhas "óleo diesel S10". Confronto campo×ANP: S – OP confere. Fabricação 2024 compatível com NF de 2024.</t>
  </si>
  <si>
    <t>0152-0156 | ANP Fig. 149</t>
  </si>
  <si>
    <t>B-3107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</si>
  <si>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óleo diesel S500; sucção 8", recalque 6"; fluxograma DE-3100-1300-002.SAP: B-3107 BOMBA CENTRIFUGA – local BPAM-SCAR-CET-01-25-01, equip. 000000121746, ABC B.Placa/campo: ANP Fig. 150: KSB MCPK 125-80-315 EE, OP M482301616, Q 120 m3/h, H 51 mca, 1775 rpm, 163 kg, ano 2024; campo: MCPK 125-80-315 EE | OP M482301616 | Q 120 m3/h; H 51 mca; 1772 rpm; 163 kg | OD S500 - carreg. rodoviario</t>
    </r>
  </si>
  <si>
    <t>Q 120 m3/h; H 51 mca; 1775 rpm</t>
  </si>
  <si>
    <t>OP M482301616</t>
  </si>
  <si>
    <t>B-3107 / 000000121746</t>
  </si>
  <si>
    <t>Modelo da placa (MCPK 125-80-315 EE) = crítica (125-080-315). OP confere campo × ANP. Serviço em campo "OD S500 - carreg. rodoviario" × lista de linhas "óleo diesel S500". Confronto campo×ANP: S – OP confere. Fabricação 2024 compatível com NF de 2024.</t>
  </si>
  <si>
    <t>0138-0145 | ANP Fig. 150</t>
  </si>
  <si>
    <t>B-3108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</si>
  <si>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óleo diesel S500; sucção 8", recalque 6"; fluxograma DE-3100-1300-002.SAP: B-3108 BOMBA CENTRIFUGA – local BPAM-SCAR-CET-01-28-01, equip. 000000121764, ABC B.Placa/campo: ANP Fig. 151: KSB MCPK 125-80-315 EE, OP M482301617, Q 120 m3/h, H 51 mca, 1775 rpm, 163 kg, ano 2024; campo: MCPK 125-80-315 EE | OP M482301617 | Q 120 m3/h; H 51 mca; 1775 rpm; 163 kg | OD S500 - carreg. rodoviario</t>
    </r>
  </si>
  <si>
    <t>OP M482301617</t>
  </si>
  <si>
    <t>B-3108 / 000000121764</t>
  </si>
  <si>
    <t>0132-0137 | ANP Fig. 151</t>
  </si>
  <si>
    <t>B-3110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</si>
  <si>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etanol hidratado; sucção 6", recalque 6"; fluxograma DE-3100-1300-002.SAP: B-3110 BOMBA CENTRIFUGA – local BPAM-SCAR-CET-01-22-01, equip. 000000121724, ABC B.Placa/campo: ANP Fig. 153: KSB MCPK 125-80-315 EE, OP M482301619, Q 120 m3/h, H 52 mca, 1775 rpm, 163 kg, ano 2024; campo: MCPK (serie 315) | Etanol hidratado - reserva da B-3109</t>
    </r>
  </si>
  <si>
    <t>OP M482301619</t>
  </si>
  <si>
    <t>B-3110 / 000000121724</t>
  </si>
  <si>
    <t>Modelo da placa (MCPK 125-80-315 EE) = crítica (125-080-315). OP só na ANP (M482301619); não lida em campo. Serviço em campo "Etanol hidratado - reserva da B-3109" × lista de linhas "etanol hidratado". Confronto campo×ANP: Parcial – ANP preenche OP nao lida/parcial em campo. Fabricação 2024 compatível com NF de 2024.</t>
  </si>
  <si>
    <t>0095-0101 | ANP Fig. 153</t>
  </si>
  <si>
    <t>B-3113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</si>
  <si>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óleo diesel S500; sucção 8", recalque 6"; fluxograma DE-3100-1300-002.SAP: B-3113 BOMBA CENTRIFUGA – local BPAM-SCAR-CET-01-31-01, equip. 000000121779, ABC B.Placa/campo: ANP Fig. 156: KSB MCPK 125-80-315 EE, OP M482301615, Q 120 m3/h, H 54 mca, 1775 rpm, 163 kg, ano 2024; campo: MCPK (serie 315) EE | OP M482301615 | Q 120 m3/h; H 54 mca; 1775 rpm; 163 kg | OD S10 / OD S500 - reserva rodoviario</t>
    </r>
  </si>
  <si>
    <t>OP M482301615</t>
  </si>
  <si>
    <t>B-3113 / 000000121779</t>
  </si>
  <si>
    <t>Modelo da placa (MCPK 125-80-315 EE) = crítica (125-080-315). OP confere campo × ANP. Serviço em campo "OD S10 / OD S500 - reserva rodoviario" × lista de linhas "óleo diesel S500". Confronto campo×ANP: S – OP confere. Fabricação 2024 compatível com NF de 2024.</t>
  </si>
  <si>
    <t>0146-0151 | ANP Fig. 156</t>
  </si>
  <si>
    <t>B-3114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</si>
  <si>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biodiesel; sucção 6", recalque 6"; fluxograma DE-3100-1300-002.SAP: B-3114 BOMBA CENTRIFUGA – local BPAM-SCAR-CET-01-01-01, equip. 000000121603, ABC B.Placa/campo: ANP Fig. 157: KSB MCPK 125-080-315 EE, OP M482301622, Q 120 m3/h, H 50 mca, 1775 rpm, 158 kg, ano 2024; campo: MCPK (serie 315) | OP M482301622 | Q 120 m3/h; H 50 mca; 1775 rpm; 158 kg | Biodiesel - carreg. ferroviario</t>
    </r>
  </si>
  <si>
    <t>MCPK 125-080-315 EE</t>
  </si>
  <si>
    <t>Q 120 m3/h; H 50 mca; 1775 rpm</t>
  </si>
  <si>
    <t>OP M482301622</t>
  </si>
  <si>
    <t>B-3114 / 000000121603</t>
  </si>
  <si>
    <t>Modelo da placa (MCPK 125-080-315 EE) = crítica (125-080-315). OP confere campo × ANP. Serviço em campo "Biodiesel - carreg. ferroviario" × lista de linhas "biodiesel". Confronto campo×ANP: S – OP confere. Fabricação 2024 compatível com NF de 2024.</t>
  </si>
  <si>
    <t>0090-0094 | ANP Fig. 157</t>
  </si>
  <si>
    <t>B-3115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</si>
  <si>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biodiesel; sucção 6", recalque 6"; fluxograma DE-3100-1300-002.SAP: B-3115 BOMBA CENTRIFUGA – local BPAM-SCAR-CET-01-04-01, equip. 000000121621, ABC B.Placa/campo: ANP Fig. 158: KSB MCPK 125-?80-315 EE (digito coberto), OP M482301623, Q 120 m3/h, H 50 mca, 17?5 rpm, 158 kg, ano 2024; campo: MCPK (serie 315) | OP M4623016?? | H 50 mca | Biodiesel - reserva ferroviario</t>
    </r>
  </si>
  <si>
    <t>MCPK 125-?80-315 EE (digito coberto)</t>
  </si>
  <si>
    <t>Q 120 m3/h; H 50 mca; 17?5 rpm</t>
  </si>
  <si>
    <t>OP M482301623</t>
  </si>
  <si>
    <t>B-3115 / 000000121621</t>
  </si>
  <si>
    <t>Modelo lido parcialmente (MCPK 125-?80-315 EE (digito coberto)); compatível com a crítica (125-080-315). OP lida parcialmente em campo (M4623016??); ANP completa M482301623. Serviço em campo "Biodiesel - reserva ferroviario" × lista de linhas "biodiesel". Confronto campo×ANP: Parcial – ANP preenche OP nao lida/parcial em campo. Fabricação 2024 compatível com NF de 2024.</t>
  </si>
  <si>
    <t>0085-0089 | ANP Fig. 158</t>
  </si>
  <si>
    <t>B-3116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</si>
  <si>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etanol anidro; sucção 6", recalque 6"; fluxograma DE-3100-1300-002.SAP: B-3116 BOMBA CENTRIFUGA – local BPAM-SCAR-CET-01-13-01, equip. 000000121673, ABC B.Placa/campo: ANP Fig. 159: KSB MCPK 125-80-315 EE, OP M?82301624 (digito coberto), Q 120 m3/h, H 50 mca, 1771 rpm, 158 kg, ano 2024; campo: MCPK 1??-80-315 EE | OP ?2301624 | Q 120 m3/h; H 50 mca; 1771 rpm; 158 kg | Etanol anidro - carreg. ferroviario</t>
    </r>
  </si>
  <si>
    <t>Q 120 m3/h; H 50 mca; 1771 rpm</t>
  </si>
  <si>
    <t>OP M?82301624 (prov. M482301624)</t>
  </si>
  <si>
    <t>B-3116 / 000000121673</t>
  </si>
  <si>
    <t>Modelo da placa (MCPK 125-80-315 EE) = crítica (125-080-315). OP parcial em campo (?2301624) e na ANP (M?82301624 (digito coberto)); a sequência das OPs indica M482301624. Serviço em campo "Etanol anidro - carreg. ferroviario" × lista de linhas "etanol anidro". Confronto campo×ANP: Parcial – ANP preenche OP nao lida/parcial em campo. Fabricação 2024 compatível com NF de 2024.</t>
  </si>
  <si>
    <t>0111-0117 | ANP Fig. 159</t>
  </si>
  <si>
    <t>B-3117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</si>
  <si>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etanol anidro; sucção 6", recalque 6"; fluxograma DE-3100-1300-002.SAP: B-3117 BOMBA CENTRIFUGA – local BPAM-SCAR-CET-01-16-01, equip. 000000121691, ABC B.Placa/campo: ANP Fig. 160: KSB MCPK 125-80-315 EE, OP M482301625, Q 120 m3/h, H 50 mca, 1771 rpm, 158 kg, ano 2024; campo: MCPK (serie 315) | OP ?46530162? | Q 120 m3/h; H 50 mca; ~1775 rpm | Etanol anidro - reserva ferroviario</t>
    </r>
  </si>
  <si>
    <t>OP M482301625</t>
  </si>
  <si>
    <t>B-3117 / 000000121691</t>
  </si>
  <si>
    <t>Modelo da placa (MCPK 125-80-315 EE) = crítica (125-080-315). OP lida parcialmente em campo (?46530162?); ANP completa M482301625. Serviço em campo "Etanol anidro - reserva ferroviario" × lista de linhas "etanol anidro". Confronto campo×ANP: Parcial – ANP preenche OP nao lida/parcial em campo. Fabricação 2024 compatível com NF de 2024.</t>
  </si>
  <si>
    <t>0106-0110 | ANP Fig. 160</t>
  </si>
  <si>
    <t>5</t>
  </si>
  <si>
    <t>Bomba de produto CETRAN 01 – 100-065-315 (B-3109)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</si>
  <si>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100-065-315 – 1 un. × R$ 71.978,04 = R$ 71.978,04; fornecedor KSB Brasil Ltda; Finame 03279333.NF: NF 34370 de 15/08/2024 – KSB Brasil Ltda (CNPJ 60.680.873/0009-71): "Bomba KSB", R$ 1.328.703,93. Atribuição: NF 34370 (decomposição aritmética única).SAP: 1 de 1 TAGs cadastradas: B-3109.Projeto: LI-3100-6105-001: etanol anidro; fluxograma DE-3100-1300-002.</t>
    </r>
  </si>
  <si>
    <t>100-065-315</t>
  </si>
  <si>
    <t>Q 70 m³/h; H 42 mca; 1784 rpm</t>
  </si>
  <si>
    <t>OP M482301618 (ANP)</t>
  </si>
  <si>
    <t>1 TAGs no SAP</t>
  </si>
  <si>
    <t>34370</t>
  </si>
  <si>
    <t>15/08/2024</t>
  </si>
  <si>
    <t>NF 34370 (decomposição aritmética única)</t>
  </si>
  <si>
    <t>Placa: MCPK 100-65-315 EE, Q 70 m³/h, H 42 mca (campo e ANP). OP: campo leu M482301818, ANP M482301618 – a sequência das OPs (…1611-1625) indica 1618; registrado como divergência de leitura. B-3109 é a única 100-065-315 em campo.</t>
  </si>
  <si>
    <t>B-3109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</si>
  <si>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etanol anidro; sucção 6", recalque 4"; fluxograma DE-3100-1300-002.SAP: B-3109 BOMBA CENTRIFUGA – local BPAM-SCAR-CET-01-19-01, equip. 000000121706, ABC B.Placa/campo: ANP Fig. 152: KSB MCPK 100-65-315 EE, OP M482301618, Q 70 m3/h, H 42 mca, 1784 rpm, 150 kg, ano 2024; campo: MCPK 100-65-315 EE | OP M482301818 | Q 70 m3/h; H 42 mca; 1784 rpm; 150 kg | Etanol anidro - carreg. rodoviario</t>
    </r>
  </si>
  <si>
    <t>MCPK 100-65-315 EE</t>
  </si>
  <si>
    <t>Q 70 m3/h; H 42 mca; 1784 rpm</t>
  </si>
  <si>
    <t>OP M482301618</t>
  </si>
  <si>
    <t>B-3109 / 000000121706</t>
  </si>
  <si>
    <t>Modelo da placa (MCPK 100-65-315 EE) = crítica (100-065-315). OP DIVERGE campo M482301818 × ANP M482301618. Serviço em campo "Etanol anidro - carreg. rodoviario" × lista de linhas "etanol anidro". Confronto campo×ANP: N – OP campo M482301818 x ANP M482301618 (Fig. 152, nitida). Sequencia 1611-1625 apoia 1618. Leitura de campo errada (8 por 6).. Fabricação 2024 compatível com NF de 2024.</t>
  </si>
  <si>
    <t>0102-0105 | ANP Fig. 152</t>
  </si>
  <si>
    <t>6</t>
  </si>
  <si>
    <t>Bombas de produto CETRAN 01 – 125-080-315 (2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</si>
  <si>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125-080-315 – 2 un. × R$ 87.358,35 = R$ 174.716,70; fornecedor KSB Brasil Ltda; Finame 03279333.NF: NF 34511 de 10/09/2024 – KSB Brasil Ltda (CNPJ 60.680.873/0009-71): "Conjunto bomba KSB", R$ 1.139.300,87. Atribuição: NF 34511 (decomposição aritmética única).SAP: 2 de 2 TAGs cadastradas: B-3111, B-3112.Projeto: LI-3100-6105-001: biodiesel; fluxograma DE-3100-1300-002.</t>
    </r>
  </si>
  <si>
    <t>Q 72 m³/h; H 53 mca; 1775 rpm</t>
  </si>
  <si>
    <t>OP M482301620 e M482301621 (ANP)</t>
  </si>
  <si>
    <t>2 TAGs no SAP</t>
  </si>
  <si>
    <t>34511</t>
  </si>
  <si>
    <t>10/09/2024</t>
  </si>
  <si>
    <t>NF 34511 (decomposição aritmética única)</t>
  </si>
  <si>
    <t>Placas: MCPK 125-80-315 EE, Q 72 m³/h, H 53 mca (ANP Fig. 154/155). SAP cadastra as 2 TAGs. Vínculo por indício: B-3111/3112 são as únicas 125-80-315 com Q 72 m³/h e recalque de 4" no projeto (as demais 6"), compatível com o preço unitário menor da linha 6.</t>
  </si>
  <si>
    <t>B-3111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</si>
  <si>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biodiesel; sucção 6", recalque 4"; fluxograma DE-3100-1300-002.SAP: B-3111 BOMBA CENTRIFUGA – local BPAM-SCAR-CET-01-07-01, equip. 000000121636, ABC B.Placa/campo: ANP Fig. 154: KSB MCPK 125-80-315 EE, OP M482301620, Q 72 m3/h, H 53 mca, 1775 rpm, 163 kg, ano 2024; campo: MCPK 1?0-80-315 EE | OP N4823016?0 | Q 72 m3/h; H 53 mca; 1775 rpm; 163 kg | Biodiesel - carreg. rodoviario</t>
    </r>
  </si>
  <si>
    <t>Q 72 m3/h; H 53 mca; 1775 rpm</t>
  </si>
  <si>
    <t>OP M482301620</t>
  </si>
  <si>
    <t>B-3111 / 000000121636</t>
  </si>
  <si>
    <t>Modelo da placa (MCPK 125-80-315 EE) = crítica (125-080-315). OP lida parcialmente em campo (N4823016?0); ANP completa M482301620. Serviço em campo "Biodiesel - carreg. rodoviario" × lista de linhas "biodiesel". Confronto campo×ANP: Parcial – ANP preenche OP nao lida/parcial em campo. Fabricação 2024 compatível com NF de 2024.</t>
  </si>
  <si>
    <t>0079, 0082-0084 | ANP Fig. 154</t>
  </si>
  <si>
    <t>B-3112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</si>
  <si>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biodiesel; sucção 6", recalque 4"; fluxograma DE-3100-1300-002.SAP: B-3112 BOMBA CENTRIFUGA – local BPAM-SCAR-CET-01-10-01, equip. 000000121656, ABC B.Placa/campo: ANP Fig. 155: KSB MCPK 125-80-315 EE, OP M482301621, Q 72 m3/h, H 53 mca, 1775 rpm, 163 kg, ano 2024; campo: MCPK (serie 315) | OP M4823016?? | 1775 rpm | Biodiesel - reserva</t>
    </r>
  </si>
  <si>
    <t>OP M482301621</t>
  </si>
  <si>
    <t>B-3112 / 000000121656</t>
  </si>
  <si>
    <t>Modelo da placa (MCPK 125-80-315 EE) = crítica (125-080-315). OP lida parcialmente em campo (M4823016??); ANP completa M482301621. Serviço em campo "Biodiesel - reserva" × lista de linhas "biodiesel". Confronto campo×ANP: Parcial – ANP preenche OP nao lida/parcial em campo. Fabricação 2024 compatível com NF de 2024.</t>
  </si>
  <si>
    <t>0074-0076, 0080, 0081 | ANP Fig. 155</t>
  </si>
  <si>
    <t>7</t>
  </si>
  <si>
    <t>Bombas CETRAN 02 (ferroviário) – 125-100-315 (2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</si>
  <si>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125-100-315 – 2 un. × R$ 80.938,11 = R$ 161.876,22; fornecedor KSB Brasil Ltda; Finame 03279333.NF: NF 34511 de 10/09/2024 – KSB Brasil Ltda (CNPJ 60.680.873/0009-71): "Conjunto bomba KSB", R$ 1.139.300,87. Atribuição: NF 34511 (decomposição aritmética única).SAP: 2 de 2 TAGs cadastradas: B-3118, B-3119.Projeto: LI-3100-6105-001: gasolina; fluxograma DE-3100-1300-007.</t>
    </r>
  </si>
  <si>
    <t>125-100-315</t>
  </si>
  <si>
    <t>Q 180 m³/h; H 32 mca; motor 18,5 kW</t>
  </si>
  <si>
    <t>OP M482301626 e M482301627</t>
  </si>
  <si>
    <t>Placas KSB lidas em campo (lotes 1 e 3; B-3119 fechada no lote 3). Motores WEG W22Xd 180M/L, 18,5 kW/25 cv, Ex db IIB T4 Gb. ANP Fig. 167/168 sem leitura de placa. Vínculo por indício: B-3118/3119 são as únicas 125-100-315 com motor 18,5 kW (demais 30 kW) – preço unitário menor da linha 7.</t>
  </si>
  <si>
    <t>B-3118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</si>
  <si>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gasolina; sucção 8", recalque 6"; fluxograma DE-3100-1300-007.SAP: B-3118 BOMBA CENTRIFUGA – local BPAM-SCAR-CET-13-01-01, equip. 000000121928, ABC B.Placa/campo: KSB MCPK 125-100-315, OP M482301626, Q 180 m3/h; H 32 mca; 1776 rpm; 159 kg | MOTOR: WEG W22Xd | 180M/L | IPW55 247 kg | 220/380/440 V | 64,1/37,1/32,0 A | 18,5 kW / 25 CV | FS 1,00 | 1780 rpm | FP 0,82 | ISOL F | rend 92,4% | Ex db IIB T4 Gb | DNV 18.0055 X.</t>
    </r>
  </si>
  <si>
    <t>MCPK 125-100-315</t>
  </si>
  <si>
    <t>Q 180 m3/h; H 32 mca; 1776 rpm</t>
  </si>
  <si>
    <t>OP M482301626</t>
  </si>
  <si>
    <t>B-3118 / 000000121928</t>
  </si>
  <si>
    <t>Modelo da placa = crítica (125-100-315). Produto do projeto: gasolina.</t>
  </si>
  <si>
    <t>0788-0791</t>
  </si>
  <si>
    <t>B-3119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</si>
  <si>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gasolina; sucção 8", recalque 6"; fluxograma DE-3100-1300-007.SAP: B-3119 BOMBA CENTRIFUGA – local BPAM-SCAR-CET-13-04-01, equip. 000000121949, ABC B.Placa/campo: KSB MCPK 125-100-315 EE, OP M482301627, Q 180 m3/h; H 32 mca; 1776 rpm; 159 kg | MOTOR: WEG W22Xdb 180M/L 247 kg 18,5 kW/25 CV 1780 rpm Ex db IIB T4 Gb.</t>
    </r>
  </si>
  <si>
    <t>MCPK 125-100-315 EE</t>
  </si>
  <si>
    <t>OP M482301627</t>
  </si>
  <si>
    <t>B-3119 / 000000121949</t>
  </si>
  <si>
    <t>0793-0796, 1068-1076</t>
  </si>
  <si>
    <t>8</t>
  </si>
  <si>
    <t>Bombas CETRAN 02 (ferroviário) – 125-100-315 (3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</si>
  <si>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125-100-315 – 3 un. × R$ 102.853,99 = R$ 308.561,97; fornecedor KSB Brasil Ltda; Finame 03279333.NF: NF 34511 de 10/09/2024 – KSB Brasil Ltda (CNPJ 60.680.873/0009-71): "Conjunto bomba KSB", R$ 1.139.300,87. Atribuição: NF 34511 (decomposição aritmética única).SAP: 3 de 3 TAGs cadastradas: B-3120, B-3121, B-3122.Projeto: LI-3100-6105-001: óleo diesel S10, óleo diesel S500; fluxograma DE-3100-1300-007.</t>
    </r>
  </si>
  <si>
    <t>Q 180 m³/h; H 39 a 42 mca; motor 30 kW</t>
  </si>
  <si>
    <t>OP M482301628 a M482301630</t>
  </si>
  <si>
    <t>3 TAGs no SAP</t>
  </si>
  <si>
    <t>Placas KSB e motores WEG W22Xd 200M/L 30 kW/40 cv lidos em campo. ANP Fig. 169-171 sem leitura de placa. B-3120 a B-3123 são idênticas (30 kW); divisão 3 + 1 entre as linhas 8 e 9 pela ordem das TAGs, sem documento.</t>
  </si>
  <si>
    <t>B-3120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</si>
  <si>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óleo diesel S10; sucção 8", recalque 6"; fluxograma DE-3100-1300-007.SAP: B-3120 BOMBA CENTRIFUGA – local BPAM-SCAR-CET-13-07-01, equip. 000000121967, ABC B.Placa/campo: KSB MCPK 125-100-315 EE, OP M482301628, Q 180 m3/h; 1775 rpm; 163 kg | MOTOR: WEG W22Xd | 200M/L | IPW55 317 kg | 220/380/440 V | 102/59,1/51,0 A | 30 kW / 40 CV | FS 1,00 | 1780 rpm | FP 0,83 | ISOL F | rend 93,0% | Ex db IIB T4 Gb | DNV 18.0055 X.</t>
    </r>
  </si>
  <si>
    <t>Q 180 m3/h; 1775 rpm</t>
  </si>
  <si>
    <t>OP M482301628</t>
  </si>
  <si>
    <t>B-3120 / 000000121967</t>
  </si>
  <si>
    <t>Modelo da placa = crítica (125-100-315). Produto do projeto: óleo diesel S10.</t>
  </si>
  <si>
    <t>0797-0802</t>
  </si>
  <si>
    <t>B-3121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</si>
  <si>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óleo diesel S10; sucção 8", recalque 6"; fluxograma DE-3100-1300-007.SAP: B-3121 BOMBA CENTRIFUGA – local BPAM-SCAR-CET-13-10-01, equip. 000000121988, ABC B.Placa/campo: KSB MCPK 125-100-315 EE, OP M482301629, Q 180 m3/h; H 42 mca; 1775 rpm; 162 kg | MOTOR: WEG W22Xd | 200M/L | IPW55 317 kg | 220/380/440 V | 102/59,1/51,0 A | 30 kW / 40 CV | FS 1,00 | 1780 rpm | FP 0,83 | ISOL F | rend 93,0% | Ex db IIB T4 Gb | DNV 18.0055 X.</t>
    </r>
  </si>
  <si>
    <t>Q 180 m3/h; H 42 mca; 1775 rpm</t>
  </si>
  <si>
    <t>OP M482301629</t>
  </si>
  <si>
    <t>B-3121 / 000000121988</t>
  </si>
  <si>
    <t>0804-0809</t>
  </si>
  <si>
    <t>B-3122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</si>
  <si>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óleo diesel S500; sucção 8", recalque 6"; fluxograma DE-3100-1300-007.SAP: B-3122 BOMBA CENTRIFUGA – local BPAM-SCAR-CET-13-13-01, equip. 000000122006, ABC B.Placa/campo: KSB MCPK 125-100-315 EE, OP M482301630, Q 180 m3/h; H 39 mca; 1775 rpm; 162 kg | MOTOR: WEG W22Xd | 200M/L | IPW55 317 kg | 220/380/440 V | 102/59,1/51,0 A | 30 kW / 40 CV | FS 1,00 | 1780 rpm | FP 0,83 | ISOL F | rend 93,0% | Ex db IIB T4 Gb | DNV 18.0055 X.</t>
    </r>
  </si>
  <si>
    <t>Q 180 m3/h; H 39 mca; 1775 rpm</t>
  </si>
  <si>
    <t>OP M482301630</t>
  </si>
  <si>
    <t>B-3122 / 000000122006</t>
  </si>
  <si>
    <t>Modelo da placa = crítica (125-100-315). Produto do projeto: óleo diesel S500.</t>
  </si>
  <si>
    <t>0812-0818</t>
  </si>
  <si>
    <t>9</t>
  </si>
  <si>
    <t>Bomba CETRAN 02 (ferroviário) – 125-100-315 (1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</si>
  <si>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125-100-315 – 1 un. × R$ 102.010,24 = R$ 102.010,24; fornecedor KSB Brasil Ltda; Finame 03279333.NF: NF 34511 de 10/09/2024 – KSB Brasil Ltda (CNPJ 60.680.873/0009-71): "Conjunto bomba KSB", R$ 1.139.300,87. Atribuição: NF 34511 (decomposição aritmética única).SAP: 1 de 1 TAGs cadastradas: B-3123.Projeto: LI-3100-6105-001: óleo diesel S500; fluxograma DE-3100-1300-007.</t>
    </r>
  </si>
  <si>
    <t>Q 180 m³/h; H 39 mca; motor 30 kW</t>
  </si>
  <si>
    <t>OP M482301631</t>
  </si>
  <si>
    <t>Placa KSB e motor WEG W22Xd 200M/L 30 kW lidos em campo. ANP Fig. 172 sem leitura de placa. B-3120 a B-3123 são idênticas (30 kW); divisão 3 + 1 entre as linhas 8 e 9 pela ordem das TAGs, sem documento.</t>
  </si>
  <si>
    <t>B-3123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</si>
  <si>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óleo diesel S500; sucção 8", recalque 6"; fluxograma DE-3100-1300-007.SAP: B-3123 BOMBA CENTRIFUGA – local BPAM-SCAR-CET-13-16-01, equip. 000000122027, ABC B.Placa/campo: KSB MCPK 125-100-315 EE, OP M482301631, Q 180 m3/h; H 39 mca; 1775 rpm; 162 kg | MOTOR: WEG W22Xd | 200M/L | IPW55 317 kg | 220/380/440 V | 102/59,1/51,0 A | 30 kW / 40 CV | FS 1,00 | 1780 rpm | FP 0,83 | ISOL F | rend 93,0% | Ex db IIB T4 Gb | DNV 18.0055 X.</t>
    </r>
  </si>
  <si>
    <t>B-3123 / 000000122027</t>
  </si>
  <si>
    <t>0819-0826</t>
  </si>
  <si>
    <t>10</t>
  </si>
  <si>
    <t>Bombas de efluentes/drenagem – Megaflow V 80-250 K (2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</si>
  <si>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megaflow V 80-250 K – 2 un. × R$ 94.086,20 = R$ 188.172,40; fornecedor KSB Brasil Ltda; Finame 03279333.NF: NF 34511 de 10/09/2024 – KSB Brasil Ltda (CNPJ 60.680.873/0009-71): "Conjunto bomba KSB", R$ 1.139.300,87. Atribuição: NF 34511 (decomposição aritmética única).SAP: TAGs não constam na base SAP (seleção).Projeto: LI-3100-6105-001: drenagem; fluxograma DE-3100-1400-002.</t>
    </r>
  </si>
  <si>
    <t>megaflow V 80-250 K</t>
  </si>
  <si>
    <t>Q 35 m³/h; H 25 mca; motor 15 kW</t>
  </si>
  <si>
    <t>OP M502300011 e M502300012</t>
  </si>
  <si>
    <t>Placas KSB Megaflow V 80-250 K (verticais) lidas no lote 3 – corrige a ressalva antiga de "bombas subterrâneas sem placa". Não constam na base SAP (seleção). Projeto: drenagem (DE-3100-1400-002). Dois pares distintos (B-3130/3131: Q 35 m³/h, H 25 mca, 15 kW; B-3132/3133: Q 50 m³/h, H 10 mca). Pela NF, a linha 11 é a NF 543048 e a linha 10 está na NF 34511, mas nenhuma das duas identifica o par; atribuição pela ordem das TAGs.</t>
  </si>
  <si>
    <t>B-3130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</si>
  <si>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drenagem; sucção -, recalque 3"; fluxograma DE-3100-1400-002.SAP: não consta na base SAP (seleção).Placa/campo: KSB MEGAFLOW V 80-250 K (vertical), OP M502300011, Q 35 m3/h; H 25 mca; 1775 rpm; 445 kg (total 650 kg) | MOTOR: WEG 220/380/440 V; 15 kW; 1775 rpm; FS 1,00; REG S1.</t>
    </r>
  </si>
  <si>
    <t>MEGAFLOW V 80-250 K (vertical)</t>
  </si>
  <si>
    <t>Q 35 m3/h; H 25 mca; 1775 rpm</t>
  </si>
  <si>
    <t>OP M502300011</t>
  </si>
  <si>
    <t>Modelo da placa = crítica (megaflow V 80-250 K). Projeto: bomba de drenagem (recalque 3"). Sem cadastro SAP.</t>
  </si>
  <si>
    <t>0779-0780, 1077-1082</t>
  </si>
  <si>
    <t>B-3131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</si>
  <si>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drenagem; sucção -, recalque 3"; fluxograma DE-3100-1400-002.SAP: não consta na base SAP (seleção).Placa/campo: KSB MEGAFLOW V 80-250 K (vertical), OP M502300012, Q 35 m3/h; H 25 mca; 1775 rpm; 445 kg | MOTOR: WEG 220/380/440 V; 15 kW; 1775 rpm.</t>
    </r>
  </si>
  <si>
    <t>OP M502300012</t>
  </si>
  <si>
    <t>0771-0776, 1083-1086</t>
  </si>
  <si>
    <t>11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</si>
  <si>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megaflow V 80-250 K – 2 un. × R$ 81.243,34 = R$ 162.486,68; fornecedor KSB Brasil Ltda; Finame 02171533.NF: NF 543048 de 09/09/2024 – KSB Brasil Ltda (CNPJ 60.680.873/0001-14): "Bomba Megaflow V80-250K", R$ 233.546,68. Atribuição: por descrição (Megaflow); excede a linha em R$ 71.060,00.SAP: TAGs não constam na base SAP (seleção).Projeto: LI-3100-6105-001: drenagem; fluxograma DE-3100-1400-002.</t>
    </r>
  </si>
  <si>
    <t>Q 50 m³/h; H 10 mca</t>
  </si>
  <si>
    <t>OP M502300013 e M502300014</t>
  </si>
  <si>
    <t>543048</t>
  </si>
  <si>
    <t>09/09/2024</t>
  </si>
  <si>
    <t>por descrição (Megaflow); excede a linha em R$ 71.060,00</t>
  </si>
  <si>
    <t>Ver linha 10. NF 543048 excede a linha 11 em R$ 71.060,00 – pedir explicação à KSB/Ultracargo. Dois pares distintos (B-3130/3131: Q 35 m³/h, H 25 mca, 15 kW; B-3132/3133: Q 50 m³/h, H 10 mca). Pela NF, a linha 11 é a NF 543048 e a linha 10 está na NF 34511, mas nenhuma das duas identifica o par; atribuição pela ordem das TAGs.</t>
  </si>
  <si>
    <t>B-3132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</si>
  <si>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drenagem; sucção -, recalque 3"; fluxograma DE-3100-1400-002.SAP: não consta na base SAP (seleção).Placa/campo: KSB MEGAFLOW V 80-250 K (vertical), OP M502300013, Q 50 m3/h; H 10 mca; 1740 rpm; 570 kg (total 650 kg).</t>
    </r>
  </si>
  <si>
    <t>Q 50 m3/h; H 10 mca; 1740 rpm</t>
  </si>
  <si>
    <t>OP M502300013</t>
  </si>
  <si>
    <t>0177-0179, 1047, 1048, 1052-1056</t>
  </si>
  <si>
    <t>B-3133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</si>
  <si>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LI-3100-6105-001: produto drenagem; sucção -, recalque 3"; fluxograma DE-3100-1400-002.SAP: não consta na base SAP (seleção).Placa/campo: KSB MEGAFLOW V 80-250 K (vertical), OP M502300014, Q 50 m3/h; H 10 mca; 1740 rpm; 570 kg (total 650 kg).</t>
    </r>
  </si>
  <si>
    <t>OP M502300014</t>
  </si>
  <si>
    <t>0175, 0176, 1049-1051</t>
  </si>
  <si>
    <t>12</t>
  </si>
  <si>
    <t>Bomba do sistema de água dos chuveiros de emergência – 050-032-200.1 (B-31100)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</si>
  <si>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050-032-200.1 – 1 un. × R$ 76.802,33 = R$ 76.802,33; fornecedor KSB Brasil Ltda; Finame 02171533.NF: NF 34370 de 15/08/2024 – KSB Brasil Ltda (CNPJ 60.680.873/0009-71): "Bomba KSB", R$ 1.328.703,93. Atribuição: NF 34370 (decomposição aritmética única).SAP: TAGs não constam na base SAP (seleção).Projeto: LI-3100-6107-001: B-31100 sistema de pressurização de água para chuveiro de emergência e lava-olhos, fornecido em skid (motobomba, tanque diafragma, painel com inversor de frequência, instrumentos, válvulas e tubulação), Q 10,0 m³/h, AMT 57 mca, 3500 rpm, 7,5 cv, motor IP55, cód. Ultracargo 8000013528, FD-3100-2500-028.</t>
    </r>
  </si>
  <si>
    <t>050-032-200.1</t>
  </si>
  <si>
    <t>Q 10 m³/h; H 57 mca; 3554 rpm</t>
  </si>
  <si>
    <t>OP M482301632</t>
  </si>
  <si>
    <t>Placa (campo, lote 3): MCPK 50-32-200.1 GG, OP M482301632, Q 10 m³/h, H 57 mca, 3554 rpm, 50 kg = exatamente a LI-3100-6107 (Q 10 m³/h, AMT 57 mca, 3500 rpm, 7,5 cv). Função: pressurização da água dos chuveiros de emergência/lava-olhos (resolve o "a confirmar"). Divergência de identificação: botoeira local diz "BOMBA 3160". Não consta na base SAP (só a gaveta GAV-PN-3104 LAV OLHOS no PN-3100).</t>
  </si>
  <si>
    <t>B-31100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</si>
  <si>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LI-3100-6107: Q 10,0 m³/h, AMT 57 mca, 3500 rpm, 7,5 cv (FD-3100-2500-028).Placa/campo: KSB MCPK 50-32-200.1 GG, OP M482301632, Q 10 m³/h, H 57 mca, 3554 rpm, 50 kg; botoeira "BOMBA 3160".</t>
    </r>
  </si>
  <si>
    <t>MCPK 50-32-200.1 GG</t>
  </si>
  <si>
    <t>Placa = lista de itens especiais (vazão e altura idênticas). Motor e painel do skid não lidos.</t>
  </si>
  <si>
    <t>1029-1038</t>
  </si>
  <si>
    <t>13</t>
  </si>
  <si>
    <t>Bombas de descarga rodoviária – 125-100-250 (B-3124 e B-3125)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</si>
  <si>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Bomba – KSB megacpk 125-100-250 – 2 un. × R$ 80.053,43 = R$ 160.106,86; fornecedor KSB Brasil Ltda; Finame 03279333.NF: NF 34370 de 15/08/2024 – KSB Brasil Ltda (CNPJ 60.680.873/0009-71): "Bomba KSB", R$ 1.328.703,93. Atribuição: NF 34370 (decomposição aritmética única).SAP: 2 de 2 TAGs cadastradas: B-3124, B-3125.Projeto: LI-3100-6105-001: HC (descarga); fluxograma DE-3100-1300-003.</t>
    </r>
  </si>
  <si>
    <t>125-100-250</t>
  </si>
  <si>
    <t>Q 140,82 m³/h; H 33,19 mca; 1721 rpm (ANP)</t>
  </si>
  <si>
    <t>OP M482301633 e M482301634</t>
  </si>
  <si>
    <t>Placas (campo e ANP Fig. 177/178): MCPK 125-100-250 EE, OP M482301633/34, H 33,19 mca, 1721 rpm. Campo leu "Q 82" (parcial) e peso 140 kg na B-3124; ANP lê Q 140,82 m³/h e 131 kg. Serviço: o projeto (LI-6105, produto HC, DE-3100-1300-003) e o SAP ("BOMBA CENTRIFUGA DESCARREG", local PTM-10) dão as duas como bombas de DESCARGA rodoviária; as imagens ANP Fig. 175/176 do 14d ("bomba de descarregamento lado A/B") mostram conjuntos idênticos, no mesmo poço. Forte indício de que as "duas bombas" do skid 14d são estas – possível sobreposição 13 × 14d.</t>
  </si>
  <si>
    <t>B-3124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</si>
  <si>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HC (descarga); sucção 6", recalque 6"; fluxograma DE-3100-1300-003.SAP: B-3124 BOMBA CENTRIFUGA DESCARREG – local BPAM-SCAR-PTM-10-01-19, equip. 000000122667, ABC B.Placa/campo: ANP Fig. 177: KSB MCPK 125-100-250 EE, OP M482301633, Q 140,82 m3/h, H 33,19 mca, 1721 rpm, 131 kg, ano 2024; campo: MCPK 125-100-250 EE | OP M482301633 | Q 82 m3/h; H 33,19 mca; 1721 rpm; 140 kg | Carregamento</t>
    </r>
  </si>
  <si>
    <t>MCPK 125-100-250 EE</t>
  </si>
  <si>
    <t>Q 140,82 m3/h; H 33,19 mca; 1721 rpm</t>
  </si>
  <si>
    <t>OP M482301633</t>
  </si>
  <si>
    <t>B-3124 / 000000122667</t>
  </si>
  <si>
    <t>Modelo da placa (MCPK 125-100-250 EE) = crítica (125-100-250). OP confere campo × ANP. Serviço em campo "Carregamento" × lista de linhas "HC (descarga)". Confronto campo×ANP: N – OP confere. Q campo 82 x ANP 140,82 m3/h (campo leu so a parte decimal); peso campo 140 kg x ANP 131 kg. Fabricação 2024 compatível com NF de 2024.</t>
  </si>
  <si>
    <t>0273-0275 | ANP Fig. 177</t>
  </si>
  <si>
    <t>B-3125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</si>
  <si>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LI-3100-6105-001 (lista de linhas): produto HC (descarga); sucção 6", recalque 6"; fluxograma DE-3100-1300-003.SAP: B-3125 BOMBA CENTRIFUGA DESCARREG – local BPAM-SCAR-PTM-10-04-19, equip. 000000122691, ABC B.Placa/campo: ANP Fig. 178: KSB MCPK 125-100-250 EE, OP M482301634, Q 140,82 m3/h, H 33,19 mca, 1721 rpm, 131 kg, ano 2024; campo: MCPK 125-100-250 EE | OP M482301634 | Q 82 m3/h; H 33,19 mca; 1721 rpm; 131 kg | Carregamento</t>
    </r>
  </si>
  <si>
    <t>OP M482301634</t>
  </si>
  <si>
    <t>B-3125 / 000000122691</t>
  </si>
  <si>
    <t>Modelo da placa (MCPK 125-100-250 EE) = crítica (125-100-250). OP confere campo × ANP. Serviço em campo "Carregamento" × lista de linhas "HC (descarga)". Confronto campo×ANP: N – OP confere. Q campo 82 x ANP 140,82 m3/h (campo leu so a parte decimal); peso campo 131 kg x ANP 131 kg. Fabricação 2024 compatível com NF de 2024.</t>
  </si>
  <si>
    <t>0263-0266 | ANP Fig. 178</t>
  </si>
  <si>
    <t>14</t>
  </si>
  <si>
    <t>GRUPO</t>
  </si>
  <si>
    <t>Conjunto de skids de carregamento rodoviário e ferroviário (linha 14 = 14a a 14e)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</si>
  <si>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Conjunto de skids de carregamento rodoviário e ferroviário, Metroval Controle de Fluídos Ltda., Finame 03204045; total da linha 14 = R$ 8.992.832,34 (14a + 14b + 14c + 14d + 14e).NF: 14 NFs na relação de M&amp;E do RT0538 somam R$ 9.073.319,40: 41385 Metroval R$ 4.881.799,51; 1551 PHD R$ 1.728.513,25; 42239 Metroval R$ 260.000,03; 7032 TSPRO R$ 87.357,24; 7488 TSPRO R$ 218.393,10; 11642 Redlands R$ 241.395,00; 11726 Redlands R$ 49.425,00; 1621 PHD R$ 591.154,24; 91 Ecoserv R$ 182.000,00; 110 Ecoserv R$ 386.880,00; 142 Ecoserv R$ 100.000,00; 161 Ecoserv R$ 110.000,00; 26460 MKG R$ 193.140,00; 4965 Metroval R$ 43.262,03.SAP: skids, braços, medidores, válvulas e presets não constam na base SAP (seleção).Projeto: DE-3100-5100-001/-006 (arranjo geral): plataformas PLCCT-01 e PLCCT-02 (carregamento de caminhão-tanque), PLDCT-03 (descarga de caminhão-tanque), ilhas 01 a 07; não há lista de equipamentos Metroval no dossiê.</t>
    </r>
  </si>
  <si>
    <t>Metroval (crítica) / Redlands, TSPRO, Toptech, Alutal, Ecoserv (campo e NFs)</t>
  </si>
  <si>
    <t>41385; 42239; 7032; 7488; 11642; 11726; 1621; 91; 110; 142; 161; 26460; 4965</t>
  </si>
  <si>
    <t>02/07/2024 a 13/11/2024</t>
  </si>
  <si>
    <t>Metroval, PHD Master, TSPRO, Redlands, Ecoserv, MKG</t>
  </si>
  <si>
    <t>NFs do grupo sem a 1551 (atribuída ao 14d). Grupo: NF R$ 9.073.319,40 × crítica R$ 8.992.832,34 = excesso de R$ 80.487,06.</t>
  </si>
  <si>
    <t>Só o 14d tem NF de valor exato (1551, mas de emitente diferente do fornecedor da crítica). A NF 41385 ("bottomload e topload") é a mais provável para 14a+14b, mas não separa os dois e excede a soma deles em R$ 690.801,61; 14c (vagões) não tem NF identificável. Falta o de-para NF × subitem (pedido M16). Nenhum documento liga os instrumentos lidos em campo (FT/FCV/SDV/XS/TE) a um ponto de carregamento.</t>
  </si>
  <si>
    <t>14a</t>
  </si>
  <si>
    <t>Skid + plataforma TOP LOADING (PLCCT – 2 posições, 7 pontos)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</si>
  <si>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Unidade de skid e uma plataforma para operações de carregamento de caminhões-tanque, plataforma inclusa, duas posições de estacionamento, braços TOP LOADING central e estrutura metálica da plataforma "pavimento superior": 02 pontos de entrega de gasolina C, 02 de diesel S10, 02 de diesel S500 e 01 de etanol hidratado – 1 un. × R$ 2.273.264,11 = R$ 2.273.264,11; fornecedor Metroval Controle de Fluídos Ltda.; Finame 03204045.NF: sem NF própria; provável NF 41385 (Metroval, 02/07/2024, "sistema de carregamento rodoviário bottomload e topload", R$ 4.881.799,51) junto com o 14b.SAP: não consta na base SAP (seleção).Projeto: DE-3100-5100-006: plataformas de carregamento PLCCT-01/PLCCT-02; LI-3100-6107: trole com trava-quedas PLCCT-01/02 (1,5 t), chuveiros H-3143 a 3145 "plataforma de carregamento rodoviário – top".</t>
    </r>
  </si>
  <si>
    <t>Metroval (skid) / Redlands (braços)</t>
  </si>
  <si>
    <t>braços Redlands CC3201408310 4"</t>
  </si>
  <si>
    <t>7 pontos (2 GC, 2 S10, 2 S500, 1 EH) – crítica</t>
  </si>
  <si>
    <t>braços nº 3632 a 3637</t>
  </si>
  <si>
    <t>Em campo: 6 braços superiores Redlands BR-3101 a BR-3106 (4", 2024, P.C. 11715/11716) – a crítica fala em 7 pontos; o 7º braço não foi identificado. Plataforma vista (ANP Fig. 97/98) e medidores tipo turbina e preset/overfill na ANP Fig. 106/108. Não há placa geral do skid. Redlands tem NFs próprias (11642 escada pantográfica, 11726) – os braços podem ter vindo por elas ou pela Metroval.</t>
  </si>
  <si>
    <t>0732-0768 | ANP Fig. 97, 98, 106, 108</t>
  </si>
  <si>
    <t>BR-3101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</si>
  <si>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3632, P.C. 11715, 2024.</t>
    </r>
  </si>
  <si>
    <t>Redlands</t>
  </si>
  <si>
    <t>CC3201408310</t>
  </si>
  <si>
    <t>Ø 4"</t>
  </si>
  <si>
    <t>nº 3632</t>
  </si>
  <si>
    <t>Placa completa. Sem dado teórico individual; vínculo à linha 14a pela posição (top loading).</t>
  </si>
  <si>
    <t>0732, 0733</t>
  </si>
  <si>
    <t>BR-3102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</si>
  <si>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3633, P.C. 11715, 2024.</t>
    </r>
  </si>
  <si>
    <t>nº 3633</t>
  </si>
  <si>
    <t>0738-0740</t>
  </si>
  <si>
    <t>BR-3103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</si>
  <si>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3634, P.C. 11715 / 11716, 2024.</t>
    </r>
  </si>
  <si>
    <t>nº 3634</t>
  </si>
  <si>
    <t>0766-0768</t>
  </si>
  <si>
    <t>BR-3104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</si>
  <si>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3635, P.C. 11715, 2024.</t>
    </r>
  </si>
  <si>
    <t>nº 3635</t>
  </si>
  <si>
    <t>0764</t>
  </si>
  <si>
    <t>BR-3105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</si>
  <si>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3636, P.C. 11715 / 11716, 2024.</t>
    </r>
  </si>
  <si>
    <t>nº 3636</t>
  </si>
  <si>
    <t>0759, 0761, 0762</t>
  </si>
  <si>
    <t>BR-3106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</si>
  <si>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braço de carregamento superior Redlands CC3201408310, Ø 4", nº 3637, P.C. 11715, 2024.</t>
    </r>
  </si>
  <si>
    <t>nº 3637</t>
  </si>
  <si>
    <t>0751-0754</t>
  </si>
  <si>
    <t>14b</t>
  </si>
  <si>
    <t>Unidade BOTTOM LOADING (2 posições, 7 pontos)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</si>
  <si>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Unidade para operações de carregamento de caminhões-tanque, duas posições de estacionamento, braços BOTTOM LOADING central: 02 pontos de entrega de gasolina C, 02 de diesel S10, 02 de diesel S500 e 01 de etanol hidratado – 1 un. × R$ 1.917.733,79 = R$ 1.917.733,79; fornecedor Metroval Controle de Fluídos Ltda.; Finame 03204045.NF: sem NF própria; provável NF 41385 (Metroval) junto com o 14a.SAP: não consta na base SAP (seleção).Projeto: LI-3100-6107: chuveiros/lava-olhos e trole "plataforma bottom / carregamento rodoviário – bottom" (confirma a existência das posições bottom no projeto).</t>
    </r>
  </si>
  <si>
    <t>Metroval / Toptech (presets)</t>
  </si>
  <si>
    <t>presets Toptech MultiLoad II Ex / EXL</t>
  </si>
  <si>
    <t>Em campo só os presets BOTTOM-3107/3108 (Toptech MultiLoad II Ex) e um preset sem TAG (MultiLoad II EXL, lote 3) foram caracterizados, sem nº de série. Os 7 braços de bottom loading (acoplador API, braço de vapor) NÃO foram caracterizados. Parte dos FT/FCV da seção "componentes sem vínculo" pode pertencer a esta unidade.</t>
  </si>
  <si>
    <t>0475, 0476, 0990-0991</t>
  </si>
  <si>
    <t>BOTTOM-3107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</si>
  <si>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Computador de vazao (presset A) – TOPTECH, MultiLoad II Ex, Carregamento rodoviario.</t>
    </r>
  </si>
  <si>
    <t>TOPTECH</t>
  </si>
  <si>
    <t>MultiLoad II Ex</t>
  </si>
  <si>
    <t>Sem dado teórico individual. Pendente/ilegível: no de serie, ano.</t>
  </si>
  <si>
    <t>0475</t>
  </si>
  <si>
    <t>BOTTOM-3108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</si>
  <si>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Computador de vazao (presset B) – TOPTECH, MultiLoad II Ex, Carregamento rodoviario.</t>
    </r>
  </si>
  <si>
    <t>0476</t>
  </si>
  <si>
    <t>(sem TAG) – Preset de carregamento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</si>
  <si>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Preset de carregamento – TOPTECH, MultiLoad II EXL, Carregamento.</t>
    </r>
  </si>
  <si>
    <t>MultiLoad II EXL</t>
  </si>
  <si>
    <t>Sem dado teórico individual. Pendente/ilegível: TAG e plaqueta.</t>
  </si>
  <si>
    <t>0990-0991</t>
  </si>
  <si>
    <t>14c</t>
  </si>
  <si>
    <t>Skid de carregamento de vagões-tanque PLCVT-01 / U-3105 (4 pontos)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</si>
  <si>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Unidade de skid para operações de carregamento de vagões-tanque: 01 ponto de entrega de biodiesel B100, 01 de etanol anidro, 01 de biodiesel B100 e 01 de etanol anidro – 1 un. × R$ 1.610.488,85 = R$ 1.610.488,85; fornecedor Metroval Controle de Fluídos Ltda.; Finame 03204045.NF: nenhuma NF da relação descreve este skid; não identificável.SAP: não consta na base SAP (seleção).Projeto: sem lista própria no dossiê.</t>
    </r>
  </si>
  <si>
    <t>Metroval</t>
  </si>
  <si>
    <t>PLCVT-01 / U-3105</t>
  </si>
  <si>
    <t>vazão máx. 120 m³/h por braço; 4 braços; projeto 10 kgf/cm², operação 3 kgf/cm²</t>
  </si>
  <si>
    <t>placa da unidade sem nº de série</t>
  </si>
  <si>
    <t>Placa Metroval da unidade (foto 0836, completa): 4 braços, 120 m³/h/braço, ASME B31.3, biodiesel/etanol anidro = 4 pontos (2 B100 + 2 EA) da crítica. Componentes lidos: 2 medidores mássicos OI 600 (B100), 1 turbina MTF 80 (EA), 4 válvulas VCDM-100, 2 transmissores de temperatura. Falta NF.</t>
  </si>
  <si>
    <t>0836-0881</t>
  </si>
  <si>
    <t>FT-3180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</si>
  <si>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600 SIMT/F2, série 12537, 2024, Vazao min 300 / max 3000 | Conexao 4" 150#RF | Pressao max 19,5 | Temp max 60 C, Biodiesel B100.</t>
    </r>
  </si>
  <si>
    <t>OI 600 SIMT/F2</t>
  </si>
  <si>
    <t>Vazao min 300 / max 3000 | Conexao 4" 150#RF | Pressao max 19,5 | Temp max 60 C</t>
  </si>
  <si>
    <t>12537</t>
  </si>
  <si>
    <t>Sem dado teórico individual. Só leitura de campo (sem 2ª fonte).</t>
  </si>
  <si>
    <t>0878</t>
  </si>
  <si>
    <t>FT-3181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</si>
  <si>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 80, série 01361123, DIMEL no 365/2020, 2024, Classe exatidao 0,3 | QMM 100 | Temp max 60 min -20 | Pressao 19,58 | Vazao 150/15, Etanol anidro.</t>
    </r>
  </si>
  <si>
    <t>MTF 80</t>
  </si>
  <si>
    <t>Classe exatidao 0,3 | QMM 100 | Temp max 60 min -20 | Pressao 19,58 | Vazao 150/15</t>
  </si>
  <si>
    <t>01361123</t>
  </si>
  <si>
    <t>0842-0844</t>
  </si>
  <si>
    <t>FT-3182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</si>
  <si>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600 SIMT/F2, série 12538, 2024, Vazao min 300 / max 3000 | Conexao 4" 150#RF | Pressao max 19,5 | Temp max 60 C, Biodiesel B100.</t>
    </r>
  </si>
  <si>
    <t>12538</t>
  </si>
  <si>
    <t>0881</t>
  </si>
  <si>
    <t>FCV-3180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</si>
  <si>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0313, DN 100 mm; T.max 70 C; PN 10 bar, Combustiveis.</t>
    </r>
  </si>
  <si>
    <t>VCDM-100</t>
  </si>
  <si>
    <t>DN 100 mm; T.max 70 C; PN 10 bar</t>
  </si>
  <si>
    <t>0313</t>
  </si>
  <si>
    <t>Sem dado teórico individual. Só leitura de campo (sem 2ª fonte). Pendente/ilegível: ano de fabricacao.</t>
  </si>
  <si>
    <t>0868-0871</t>
  </si>
  <si>
    <t>FCV-3181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</si>
  <si>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0316, DN 100 mm; T.max 70 C; PN 10 bar, Combustiveis.</t>
    </r>
  </si>
  <si>
    <t>0316</t>
  </si>
  <si>
    <t>Sem dado teórico individual. Só leitura de campo (sem 2ª fonte). antes "0315 ou 0316" - fechado 0316. Pendente/ilegível: associacao TAG x no de serie.</t>
  </si>
  <si>
    <t>0850-0852</t>
  </si>
  <si>
    <t>FCV-3182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</si>
  <si>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0314, DN 100 mm; T.max 70 C; PN 10 bar, Combustiveis.</t>
    </r>
  </si>
  <si>
    <t>0314</t>
  </si>
  <si>
    <t>0873-0876</t>
  </si>
  <si>
    <t>FCV-3183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</si>
  <si>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0315, DN 100 mm; T.max 70 C; PN 10 bar, Combustiveis.</t>
    </r>
  </si>
  <si>
    <t>0315</t>
  </si>
  <si>
    <t>Sem dado teórico individual. Só leitura de campo (sem 2ª fonte). antes "0315 ou 0316" - fechado 0315. Pendente/ilegível: associacao TAG x no de serie.</t>
  </si>
  <si>
    <t>0855-0859</t>
  </si>
  <si>
    <t>TE-3181A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</si>
  <si>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Transmissor de temperatura – ALUTAL, CEX-A-00015, série 377046, Ex ia IIC T6..T1 Ga | Ex ic IIC | IP66W/IP66X | INMETRO, Instrumentacao.</t>
    </r>
  </si>
  <si>
    <t>ALUTAL</t>
  </si>
  <si>
    <t>CEX-A-00015</t>
  </si>
  <si>
    <t>Ex ia IIC T6..T1 Ga | Ex ic IIC | IP66W/IP66X | INMETRO</t>
  </si>
  <si>
    <t>377046</t>
  </si>
  <si>
    <t>0846</t>
  </si>
  <si>
    <t>TE-3183A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</si>
  <si>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Transmissor de temperatura – ALUTAL, CEX-A-00015, série 377046, Ex ia IIC T6..T1 Ga | INMETRO, Instrumentacao.</t>
    </r>
  </si>
  <si>
    <t>Ex ia IIC T6..T1 Ga | INMETRO</t>
  </si>
  <si>
    <t>0848</t>
  </si>
  <si>
    <t>14d</t>
  </si>
  <si>
    <t>Skid de DESCARGA de caminhões-tanque com duas bombas (PLDCT-03)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</si>
  <si>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Unidade de skid para operações de descarga de caminhões-tanque, com duas bombas – 1 un. × R$ 1.728.513,25 = R$ 1.728.513,25; fornecedor Metroval Controle de Fluídos Ltda.; Finame 03204045.NF: NF 1551 de 01/03/2024 – PHD Master Consultoria Ltda (CNPJ 68.806.496/0001-29): "Itens diversos", R$ 1.728.513,25 – valor exato da linha, emitente PHD MASTER CONSULTORIA, não Metroval.SAP: não há cadastro do skid; as bombas B-3124/B-3125 estão no SAP como "BOMBA CENTRIFUGA DESCARREG" (local PTM-10).Projeto: DE-3100-5100-006: plataforma de descarga PLDCT-03; LI-3100-6107: trole e chuveiros da "plataforma de descarga rodoviária"; LI-6105: linhas HC 1200-1205 das bombas B-3124/3125.</t>
    </r>
  </si>
  <si>
    <t>Metroval (crítica)</t>
  </si>
  <si>
    <t>não identificado</t>
  </si>
  <si>
    <t>2 bombas (crítica)</t>
  </si>
  <si>
    <t>1551</t>
  </si>
  <si>
    <t>01/03/2024</t>
  </si>
  <si>
    <t>PHD Master Consultoria Ltda (68.806.496/0001-29)</t>
  </si>
  <si>
    <t>valor exato; emitente PHD MASTER CONSULTORIA, não Metroval</t>
  </si>
  <si>
    <t>Sem caracterização de campo do skid. As imagens ANP Fig. 175/176 ("bomba de descarregamento de produto da plataforma rodoviária, lado A/B") mostram os mesmos conjuntos KSB/WEG das B-3124/B-3125 (Fig. 177/178, linha 13). Se as duas bombas do skid são as da linha 13, as bombas estão contadas duas vezes (KSB NF 34370 e PHD NF 1551). Pedir a composição do fornecimento da NF 1551.</t>
  </si>
  <si>
    <t>ANP Fig. 175, 176</t>
  </si>
  <si>
    <t>14e</t>
  </si>
  <si>
    <t>Carregamento ferroviário (braços TSPRO, SDV, sensores, alvos, botoeiras)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</si>
  <si>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Carregamento ferroviário: 10 válvulas SDV para o braço de carregamento; 10 sensores para os braços, modelo XNNN-0210, com proteção mecânica; 30 alvos de braço abaixado MS-PSH-G; 6 botoeiras de emergência – 1 un. × R$ 1.462.832,34 = R$ 1.462.832,34; fornecedor Metroval Controle de Fluídos Ltda.; Finame 03204045.NF: prováveis: NF 42239 de 13/11/2024 – Metroval Controle de Fluidos Ltda (CNPJ 58.762.956/0001-00): "Válvula on-off", R$ 260.000,03; NF 7032 de 04/06/2024 – TSPRO Fab. Dist. e Rep. de Equip. Industriais (CNPJ 13.108.393/0001-01): "BT modelo C 4 pol. vedações", R$ 87.357,24; NF 7488 de 03/10/2024 – TSPRO Fab. Dist. e Rep. de Equip. Industriais (CNPJ 13.108.393/0001-01): "BT modelo C 4 pol.", R$ 218.393,10.SAP: não consta na base SAP (seleção).Projeto: LI-3100-6107: trole da plataforma de descarga ferroviária e visores de fluxo do desvio ferroviário (H-3177 a 31204) – não detalha braços/SDV.</t>
    </r>
  </si>
  <si>
    <t>Metroval (crítica) / TSPRO (braços)</t>
  </si>
  <si>
    <t>braços TSPRO BTC-42CA.0466-4, 4"</t>
  </si>
  <si>
    <t>10 SDV, 10 sensores XNNN-0210, 30 alvos MS-PSH-G, 6 botoeiras (crítica)</t>
  </si>
  <si>
    <t>rastreamento 7741/24-02 a -05; BP-2123</t>
  </si>
  <si>
    <t>28/05/2024 (lote 1)</t>
  </si>
  <si>
    <t>A crítica descreve SDV, sensores, alvos e botoeiras; em campo foram caracterizados os braços TSPRO (2 pedidos de compra: 5700013342 e 5700017052) e as plataformas 8 a 14 lado B (7 ilhas no preset). SDV, sensores, alvos e botoeiras não foram contados um a um. A NF 42239 (Metroval, válvulas on-off) é compatível com as 10 SDV; as NFs TSPRO, com os braços.</t>
  </si>
  <si>
    <t>0886-0960 | ANP Fig. 119, 128, 131</t>
  </si>
  <si>
    <t>BR ferrov. (lote 1)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</si>
  <si>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Braco de carregamento superior (ferroviario) – TSPRO, BTC-42CA.0466-4, série Num. rastr. 7741/24-02, -03, -04, -05, Pedido de compra 5700013342, 28/05/2024, TSPRO | ASME B31.3 / ASME IX | BTC-42CA.0466-4 | 4" CARB. ALUM. / VITON | Cliente ULTRACARGO PALMEIRANTE | 4 unidades com rastreamento individual lido, Carregamento ferroviario.</t>
    </r>
  </si>
  <si>
    <t>TSPRO</t>
  </si>
  <si>
    <t>BTC-42CA.0466-4</t>
  </si>
  <si>
    <t>TSPRO | ASME B31.3 / ASME IX | BTC-42CA.0466-4 | 4" CARB. ALUM. / VITON | Cliente ULTRACARGO PALMEIRANTE | 4 unidades com rastreamento individual lido</t>
  </si>
  <si>
    <t>Num. rastr. 7741/24-02, -03, -04, -05</t>
  </si>
  <si>
    <t>28/05/2024</t>
  </si>
  <si>
    <t>Sem dado teórico individual. Pendente/ilegível: rastreamento de ~6 bracos ilegivel por reflexo.</t>
  </si>
  <si>
    <t>0888-0931</t>
  </si>
  <si>
    <t>BR ferrov. (lote 2)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</si>
  <si>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Braco de carregamento superior (ferroviario) – TSPRO, BTC-42CA.0466-? (parcial), série Num. rastr. BP-2123, Pedido de compra 5700017052, TSPRO | ASME B31.3/ASME IX | 4" CARBONO AL / VITON | Cliente ULTRACARGO PALMEIRANTE, Carregamento ferroviario.</t>
    </r>
  </si>
  <si>
    <t>BTC-42CA.0466-? (parcial)</t>
  </si>
  <si>
    <t>TSPRO | ASME B31.3/ASME IX | 4" CARBONO AL / VITON | Cliente ULTRACARGO PALMEIRANTE</t>
  </si>
  <si>
    <t>Num. rastr. BP-2123</t>
  </si>
  <si>
    <t>Sem dado teórico individual. Pendente/ilegível: SEGUNDO PEDIDO DE COMPRA - codigo de equipamento e data a confirmar.</t>
  </si>
  <si>
    <t>0950, 0951, 0956</t>
  </si>
  <si>
    <t>Plataformas 8 a 14 – lado B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</si>
  <si>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7 ilhas cadastradas no preset (ilha 8 = preset 1 ... ilha 14 = preset 7).</t>
    </r>
  </si>
  <si>
    <t>7 posições de carregamento</t>
  </si>
  <si>
    <t>Lado A e numeração completa das plataformas a confirmar (pedido M16).</t>
  </si>
  <si>
    <t>0886, 0897, 0900, 0906, 0923, 0934, 0960, 0917</t>
  </si>
  <si>
    <t>14 (comp.)</t>
  </si>
  <si>
    <t>(TAG pendente) – Medidor de vazao tipo turbina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</si>
  <si>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01291123, DIMEL 365/2020, 2024, Classe exatidao 0,3; QMM 100; 60/-20 C; 19,58; vazao 150/15, Etanol anidro.</t>
    </r>
  </si>
  <si>
    <t>MTF-80</t>
  </si>
  <si>
    <t>Classe exatidao 0,3; QMM 100; 60/-20 C; 19,58; vazao 150/15</t>
  </si>
  <si>
    <t>01291123</t>
  </si>
  <si>
    <t>Sem dado teórico individual. Só leitura de campo (sem 2ª fonte). Pendente/ilegível: TAG. Vínculo a 14a/14b/14d não documentado.</t>
  </si>
  <si>
    <t>0306, 0307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</si>
  <si>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01381123, DIMEL 365/2020, 2024, Classe exatidao 0,3; QMM 100; 60/-20 C; 19,8; vazao 150/15, Diesel S-10.</t>
    </r>
  </si>
  <si>
    <t>Classe exatidao 0,3; QMM 100; 60/-20 C; 19,8; vazao 150/15</t>
  </si>
  <si>
    <t>01381123</t>
  </si>
  <si>
    <t>0417-0420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</si>
  <si>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01391123, DIMEL 365/2020, 2024, Classe exatidao 0,3; QMM 100; 60/-20 C; 19,8; vazao 150/15, Diesel S-10.</t>
    </r>
  </si>
  <si>
    <t>01391123</t>
  </si>
  <si>
    <t>Sem dado teórico individual. Só leitura de campo (sem 2ª fonte). Pendente/ilegível: TAG (parcial: FT-3102?). Vínculo a 14a/14b/14d não documentado.</t>
  </si>
  <si>
    <t>0403-0405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</si>
  <si>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01411123, DIMEL 365/2020, 2024, Classe exatidao 0,3; QMM 100; 60/-20 C; 19,58, Etanol anidro.</t>
    </r>
  </si>
  <si>
    <t>Classe exatidao 0,3; QMM 100; 60/-20 C; 19,58</t>
  </si>
  <si>
    <t>01411123</t>
  </si>
  <si>
    <t>0356-0359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</si>
  <si>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01431123, DIMEL 365/2020, 2024, Classe exatidao 0,3; QMM 100; 60/-20 C; 19,58; vazao 150/15, Diesel S-500.</t>
    </r>
  </si>
  <si>
    <t>01431123</t>
  </si>
  <si>
    <t>Sem dado teórico individual. Só leitura de campo (sem 2ª fonte). Pendente/ilegível: TAG (parcial: FT-315?). Vínculo a 14a/14b/14d não documentado.</t>
  </si>
  <si>
    <t>0408-0410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</si>
  <si>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01441123, DIMEL 365/2020, 2024, Classe exatidao 0,3; QMM 100; 60/-20 C, Diesel S-500.</t>
    </r>
  </si>
  <si>
    <t>Classe exatidao 0,3; QMM 100; 60/-20 C</t>
  </si>
  <si>
    <t>01441123</t>
  </si>
  <si>
    <t>Sem dado teórico individual. Só leitura de campo (sem 2ª fonte). Pendente/ilegível: TAG (parcial: FT-3146?). Vínculo a 14a/14b/14d não documentado.</t>
  </si>
  <si>
    <t>0557, 0558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</si>
  <si>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01471123, DIMEL 365/2020, 2024, Classe exatidao 0,3; QMM 100; 60/-20 C; 19,58, Gasolina.</t>
    </r>
  </si>
  <si>
    <t>01471123</t>
  </si>
  <si>
    <t>0654, 0658, 0659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</si>
  <si>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01481123, DIMEL 365/2020, 2024, Classe exatidao 0,3; QMM 100; 60/-20 C; 19,58; vazao 150/15, Diesel S-500.</t>
    </r>
  </si>
  <si>
    <t>01481123</t>
  </si>
  <si>
    <t>Sem dado teórico individual. Só leitura de campo (sem 2ª fonte). Pendente/ilegível: TAG (parcial: FT-3158?). Vínculo a 14a/14b/14d não documentado.</t>
  </si>
  <si>
    <t>0413-0415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</si>
  <si>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01491123, DIMEL 365/2020, 2024, Classe exatidao 0,3; QMM 100; 60/-20 C; 19,58; vazao 150/15, Diesel S-10.</t>
    </r>
  </si>
  <si>
    <t>01491123</t>
  </si>
  <si>
    <t>0562-0564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</si>
  <si>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01501123, DIMEL 365/2020, 2024, Classe exatidao 0,3; QMM 100; 60/-20 C; 19,58, Etanol anidro.</t>
    </r>
  </si>
  <si>
    <t>01501123</t>
  </si>
  <si>
    <t>0674-0676</t>
  </si>
  <si>
    <t>FCV-3140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</si>
  <si>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0281, DN 100 mm; T.max 70 C; PN 10 bar, Combustiveis.</t>
    </r>
  </si>
  <si>
    <t>0281</t>
  </si>
  <si>
    <t>Sem dado teórico individual. Só leitura de campo (sem 2ª fonte). Nr.S antes nao lido (0532 "0?9?" era esta valvula). Pendente/ilegível: no de serie, ano. Vínculo a 14a/14b/14d não documentado.</t>
  </si>
  <si>
    <t>0527-0532</t>
  </si>
  <si>
    <t>FCV-3141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</si>
  <si>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VCDM-50, série 0302, 2024, DN 50 mm; T.max 70 C; PN 10 bar, Combustiveis.</t>
    </r>
  </si>
  <si>
    <t>VCDM-50</t>
  </si>
  <si>
    <t>DN 50 mm; T.max 70 C; PN 10 bar</t>
  </si>
  <si>
    <t>0302</t>
  </si>
  <si>
    <t>Sem dado teórico individual. Só leitura de campo (sem 2ª fonte). antes "TAG pendente". Vínculo a 14a/14b/14d não documentado.</t>
  </si>
  <si>
    <t>0686-0691</t>
  </si>
  <si>
    <t>FCV-3142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</si>
  <si>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0289, 2024, DN 100 mm; T.max 70 C; PN 10 bar, Combustiveis.</t>
    </r>
  </si>
  <si>
    <t>0289</t>
  </si>
  <si>
    <t>Sem dado teórico individual. Só leitura de campo (sem 2ª fonte). TAG parcialmente legivel (FCV-314?). Vínculo a 14a/14b/14d não documentado.</t>
  </si>
  <si>
    <t>0525-0526</t>
  </si>
  <si>
    <t>FCV-3144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</si>
  <si>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0308, DN 100 mm; T.max 70 C; PN 10 bar, Combustiveis.</t>
    </r>
  </si>
  <si>
    <t>0308</t>
  </si>
  <si>
    <t>Sem dado teórico individual. Só leitura de campo (sem 2ª fonte). Nr.S antes nao lido. Pendente/ilegível: no de serie, ano. Vínculo a 14a/14b/14d não documentado.</t>
  </si>
  <si>
    <t>0620-0622</t>
  </si>
  <si>
    <t>FCV-3145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</si>
  <si>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VCDM-80, série 0270, 2024, DN 80 mm; T.max 70 C; PN 10 bar, Combustiveis.</t>
    </r>
  </si>
  <si>
    <t>VCDM-80</t>
  </si>
  <si>
    <t>DN 80 mm; T.max 70 C; PN 10 bar</t>
  </si>
  <si>
    <t>0270</t>
  </si>
  <si>
    <t>0636-0637</t>
  </si>
  <si>
    <t>FCV-3146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</si>
  <si>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0310, 2024, DN 100 mm; T.max 70 C; PN 10 bar, Combustiveis.</t>
    </r>
  </si>
  <si>
    <t>0310</t>
  </si>
  <si>
    <t>Sem dado teórico individual. Só leitura de campo (sem 2ª fonte). placa e tag em fotos seguidas (nao na mesma foto). Vínculo a 14a/14b/14d não documentado.</t>
  </si>
  <si>
    <t>0612-0618</t>
  </si>
  <si>
    <t>FCV-3147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</si>
  <si>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VCDM-80, série 0274, 2024, DN 80 mm; T.max 70 C; PN 10 bar, Combustiveis.</t>
    </r>
  </si>
  <si>
    <t>0274</t>
  </si>
  <si>
    <t>0630-0634</t>
  </si>
  <si>
    <t>FCV-3148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</si>
  <si>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0312, 2024, DN 100 mm; T.max 70 C; PN 10 bar, Combustiveis.</t>
    </r>
  </si>
  <si>
    <t>0312</t>
  </si>
  <si>
    <t>Sem dado teórico individual. Só leitura de campo (sem 2ª fonte). tag pouco legivel. Vínculo a 14a/14b/14d não documentado.</t>
  </si>
  <si>
    <t>0607-0609</t>
  </si>
  <si>
    <t>FCV-3149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</si>
  <si>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0290, DN 100 mm; T.max 70 C; PN 10 bar, Combustiveis.</t>
    </r>
  </si>
  <si>
    <t>0290</t>
  </si>
  <si>
    <t>Sem dado teórico individual. Só leitura de campo (sem 2ª fonte). sem mudanca. Pendente/ilegível: ano de fabricacao. Vínculo a 14a/14b/14d não documentado.</t>
  </si>
  <si>
    <t>0534-0537</t>
  </si>
  <si>
    <t>FCV-3150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</si>
  <si>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VCDM-50, série 0317, 2024, DN 50 mm; T.max 70 C; PN 10 bar, Combustiveis.</t>
    </r>
  </si>
  <si>
    <t>0317</t>
  </si>
  <si>
    <t>Sem dado teórico individual. Só leitura de campo (sem 2ª fonte). antes "FCV-31?? 0317". Vínculo a 14a/14b/14d não documentado.</t>
  </si>
  <si>
    <t>0693-0696</t>
  </si>
  <si>
    <t>FCV-3151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</si>
  <si>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0291, 2024, DN 100 mm; T.max 70 C; PN 10 bar, Combustiveis.</t>
    </r>
  </si>
  <si>
    <t>0291</t>
  </si>
  <si>
    <t>Sem dado teórico individual. Só leitura de campo (sem 2ª fonte). ERA REGISTRADA COMO FCV-3161 (leitura errada do tag). Vínculo a 14a/14b/14d não documentado.</t>
  </si>
  <si>
    <t>0539-0540</t>
  </si>
  <si>
    <t>FCV-3152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</si>
  <si>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VCDM-50, série 0318, 2024, DN 50 mm; T.max 70 C; PN 10 bar, Combustiveis.</t>
    </r>
  </si>
  <si>
    <t>0318</t>
  </si>
  <si>
    <t>Sem dado teórico individual. Terceiros (fotos 14/11/2025, WA0315): WA0315 "FCV-3152 (provavel)" Nr.S 0309 - DIVERGE – DIVERGE. antes lida "0316" - leitura errada; o Nr.S e 0318. Vínculo a 14a/14b/14d não documentado.</t>
  </si>
  <si>
    <t>0698-0700</t>
  </si>
  <si>
    <t>FCV-3155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</si>
  <si>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0293, DN 100 mm; T.max 70 C; PN 10 bar, Combustiveis.</t>
    </r>
  </si>
  <si>
    <t>0293</t>
  </si>
  <si>
    <t>Sem dado teórico individual. Terceiros (fotos 14/11/2025, WA0308): WA0308 0293 - confere – S. Vínculo a 14a/14b/14d não documentado.</t>
  </si>
  <si>
    <t>0387</t>
  </si>
  <si>
    <t>FCV-3156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</si>
  <si>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VCDM-50, série 0321, DN 50 mm; T.max 70 C; PN 10 bar, Combustiveis.</t>
    </r>
  </si>
  <si>
    <t>0321</t>
  </si>
  <si>
    <t>Sem dado teórico individual. Só leitura de campo (sem 2ª fonte). ERA REGISTRADA COMO FCV-3168 sem Nr.S (tag lido errado). Pendente/ilegível: no de serie, PN, ano. Vínculo a 14a/14b/14d não documentado.</t>
  </si>
  <si>
    <t>0459-0465</t>
  </si>
  <si>
    <t>FCV-3157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</si>
  <si>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0294, DN 100 mm; T.max 70 C; PN 10 bar, Combustiveis.</t>
    </r>
  </si>
  <si>
    <t>0294</t>
  </si>
  <si>
    <t>Sem dado teórico individual. Terceiros (fotos 14/11/2025, WA0281): WA0281 0294 - confere – S. tag confirmado em campo (0336). Pendente/ilegível: TAG nao fotografado em campo. Vínculo a 14a/14b/14d não documentado.</t>
  </si>
  <si>
    <t>0335-0336</t>
  </si>
  <si>
    <t>FCV-3158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</si>
  <si>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VCDM-80, série 0271, 2024, DN 80 mm; T.max 70 C; PN 10 bar, Combustiveis.</t>
    </r>
  </si>
  <si>
    <t>0271</t>
  </si>
  <si>
    <t>Sem dado teórico individual. Terceiros (fotos 14/11/2025, WA0283): WA0283 0271 - confere – S. antes "FCV-3149?" - leitura errada. Vínculo a 14a/14b/14d não documentado.</t>
  </si>
  <si>
    <t>0338-0340</t>
  </si>
  <si>
    <t>FCV-3159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</si>
  <si>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0295, 2024, DN 100 mm; T.max 70 C; PN 10 bar, Combustiveis.</t>
    </r>
  </si>
  <si>
    <t>0295</t>
  </si>
  <si>
    <t>Sem dado teórico individual. Terceiros (fotos 14/11/2025, WA0288): WA0288 0295 - confere – S. placa e tag em fotos seguidas. Vínculo a 14a/14b/14d não documentado.</t>
  </si>
  <si>
    <t>0330-0333</t>
  </si>
  <si>
    <t>FCV-3160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</si>
  <si>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VCDM-80, série 0272, DN 80 mm; T.max 70 C; PN 10 bar, Combustiveis.</t>
    </r>
  </si>
  <si>
    <t>0272</t>
  </si>
  <si>
    <t>Sem dado teórico individual. Terceiros (fotos 14/11/2025, WA0290): WA0290 0272 - confere – S. era FCV-3130 (corrigido M12). Pendente/ilegível: ano de fabricacao. Vínculo a 14a/14b/14d não documentado.</t>
  </si>
  <si>
    <t>0341-0346</t>
  </si>
  <si>
    <t>FCV-3161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</si>
  <si>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0307, DN 100 mm; T.max 70 C; PN 10 bar, Combustiveis.</t>
    </r>
  </si>
  <si>
    <t>0307</t>
  </si>
  <si>
    <t>Sem dado teórico individual. Terceiros (fotos 14/11/2025, WA0291): WA0291 FCV-3161 - confere TAG – S. antes a FCV-3161 tinha o Nr.S 0291, que e da FCV-3151. Pendente/ilegível: ano de fabricacao. Vínculo a 14a/14b/14d não documentado.</t>
  </si>
  <si>
    <t>0327-0329</t>
  </si>
  <si>
    <t>FCV-3164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</si>
  <si>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VCDM-100, série 0311, DN 100 mm; T.max 70 C; PN 10 bar, Combustiveis.</t>
    </r>
  </si>
  <si>
    <t>0311</t>
  </si>
  <si>
    <t>Sem dado teórico individual. Terceiros (fotos 14/11/2025, WA0316): WA0316 0311 - confere – S. era FCV-3154 (corrigido M12). Pendente/ilegível: ano de fabricacao. Vínculo a 14a/14b/14d não documentado.</t>
  </si>
  <si>
    <t>0389-0390</t>
  </si>
  <si>
    <t>FCV-3165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</si>
  <si>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de controle de vazao – Metroval, VCDM-50, série 0323, DN 50 mm; T.max 70 C; PN 10 bar, Combustiveis.</t>
    </r>
  </si>
  <si>
    <t>0323</t>
  </si>
  <si>
    <t>Sem dado teórico individual. Terceiros (fotos 14/11/2025, WA0313): WA0313 0323 - confere – S. tag confirmado em campo (0470). Pendente/ilegível: TAG nao fotografado em campo. Vínculo a 14a/14b/14d não documentado.</t>
  </si>
  <si>
    <t>0467-0470</t>
  </si>
  <si>
    <t>FT-3141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</si>
  <si>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01311123, DIMEL 365/2020, 2024, Classe exatidao 0,3; QMM 100; 60/-20 C; 19,58; vazao 150/15, Gasolina.</t>
    </r>
  </si>
  <si>
    <t>01311123</t>
  </si>
  <si>
    <t>Sem dado teórico individual. Só leitura de campo (sem 2ª fonte). Pendente/ilegível: TAG a confirmar (plaqueta desfocada). Vínculo a 14a/14b/14d não documentado.</t>
  </si>
  <si>
    <t>0662-0663, 0667, 0670</t>
  </si>
  <si>
    <t>FT-3142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</si>
  <si>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01?3?1123, DIMEL 365/2020, 2024, Classe exatidao 0,3; QMM 100; 60/-20 C; 19,58; vazao 150/15, Diesel S-500.</t>
    </r>
  </si>
  <si>
    <t>01?3?1123</t>
  </si>
  <si>
    <t>Sem dado teórico individual. Só leitura de campo (sem 2ª fonte). Pendente/ilegível: digitos do no de serie. Vínculo a 14a/14b/14d não documentado.</t>
  </si>
  <si>
    <t>0553, 0554</t>
  </si>
  <si>
    <t>FT-3143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</si>
  <si>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50 SMPF/F2, série 12527, 2024, Vazao 30-300 L/min; 2" 150# RF; 20 bar; 60 C, Biodiesel B100.</t>
    </r>
  </si>
  <si>
    <t>OI 50 SMPF/F2</t>
  </si>
  <si>
    <t>Vazao 30-300 L/min; 2" 150# RF; 20 bar; 60 C</t>
  </si>
  <si>
    <t>12527</t>
  </si>
  <si>
    <t>Sem dado teórico individual. Só leitura de campo (sem 2ª fonte). Pendente/ilegível: no de serie. Vínculo a 14a/14b/14d não documentado.</t>
  </si>
  <si>
    <t>0711, 0712</t>
  </si>
  <si>
    <t>FT-3148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</si>
  <si>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01421123, DIMEL 365/2020, 2024, Classe exatidao 0,3; QMM 100; 60/-20 C; 19,58; vazao 150/15, Etanol hidratado.</t>
    </r>
  </si>
  <si>
    <t>01421123</t>
  </si>
  <si>
    <t>Sem dado teórico individual. Só leitura de campo (sem 2ª fonte). Vínculo a 14a/14b/14d não documentado.</t>
  </si>
  <si>
    <t>0649-0651</t>
  </si>
  <si>
    <t>FT-3151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</si>
  <si>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01341123, DIMEL 365/2020, 2024, Classe exatidao 0,3; QMM 100; 60/-20 C; 19,58; vazao 150/15, Diesel S-500.</t>
    </r>
  </si>
  <si>
    <t>01341123</t>
  </si>
  <si>
    <t>Sem dado teórico individual. Só leitura de campo (sem 2ª fonte). Pendente/ilegível: nenhum - divergencia D01 resolvida. Vínculo a 14a/14b/14d não documentado.</t>
  </si>
  <si>
    <t>0315-0317, 0567-0570</t>
  </si>
  <si>
    <t>FT-3154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</si>
  <si>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50 SMPF/F2, série 12529, 2024, Vazao 30-300 L/min; 2" 150# RF; 20 bar; 60 C, Biodiesel B100.</t>
    </r>
  </si>
  <si>
    <t>12529</t>
  </si>
  <si>
    <t>Sem dado teórico individual. Terceiros (fotos 14/11/2025, WA0341): FT-3154 | OI 50 SMPF/F2 | 12529 – S. Vínculo a 14a/14b/14d não documentado.</t>
  </si>
  <si>
    <t>0439, 0440</t>
  </si>
  <si>
    <t>FT-3156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</si>
  <si>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50 SMPF/F2, série 12531, 2024, Vazao 30-300 L/min; 2" 150# RF; 20 bar; 60 C, Biodiesel B100.</t>
    </r>
  </si>
  <si>
    <t>12531</t>
  </si>
  <si>
    <t>Sem dado teórico individual. Terceiros (fotos 14/11/2025, WA0332): FT-3156 | OI 50 SMPF/F2 | 12531 – S. Vínculo a 14a/14b/14d não documentado.</t>
  </si>
  <si>
    <t>0441, 0442</t>
  </si>
  <si>
    <t>FT-3159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</si>
  <si>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de vazao tipo turbina – Metroval, MTF-80, série 01451123, DIMEL 365/2020, 2024, Classe exatidao 0,3; QMM 100; 60/-20 C; 19,58; vazao 150/15, Gasolina.</t>
    </r>
  </si>
  <si>
    <t>01451123</t>
  </si>
  <si>
    <t>0308, 0311, 0312</t>
  </si>
  <si>
    <t>FT-3163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</si>
  <si>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Medidor massico – Metroval, OI 50 SMPF/F2, série 12528, 2024, Vazao 30-300 L/min; 2" 150# RF; 20 bar; 60 C, Biodiesel B100.</t>
    </r>
  </si>
  <si>
    <t>12528</t>
  </si>
  <si>
    <t>Sem dado teórico individual. Terceiros (fotos 14/11/2025, WA0326 / WA0343): FT-3163 | OI 50 SMPF/F2 | 12528 – S. Vínculo a 14a/14b/14d não documentado.</t>
  </si>
  <si>
    <t>0437, 0438</t>
  </si>
  <si>
    <t>SDV-3103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</si>
  <si>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ON-OFF – Metroval, VOOM-100, série 0331, DN 100 mm; T.max 70 C; PN 10 bar, Combustiveis.</t>
    </r>
  </si>
  <si>
    <t>VOOM-100</t>
  </si>
  <si>
    <t>0331</t>
  </si>
  <si>
    <t>Sem dado teórico individual. Só leitura de campo (sem 2ª fonte). ERA REGISTRADA COMO SDV-3109 (tag lido errado); 0490 lida antes como SDV-3105. Pendente/ilegível: ano de fabricacao. Vínculo a 14a/14b/14d não documentado.</t>
  </si>
  <si>
    <t>0489-0490</t>
  </si>
  <si>
    <t>SDV-3111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</si>
  <si>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ON-OFF – Metroval, VOOM-100, série 0336, 2024, DN 100 mm; T.max 70 C; PN 10 bar, Combustiveis.</t>
    </r>
  </si>
  <si>
    <t>0336</t>
  </si>
  <si>
    <t>0492-0494</t>
  </si>
  <si>
    <t>SDV-3112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</si>
  <si>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ON-OFF – Metroval, VOOM-100, série 0338, DN 100 mm; T.max 70 C; PN 10 bar, Combustiveis.</t>
    </r>
  </si>
  <si>
    <t>0338</t>
  </si>
  <si>
    <t>Sem dado teórico individual. Só leitura de campo (sem 2ª fonte). antes "0338 ou 0339" - fechado 0338. Pendente/ilegível: ver DIVERGENCIAS (duas series). Vínculo a 14a/14b/14d não documentado.</t>
  </si>
  <si>
    <t>0496-0499</t>
  </si>
  <si>
    <t>SDV-3113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</si>
  <si>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Valvula ON-OFF – Metroval, VOOM-100, série 0339, DN 100 mm; T.max 70 C; PN 10 bar, Combustiveis.</t>
    </r>
  </si>
  <si>
    <t>0339</t>
  </si>
  <si>
    <t>Sem dado teórico individual. Terceiros (fotos 14/11/2025, WA0311): WA0311 SDV-3113 - confere TAG – S. Nr.S antes nao lido. Pendente/ilegível: no de serie, ano. Vínculo a 14a/14b/14d não documentado.</t>
  </si>
  <si>
    <t>0485-0487</t>
  </si>
  <si>
    <t>TE-3101A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</si>
  <si>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Transmissor de temperatura – ALUTAL, CEX-A-00015, série 377041, Ex ia IIC T6..T1 Ga; Ex ic IIC T6..T4 Ga; IP66W/IP66X; INMETRO, Instrumentacao.</t>
    </r>
  </si>
  <si>
    <t>Ex ia IIC T6..T1 Ga; Ex ic IIC T6..T4 Ga; IP66W/IP66X; INMETRO</t>
  </si>
  <si>
    <t>377041</t>
  </si>
  <si>
    <t>Sem dado teórico individual. Só leitura de campo (sem 2ª fonte). Pendente/ilegível: ano de fabricacao. Vínculo a 14a/14b/14d não documentado.</t>
  </si>
  <si>
    <t>0548</t>
  </si>
  <si>
    <t>TE-3141A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</si>
  <si>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Transmissor de temperatura – ALUTAL, CEX-A-00015, série 377041, Ex ia IIC T6..T1 Ga; IP66W/IP66X; INMETRO, Instrumentacao.</t>
    </r>
  </si>
  <si>
    <t>Ex ia IIC T6..T1 Ga; IP66W/IP66X; INMETRO</t>
  </si>
  <si>
    <t>0703, 0704</t>
  </si>
  <si>
    <t>TE-3147A</t>
  </si>
  <si>
    <t>0643</t>
  </si>
  <si>
    <t>TE-3149A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</si>
  <si>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Transmissor de temperatura – ALUTAL, CEX-A-00015, série 377041, Ex ia IIC T6..T1 Ga; INMETRO, Instrumentacao.</t>
    </r>
  </si>
  <si>
    <t>Ex ia IIC T6..T1 Ga; INMETRO</t>
  </si>
  <si>
    <t>0546</t>
  </si>
  <si>
    <t>TE-3152A</t>
  </si>
  <si>
    <t>0708, 0709</t>
  </si>
  <si>
    <t>XS-3103A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</si>
  <si>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Cert. DNV 18.0113 X, 85-250 Vca; Ex db ia [ia Ga] IIB T5 Gb; -20 a +55 C, Carregamento rodoviario.</t>
    </r>
  </si>
  <si>
    <t>KFW (Qingdao Aiptec)</t>
  </si>
  <si>
    <t>SLA-S-Y</t>
  </si>
  <si>
    <t>85-250 Vca; Ex db ia [ia Ga] IIB T5 Gb; -20 a +55 C</t>
  </si>
  <si>
    <t>Cert. DNV 18.0113 X</t>
  </si>
  <si>
    <t>0571, 0572</t>
  </si>
  <si>
    <t>XS-3104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</si>
  <si>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série 2011011, Cert. DNV 18.0113 X, 85-250 Vca; Ex db ia [ia Ga] IIB T5 Gb; -20 a +55 C, Carregamento rodoviario.</t>
    </r>
  </si>
  <si>
    <t>2011011</t>
  </si>
  <si>
    <t>0624, 0722, 0723</t>
  </si>
  <si>
    <t>XS-3104B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</si>
  <si>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Cert. DNV 18.0113 X, 85-250 Vca; Ex db ia [ia Ga] IIB T5 Gb, Carregamento rodoviario.</t>
    </r>
  </si>
  <si>
    <t>85-250 Vca; Ex db ia [ia Ga] IIB T5 Gb</t>
  </si>
  <si>
    <t>0594, 0595, 0724, 0725</t>
  </si>
  <si>
    <t>XS-3107A</t>
  </si>
  <si>
    <t>0472, 0473</t>
  </si>
  <si>
    <t>XS-3107B</t>
  </si>
  <si>
    <t>0430, 0431</t>
  </si>
  <si>
    <t>XS-3108A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</si>
  <si>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série 21022?42, Cert. DNV 18.0113 X, 85-250 Vca; Ex db ia [ia Ga] IIB T5 Gb, Carregamento rodoviario.</t>
    </r>
  </si>
  <si>
    <t>21022?42</t>
  </si>
  <si>
    <t>0477, 0478</t>
  </si>
  <si>
    <t>XS-31209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</si>
  <si>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série 911?03?, Cert. DNV 18.0113 X, 85-250 Vca; Ex db ia [ia Ga] IIB T5 Gb, Carregamento.</t>
    </r>
  </si>
  <si>
    <t>911?03?</t>
  </si>
  <si>
    <t>0279, 0280</t>
  </si>
  <si>
    <t>XS-31211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</si>
  <si>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Cert. DNV 18.0113 X, 85-250 Vca; Ex db ia [ia Ga] IIB T5 Gb; Uo 21,42Vcc/Io 149mA (transbord.); Uo 14,28Vcc/Io 86,2mA (aterr.), Carregamento.</t>
    </r>
  </si>
  <si>
    <t>85-250 Vca; Ex db ia [ia Ga] IIB T5 Gb; Uo 21,42Vcc/Io 149mA (transbord.); Uo 14,28Vcc/Io 86,2mA (aterr.)</t>
  </si>
  <si>
    <t>0268, 0269</t>
  </si>
  <si>
    <t>XS-31212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</si>
  <si>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Protecao de transbordamento e aterramento – KFW (Qingdao Aiptec), SLA-S-Y, série 2011002 (?), Cert. DNV 18.0113 X, 85-250 Vca; Ex db ia [ia Ga] IIB T5 Gb, Carregamento.</t>
    </r>
  </si>
  <si>
    <t>2011002 (?)</t>
  </si>
  <si>
    <t>0285, 0286</t>
  </si>
  <si>
    <t>15-17</t>
  </si>
  <si>
    <t>Selos flutuantes Romão E037 (linhas 15 + 16 + 17 = 6 un.)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</si>
  <si>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linhas 15 a 17 somam R$ 546.941,16.NF: NF 2739 de 29/05/2024 – Romão Tecnologias Industriais Ltda (CNPJ 02.807.845/0001-19): "Selo película vedação simples", R$ 601.341,12 – cobre as três linhas; excede-as em R$ 54.399,96.SAP: selos não constam na base SAP (seleção).Projeto: não há lista de selos no dossiê (há catálogo Romão).</t>
    </r>
  </si>
  <si>
    <t>Romão</t>
  </si>
  <si>
    <t>E037</t>
  </si>
  <si>
    <t>2739</t>
  </si>
  <si>
    <t>29/05/2024</t>
  </si>
  <si>
    <t>Romão Tecnologias Industriais Ltda (02.807.845/0001-19)</t>
  </si>
  <si>
    <t>NF única das 3 linhas</t>
  </si>
  <si>
    <t>Selos internos aos tanques: não verificáveis em vistoria externa (categoria C). O RT0538 os declara encontrados. Pedir certificado/data-book Romão por tanque.</t>
  </si>
  <si>
    <t>15</t>
  </si>
  <si>
    <t>Selos flutuantes – TQ-3103 e TQ-3104 (gasolina A, 1.700 m³)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</si>
  <si>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Selo flutuante tanque arm. E037 – aplicação tanque de armazenamento, material alumínio, projeto/modelo E037, altura 14,4 m, diâmetro 13,33 m – 2 un. × R$ 124.911,76 = R$ 249.823,52; fornecedor Romão Tecnologias Industriais Ltda.; Finame 03967780.NF: NF 2739 (Romão, 29/05/2024) – ver grupo 15-17.SAP: não consta na base SAP (seleção).</t>
    </r>
  </si>
  <si>
    <t>E037, alumínio</t>
  </si>
  <si>
    <t>altura 14,4 m, diâmetro 13,33 m</t>
  </si>
  <si>
    <t>sem placa (interno ao tanque)</t>
  </si>
  <si>
    <t>não verificável</t>
  </si>
  <si>
    <t>ver grupo 15-17</t>
  </si>
  <si>
    <t>Não verificável em campo. Coerência dimensional com as placas dos tanques: As placas SOLO de TQ-3103 e TQ-3104 trazem altura 14.400 mm e diâmetro 13.330 mm = dimensões do selo (14,4 × 13,33 m). Correspondência exata para 2 tanques.</t>
  </si>
  <si>
    <t>placas dos tanques (CARACTERIZAÇÃO v4)</t>
  </si>
  <si>
    <t>16</t>
  </si>
  <si>
    <t>Selos flutuantes – TQ-3109 e TQ-3110 (etanol anidro, 800 m³)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</si>
  <si>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Selo flutuante tanque arm. E037 – aplicação tanque de armazenamento, material alumínio, projeto/modelo E037, altura 9,60 m, diâmetro 11,45 m – 2 un. × R$ 88.529,41 = R$ 177.058,82; fornecedor Romão Tecnologias Industriais Ltda.; Finame 03967780.NF: NF 2739 (Romão, 29/05/2024) – ver grupo 15-17.SAP: não consta na base SAP (seleção).</t>
    </r>
  </si>
  <si>
    <t>altura 9,60 m, diâmetro 11,45 m</t>
  </si>
  <si>
    <t>Não verificável em campo. Coerência dimensional com as placas dos tanques: Placas: TQ-3109 H 9.600 / D 11.450 mm e TQ-3110 H 9.600 / D 11.430 mm = selo 9,60 × 11,45 m (2 tanques; 20 mm de diferença entre as placas).</t>
  </si>
  <si>
    <t>17</t>
  </si>
  <si>
    <t>Selos flutuantes – 2 dos 3 tanques TQ-3111/3112/3113 (etanol hidratado, 300 m³)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</si>
  <si>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Selo flutuante tanque arm. E037 – aplicação tanque de armazenamento, material alumínio, projeto/modelo E037, altura 9,6 m, diâmetro 7,63 m – 2 un. × R$ 60.029,41 = R$ 120.058,82; fornecedor Romão Tecnologias Industriais Ltda.; Finame 03967780.NF: NF 2739 (Romão, 29/05/2024) – ver grupo 15-17.SAP: não consta na base SAP (seleção).</t>
    </r>
  </si>
  <si>
    <t>altura 9,6 m, diâmetro 7,63 m</t>
  </si>
  <si>
    <t>Não verificável em campo. Coerência dimensional com as placas dos tanques: Placas: TQ-3111 e TQ-3113 H 9.600 / D 7.630 mm = selo 9,6 × 7,63 m; TQ-3112 tem H 8.600 mm. São 3 tanques com D 7,63 m para 2 selos – qual tanque ficou sem selo não está documentado.</t>
  </si>
  <si>
    <t>18</t>
  </si>
  <si>
    <t>Subestação tipo eletrocentro VOLGA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</si>
  <si>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Subestação do tipo eletrocentro: 01 QGMT-3101; 01 TR-3101; 01 TL-3101; 01 PN-3101; 01 QGBT-3101; 01 BC-3101 (banco capacitor 170 kVAR); 01 sistema de energia ininterrupta CA NB-3101; 01 QD-UPS-3101; 01 QL-3102; 01 PN-3105; 01 PN-3106; 02 barramentos blindados IP-55 (PN-3101 e TR-3101/PN-3101); 01 painel SMF; cubículos PMT SM6 36 kV (entrada GAM-2, medição concessionária GBC-B, TP CM, 03 TP fusível, saída DM1-A com BA BF MT-I, medidor PM5340 CL05 c/ ethernet, comando básico MT – coluna disjuntora, relé Easergy P3U30-6CAA1BCAA, TC toroidal CSH120 c/ CCA630, 03 TP BDE-FT26C 36/√3-0,115/√3 V, 03 TC BDE-4000A 150/5-5 A 0,3C12,5-10B100 36 kV); 01 transformador auxiliar trifásico a seco 112,5 kVA 440-380/220 V IP-23 – 1 un. × R$ 3.163.087,46 = R$ 3.163.087,46; fornecedor Volga Engenharia Indústria e Comércio Ltda.; Finame 04037708.NF: NF 22 de 30/04/2024 – Volga Engenharia Ind. e Com. Ltda (CNPJ 03.347.463/0006-27): "Eletrocentro - subestação de energia", R$ 249.883,91; NF 33 de 22/05/2024 – Volga Engenharia Ind. e Com. Ltda (CNPJ 03.347.463/0006-27): "Eletrocentro - subestação de energia", R$ 2.154.062,56; NF 34 de 22/05/2024 – Volga Engenharia Ind. e Com. Ltda (CNPJ 03.347.463/0006-27): "Eletrocentro - subestação de energia", R$ 759.140,99 = R$ 3.163.087,46 (exato).SAP: SISTEMA DISTRIBUICAO ELETRICA – local BPAM-SELE, equip. 000000123508, ABC C.Projeto: Proposta VOLGA nº 20230138 rev. 6A de 06/10/2023 (R$ 3.163.087,46, Finame 04037708); as-built DE-3100-4300-014 rev. 04 (lista de 26 itens com nº VOLGA).</t>
    </r>
  </si>
  <si>
    <t>VOLGA</t>
  </si>
  <si>
    <t>eletrocentro (proposta 20230138 rev. 6A)</t>
  </si>
  <si>
    <t>34,5 kV / 440-380/220 V; TR 750 kVA; TL 112,5 kVA; BC 170 kVAr; nobreak 20 kVA</t>
  </si>
  <si>
    <t>sem placa geral</t>
  </si>
  <si>
    <t>SISTEMA / 000000123508</t>
  </si>
  <si>
    <t>2024 (placas dos painéis)</t>
  </si>
  <si>
    <t>22; 33; 34</t>
  </si>
  <si>
    <t>30/04/2024; 22/05/2024; 22/05/2024</t>
  </si>
  <si>
    <t>Volga Engenharia Ind. e Com. Ltda (03.347.463/0006-27)</t>
  </si>
  <si>
    <t>exata (22 + 33 + 34)</t>
  </si>
  <si>
    <t>Valor, proposta e 3 NFs fecham exatamente. A crítica usa TAGs "-3101" (QGMT-3101, TR-3101, TL-3101, PN-3101...) e o as-built e as placas usam "-3100"; o SAP mistura os dois (TR-3101, QGMT-3101 e QGMT-3100-01). 11 de 13 equipamentos principais do as-built têm placa fotografada (terceiros, 23/09/2026); faltam a placa do TR-3100 (750 kVA, maior componente), do TR.NB-3100 e a placa geral do eletrocentro. Nomes do cliente nas placas variam (Ultracargo Terminais / Soluções Logística).</t>
  </si>
  <si>
    <t>0782-0784, 0992-0995, terceiros 21 e 23/09/2026</t>
  </si>
  <si>
    <t>QGMT-3100-01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</si>
  <si>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QGMT-3101 + cubículos PMT SM6 36 kV (GAM-2, GBC-B, CM, DM1-A, relé P3U30, TP BDE-FT26C, TC BDE-4000A, PM5340).Projeto: as-built item 1: Painel de distribuição média tensão, nº VOLGA BR15-2023-44-0129.SAP: QGMT-3100-01 QUADRO GERAL MEDIA TENSAO (+ SUB-04 Q1 chave seccionadora, SUB-10 relé P3U30, SUB-13..19 TP1-TP3, SUB-22..28 TC1-TC3) – local BPAM-SELE-SUB-07, equip. 000000123625, ABC C.Placa/campo: VOLGA Cliente ULTRACARGO SOLUÇÕES LOGÍSTICA SA; ano 2024; classe 36 kV; operação 34,5 kV; 630 A; 60 Hz; 16 kA/1 s; isolação 36 kV; comando 220 Vca/Vcc; 1.730 kg; dissip. 1.300 W; NBR IEC 62271-200.</t>
    </r>
  </si>
  <si>
    <t>Painel de distribuição média tensão</t>
  </si>
  <si>
    <t>classe 36 kV, operação 34,5 kV, 630 A, 16 kA/1 s</t>
  </si>
  <si>
    <t>nº VOLGA BR15-2023-44-0129</t>
  </si>
  <si>
    <t>QGMT-3100-01 / 000000123625</t>
  </si>
  <si>
    <t>Placa fotografada (terceiros, 23/09/2026). Nome do cliente diverge das demais placas (A36).</t>
  </si>
  <si>
    <t>114620; 0929 (vista)</t>
  </si>
  <si>
    <t>SMF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</si>
  <si>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painel SMF.Projeto: as-built item 2: Sistema de medição para faturamento, nº VOLGA V2023-1543.Placa/campo: VOLGA Cliente ULTRACARGO TERMINAIS LTDA.; doc. DE-3100-4300-014_00A04; 2024; 0,6/1 kV; 125 Vcc/220 Vca; 60 Hz; 16 A; 10 kA; isolação 1,0 kV; proteção '3L' (prov. IP31); etiqueta UF2_1.</t>
    </r>
  </si>
  <si>
    <t>Sistema de medição para faturamento</t>
  </si>
  <si>
    <t>0,6/1 kV, 16 A, 10 kA</t>
  </si>
  <si>
    <t>nº VOLGA V2023-1543</t>
  </si>
  <si>
    <t>Placa fotografada (terceiros, 23/09/2026).</t>
  </si>
  <si>
    <t>114630</t>
  </si>
  <si>
    <t>TR-3100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</si>
  <si>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TR-3101 (potência não informada na crítica).Projeto: as-built item 3: Transformador de força 750 kVA – IP-00, nº VOLGA V2023-1531.SAP: TR-3101 TRANSFORMADOR 750kVA – local BPAM-SELE-SUB-01, equip. 000000123623, ABC A.</t>
    </r>
  </si>
  <si>
    <t>Transformador de força 750 kVA – IP-00</t>
  </si>
  <si>
    <t>750 kVA (as-built e SAP)</t>
  </si>
  <si>
    <t>nº VOLGA V2023-1531</t>
  </si>
  <si>
    <t>TR-3101 / 000000123623</t>
  </si>
  <si>
    <t>SEM placa fotografada. MAIOR componente do eletrocentro sem placa. A lista cita também 'TR-3101' no busway BW.01. Potência 750 kVA só no as-built e no SAP (TR-3101); a crítica não informa potência. Pedir placa/data-book.</t>
  </si>
  <si>
    <t>PN-3100 (lado A)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</si>
  <si>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PN-3101.Projeto: as-built item 4: Centro de controle de motores – lado A, nº VOLGA V2023-1533.SAP: PN-3100 CENTRO DE CONTROLE DE MOTORES (13 colunas, gavetas MB-3102..3126, PN-3104 lava-olhos, PN-3105/3106 elevatórias, HVAC, TL, BC) – local BPAM-SELE-PNN-01, equip. 000000123513, ABC A.Placa/campo: VOLGA Cliente ULTRACARGO TERMINAIS LTDA.; 2024; 0,6/1 kV; operação 440 Vca (leitura incerta); corrente 1000 A (leitura incerta); 20 kA; comando 127/220 Vca (incerto); isolação 1,0 kV; proteção 31; NBR IEC 61439-1 &amp; 2.</t>
    </r>
  </si>
  <si>
    <t>Centro de controle de motores – lado A</t>
  </si>
  <si>
    <t>440 Vca; 1000 A (leitura incerta); 20 kA</t>
  </si>
  <si>
    <t>nº VOLGA V2023-1533</t>
  </si>
  <si>
    <t>PN-3100 / 000000123513</t>
  </si>
  <si>
    <t>Placa fotografada (terceiros, 23/09/2026). As-built: o mesmo nº V2023-1533 para lado A e lado B.</t>
  </si>
  <si>
    <t>114639; 0933b (vista)</t>
  </si>
  <si>
    <t>PN-3100 (lado B)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</si>
  <si>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PN-3101.Projeto: as-built item 5: Centro de controle de motores – lado B, nº VOLGA V2023-1533.SAP: PN-3100 CENTRO DE CONTROLE DE MOTORES (13 colunas, gavetas MB-3102..3126, PN-3104 lava-olhos, PN-3105/3106 elevatórias, HVAC, TL, BC) – local BPAM-SELE-PNN-01, equip. 000000123513, ABC A.</t>
    </r>
  </si>
  <si>
    <t>Centro de controle de motores – lado B</t>
  </si>
  <si>
    <t>BC-3100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</si>
  <si>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BC-3101 (banco capacitor 170 kVAR).Projeto: as-built item 6: Banco de capacitores 170 kVAr, nº VOLGA V2023-1535.SAP: BC-3100 BANCO CAPACITOR 170kVAR – local BPAM-SELE-PNN-04, equip. 000000123606, ABC A.Placa/campo: VOLGA ELETROCENTRO-BC-3100 (BANCO CAPACITOR 170KVAR); doc. DE-3100-4300-014_00A04; 2024; 0,6/1 kV; 440 Vca; 400 A; 25 kA (incerto); comando 220 Vca; isolação 1,0 kV; IP-31.</t>
    </r>
  </si>
  <si>
    <t>Banco de capacitores 170 kVAr</t>
  </si>
  <si>
    <t>170 kVAr, 440 Vca, 400 A</t>
  </si>
  <si>
    <t>nº VOLGA V2023-1535</t>
  </si>
  <si>
    <t>BC-3100 / 000000123606</t>
  </si>
  <si>
    <t>Placa fotografada (terceiros, 23/09/2026). 170 kVAr na placa = crítica e as-built.</t>
  </si>
  <si>
    <t>114709</t>
  </si>
  <si>
    <t>TL-3100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</si>
  <si>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TL-3101; transformador auxiliar trifásico a seco 112,5 kVA 440-380/220 V IP-23.Projeto: as-built item 7: Transformador auxiliar 112,5 kVA – IP23, nº VOLGA V2023-1532.SAP: TL-3100 TRANSFORMADOR SECO – local BPAM-SELE-TRF-01, equip. 000000123634, ABC A.Placa/campo: PÓLUX Transformador a seco nº 1124063/001; 03/2024; ref. 2.03.02.5769; 60 Hz; ANAN; TTP; 3 fases; 112,5 kVA; Z 6,0 %; 120 °C em 440 V; fator K 1; 570 kg; IP-23; NBR 5356-11; Dyn1; AT 418–462 V (taps 1-2 a 1-6); BT 380 V 170,9 A; TAG TL-3100.</t>
    </r>
  </si>
  <si>
    <t>PÓLUX</t>
  </si>
  <si>
    <t>Transformador auxiliar 112,5 kVA – IP23</t>
  </si>
  <si>
    <t>112,5 kVA, AT 418-462 V / BT 380 V, Dyn1, Z 6 %</t>
  </si>
  <si>
    <t>nº VOLGA V2023-1532</t>
  </si>
  <si>
    <t>TL-3100 / 000000123634</t>
  </si>
  <si>
    <t>Placa fotografada (terceiros, 23/09/2026). Nº VOLGA V2023-1532 não aparece (placa é da Pólux). Placa Pólux 112,5 kVA, Dyn1, BT 380 V = crítica (112,5 kVA 440-380/220 V IP-23) e as-built.</t>
  </si>
  <si>
    <t>114700</t>
  </si>
  <si>
    <t>QGBT-3100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</si>
  <si>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QGBT-3101.Projeto: as-built item 8: Painel de distribuição de baixa tensão, nº VOLGA V2023-1534.SAP: QGBT-3100 QUADRO GERAL BX TENSAO – local BPAM-SELE-PNN-40, equip. 000000123618, ABC C.Placa/campo: VOLGA ELETROCENTRO QGBT-3100; doc. DE-3100-4300-014_00A04; 2024; 0,6/1 kV; 380 Vca; corrente 160 A (leitura incerta – pode ser 1600 A); curto 2? kA (ilegível); comando N.A.; isolação 1,0 kV; IP 54.</t>
    </r>
  </si>
  <si>
    <t>Painel de distribuição de baixa tensão</t>
  </si>
  <si>
    <t>380 Vca; 160 A (leitura incerta, pode ser 1600 A)</t>
  </si>
  <si>
    <t>nº VOLGA V2023-1534</t>
  </si>
  <si>
    <t>QGBT-3100 / 000000123618</t>
  </si>
  <si>
    <t>Placa fotografada (terceiros, 23/09/2026). Corrente: ler na foto original ou pedir.</t>
  </si>
  <si>
    <t>114648</t>
  </si>
  <si>
    <t>TR.NB-3100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</si>
  <si>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integra o sistema de energia ininterrupta NB-3101.Projeto: as-built item 9: Transformador do nobreak 20 kVA 380-220 V IP-23, nº VOLGA VE2023-0313.SAP: TR.NB-3100 TRANSFORMADOR SECO NOBREAK – local BPAM-SELE-TRF-04, equip. 000000123635, ABC A.</t>
    </r>
  </si>
  <si>
    <t>Transformador do nobreak 20 kVA 380-220 V IP-23</t>
  </si>
  <si>
    <t>20 kVA 380-220 V (as-built)</t>
  </si>
  <si>
    <t>nº VOLGA VE2023-0313</t>
  </si>
  <si>
    <t>TR.NB-3100 / 000000123635</t>
  </si>
  <si>
    <t>SEM placa fotografada.</t>
  </si>
  <si>
    <t>NB-3100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</si>
  <si>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sistema de energia ininterrupta CA – NB-3101.Projeto: as-built item 10: Nobreak 20 kVA, nº VOLGA VE2023-0313.SAP: NB-3100 NOBREAK – local BPAM-SELE-PNN-34, equip. 000000123616, ABC A.Placa/campo: Schneider Electric Easy UPS 3S 3:3, modelo E3SUPS20KHB, S/N 9E2346T14071; 20 kVA/20 kW (380/400/415 V) ou 10 kVA/10 kW (200/208/220 V); Icc 10 kA; Made in China.</t>
    </r>
  </si>
  <si>
    <t>Schneider Electric</t>
  </si>
  <si>
    <t>Nobreak 20 kVA</t>
  </si>
  <si>
    <t>20 kVA / 20 kW (380-415 V)</t>
  </si>
  <si>
    <t>NB-3100 / 000000123616</t>
  </si>
  <si>
    <t>Placa fotografada (terceiros, 23/09/2026). 20 kVA na placa = as-built.</t>
  </si>
  <si>
    <t>114716</t>
  </si>
  <si>
    <t>BB.NB-3100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</si>
  <si>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integra o NB-3101.Projeto: as-built item 11: Gabinete de baterias do nobreak, nº VOLGA VE2023-0313.SAP: BB.NB-3100 GABINETE BATERIAS NOBREAK – local BPAM-SELE-PNN-31, equip. 000000123615, ABC C.Placa/campo: Schneider Electric Modular Battery Cabinet, modelo E3SXR6, S/N 9E2346W11014; 480 Vcc; 125 A; 125 kg; Icw 10 kA.</t>
    </r>
  </si>
  <si>
    <t>Gabinete de baterias do nobreak</t>
  </si>
  <si>
    <t>480 Vcc, 125 A</t>
  </si>
  <si>
    <t>BB.NB-3100 / 000000123615</t>
  </si>
  <si>
    <t>114728</t>
  </si>
  <si>
    <t>QL-3100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</si>
  <si>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QL-3102.Projeto: as-built item 12: Painel de iluminação, nº VOLGA V2023-1537.SAP: QL-3100 QUADRO DE ILUMINACAO – local BPAM-SELE-PNN-43, equip. 000000123619, ABC C.Placa/campo: VOLGA ELETROCENTRO-QL-3100; doc. DE-3100-4300-018_00A04; 2024; 0,6/1 kV; 380/220 Vca; 60 Hz; 125 A; 3 kA; isolação 1,0 kV; IP 54.</t>
    </r>
  </si>
  <si>
    <t>Painel de iluminação</t>
  </si>
  <si>
    <t>380/220 Vca, 125 A, 3 kA</t>
  </si>
  <si>
    <t>nº VOLGA V2023-1537</t>
  </si>
  <si>
    <t>QL-3100 / 000000123619</t>
  </si>
  <si>
    <t>114753</t>
  </si>
  <si>
    <t>QD-UPS-3100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</si>
  <si>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QD-UPS-3101.Projeto: as-built item 13: Quadro de distribuição estabilizada, nº VOLGA V2023-1536.SAP: QD-UPS-3100 QUADRO ALIMENTACAO – local BPAM-SELE-PNN-37, equip. 000000123617, ABC C.Placa/campo: VOLGA Etiqueta 'ELETROCENTRO QD-UPS-3100' + QR Nr. V2023-1536, Fab. 2024.</t>
    </r>
  </si>
  <si>
    <t>Quadro de distribuição estabilizada</t>
  </si>
  <si>
    <t>nº VOLGA V2023-1536</t>
  </si>
  <si>
    <t>QD-UPS-3100 / 000000123617</t>
  </si>
  <si>
    <t>114745</t>
  </si>
  <si>
    <t>PN-AUT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</si>
  <si>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as-built item 14: Painel de automação (ESPAÇO DISPONÍVEL), nº VOLGA —.</t>
    </r>
  </si>
  <si>
    <t>Painel de automação (ESPAÇO DISPONÍVEL)</t>
  </si>
  <si>
    <t>Não é bem (espaço reservado).</t>
  </si>
  <si>
    <t>HVAC-WM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</si>
  <si>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as-built item 15: Ar condicionado wall mounted, nº VOLGA VE2023-0310.SAP: GAV-T-3101 HVAC-WM (só a gaveta de alimentação no PN-3100; a unidade não tem cadastro) – local BPAM-SELE-PNN-01-37-22, equip. 000000123592, ABC C.Placa/campo: MGE Air Modelo WMEE125A4PFBXXPGPEXPP (leitura incerta); série 1211_24; MAR/24; 12,5 TR; 12.500 m³/h; scroll; compressor 14 kW; total 18,35 kW / 29,7 A; 440/3/60; R410A 3,8 kg; 600 kg.</t>
    </r>
  </si>
  <si>
    <t>MGE Air</t>
  </si>
  <si>
    <t>Ar condicionado wall mounted</t>
  </si>
  <si>
    <t>12,5 TR; 12.500 m³/h; 18,35 kW</t>
  </si>
  <si>
    <t>nº VOLGA VE2023-0310</t>
  </si>
  <si>
    <t>GAV-T-3101 / 000000123592</t>
  </si>
  <si>
    <t>114800</t>
  </si>
  <si>
    <t>Exaustores 1–3, termostato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</si>
  <si>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as-built item 16–19: Acessórios HVAC, nº VOLGA VE2023-0310.</t>
    </r>
  </si>
  <si>
    <t>Acessórios HVAC</t>
  </si>
  <si>
    <t>SEM placa fotografada. baixo valor.</t>
  </si>
  <si>
    <t>BW.01 / BW.02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</si>
  <si>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barramento blindado IP-55 (PN-3101) e 01 (TR-3101/PN-3101).Projeto: as-built item 21–22: Busway de conexão (TR-3101/PN-3101) e (PN-3101), nº VOLGA VB2023-0184 / 0183.</t>
    </r>
  </si>
  <si>
    <t>Busway de conexão (TR-3101/PN-3101) e (PN-3101)</t>
  </si>
  <si>
    <t>nº VOLGA VB2023-0184 / 0183</t>
  </si>
  <si>
    <t>SEM placa fotografada. única menção a '-3101' no as-built.</t>
  </si>
  <si>
    <t>EXT / GD.TR-3100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</si>
  <si>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as-built item 23–26: Extintores e gradil do trafo, nº VOLGA VE2023-0300 / 0309.</t>
    </r>
  </si>
  <si>
    <t>Extintores e gradil do trafo</t>
  </si>
  <si>
    <t>nº VOLGA VE2023-0300 / 0309</t>
  </si>
  <si>
    <t>PNA 3105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</si>
  <si>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não está no as-built do eletrocentro (painel Chronus, projeto OE-620-03).SAP: PNA-3105 PAINEL AUTOMACAO RADARES – local BPAM-SELE-PNN-25, equip. 000000123613, ABC B.Placa/campo: Chronus Automação Cliente ULTRACARGO; Projeto PNA 3105; fab. 16/04/2024; 220 Vac; 10 A; 3 kA; IP66; 15 kg; nº projeto OE-620-03.</t>
    </r>
  </si>
  <si>
    <t>Chronus Automação</t>
  </si>
  <si>
    <t>Painel Chronus (automação) – NÃO está na lista do eletrocentro</t>
  </si>
  <si>
    <t>220 Vac, 10 A, 3 kA, IP66</t>
  </si>
  <si>
    <t>nº VOLGA OE-620-03</t>
  </si>
  <si>
    <t>PNA-3105 / 000000123613</t>
  </si>
  <si>
    <t>Placa fotografada (terceiros, 23/09/2026). Outros Fixos (painéis Chronus). Campo tinha PNA 3102 e PNA 3103; este é novo. Painel Chronus (automação) – Outros Fixos, não integra a linha 18.</t>
  </si>
  <si>
    <t>114737</t>
  </si>
  <si>
    <t>Eletrocentro (container)</t>
  </si>
  <si>
    <r>
      <rPr>
        <b/>
        <sz val="9"/>
        <color rgb="FFB38600"/>
        <rFont val="Arial"/>
      </rPr>
      <t xml:space="preserve">Projeto: </t>
    </r>
    <r>
      <rPr>
        <sz val="9"/>
        <color rgb="FFB38600"/>
        <rFont val="Arial"/>
      </rPr>
      <t>as-built item geral: Placa geral VOLGA do eletrocentro, nº VOLGA —.</t>
    </r>
  </si>
  <si>
    <t>Placa geral VOLGA do eletrocentro</t>
  </si>
  <si>
    <t>SEM placa fotografada. Pedir placa geral / data book.</t>
  </si>
  <si>
    <t>PN-3105</t>
  </si>
  <si>
    <r>
      <rPr>
        <b/>
        <sz val="9"/>
        <color rgb="FF000000"/>
        <rFont val="Arial"/>
      </rPr>
      <t xml:space="preserve">Crítica: </t>
    </r>
    <r>
      <rPr>
        <sz val="9"/>
        <color rgb="FF000000"/>
        <rFont val="Arial"/>
      </rPr>
      <t>01 PN-3105 (e 01 PN-3106).SAP: GAV-PN-3105 ELEVAT 01 (gaveta UF6_13 no PN-3100 = alimentação da elevatória 01) – local BPAM-SELE-PNN-01-37-16, equip. 000000123590, ABC C.Placa/campo: Painel eletrico / CCM – VOLGA, No de ident. V3323-1540 | Doc. PD-E557-EPA-EL-BEL-00400, 2024, Cliente ULTRACARGO TERMINAL LTDA, Efluentes.</t>
    </r>
  </si>
  <si>
    <t>No de ident. V3323-1540 | Doc. PD-E557-EPA-EL-BEL-00400</t>
  </si>
  <si>
    <t>GAV-PN-3105 / 000000123590</t>
  </si>
  <si>
    <t>Painel da elevatória 01 de efluentes (SAP: gaveta GAV-PN-3105 ELEVAT 01; campo: "Efluentes"). Está na crítica (01 PN-3105; 01 PN-3106) mas fora do as-built do eletrocentro; o PN-3106 (elevatória 02) não foi caracterizado. Campos de corrente/curto/IP em branco na placa.</t>
  </si>
  <si>
    <t>0782-0784</t>
  </si>
  <si>
    <t>Painel VOLGA sem TAG</t>
  </si>
  <si>
    <r>
      <rPr>
        <b/>
        <sz val="9"/>
        <color rgb="FF1F4E9A"/>
        <rFont val="Arial"/>
      </rPr>
      <t xml:space="preserve">Placa/campo: </t>
    </r>
    <r>
      <rPr>
        <sz val="9"/>
        <color rgb="FF1F4E9A"/>
        <rFont val="Arial"/>
      </rPr>
      <t>Painel eletrico / CCM – VOLGA, Cliente Ultracargo Terminal Ltda, Eletrica.</t>
    </r>
  </si>
  <si>
    <t>Painel VOLGA sem TAG visto no lote 1 – identificar (pode ser o PN-3106).</t>
  </si>
  <si>
    <t>0066, 0171, 0172</t>
  </si>
  <si>
    <t>TOTAL M&amp;E</t>
  </si>
  <si>
    <t>Conferência: total de crítica = R$ 16.576.852,44; total de NF = soma das 23 NFs de M&amp;E do RT0538 (aba NF_ME).</t>
  </si>
  <si>
    <t>Relação de NFs de Máquinas e Equipamentos do RT0538 (comprovação 2025) e atribuição às linhas da crítica</t>
  </si>
  <si>
    <t>Data</t>
  </si>
  <si>
    <t>Emitente</t>
  </si>
  <si>
    <t>CNPJ</t>
  </si>
  <si>
    <t>Descrição no RT0538</t>
  </si>
  <si>
    <t>Valor (R$)</t>
  </si>
  <si>
    <t>Linha(s) da crítica</t>
  </si>
  <si>
    <t>Base da atribuição</t>
  </si>
  <si>
    <t>STEMAC S.A. Grupos Geradores</t>
  </si>
  <si>
    <t>92.753.269/0052-02</t>
  </si>
  <si>
    <t>GMG 0575KVA 440V 60HZ</t>
  </si>
  <si>
    <t>exata (valor = linha 1)</t>
  </si>
  <si>
    <t>KSB Brasil Ltda</t>
  </si>
  <si>
    <t>60.680.873/0001-14</t>
  </si>
  <si>
    <t>Conjunto bomba KSB</t>
  </si>
  <si>
    <t>2 e 3</t>
  </si>
  <si>
    <t>exata (soma das linhas 2 + 3 = 850.000,00)</t>
  </si>
  <si>
    <t>60.680.873/0009-71</t>
  </si>
  <si>
    <t>Bomba KSB</t>
  </si>
  <si>
    <t>4 (10 un.), 5, 12, 13</t>
  </si>
  <si>
    <t>decomposição aritmética única pelos preços unitários da crítica</t>
  </si>
  <si>
    <t>4 (2 un.), 6, 7, 8, 9, 10</t>
  </si>
  <si>
    <t>Bomba Megaflow V80-250K</t>
  </si>
  <si>
    <t>por descrição (Megaflow); NF excede a linha em R$ 71.060,00</t>
  </si>
  <si>
    <t>41385</t>
  </si>
  <si>
    <t>02/07/2024</t>
  </si>
  <si>
    <t>Metroval Controle de Fluidos Ltda</t>
  </si>
  <si>
    <t>58.762.956/0001-00</t>
  </si>
  <si>
    <t>Sistema de carregamento rodoviário bottomload e topload</t>
  </si>
  <si>
    <t>14a + 14b (provável)</t>
  </si>
  <si>
    <t>por descrição ("carregamento rodoviário bottomload e topload"); não separa 14a/14b; excede 14a+14b em R$ 690.801,61</t>
  </si>
  <si>
    <t>PHD Master Consultoria Ltda</t>
  </si>
  <si>
    <t>68.806.496/0001-29</t>
  </si>
  <si>
    <t>Itens diversos</t>
  </si>
  <si>
    <t>valor exato = 14d; emitente PHD MASTER CONSULTORIA (não Metroval)</t>
  </si>
  <si>
    <t>42239</t>
  </si>
  <si>
    <t>13/11/2024</t>
  </si>
  <si>
    <t>Válvula on-off</t>
  </si>
  <si>
    <t>14e (provável)</t>
  </si>
  <si>
    <t>por descrição (válvulas on-off = 10 SDV do carregamento ferroviário)</t>
  </si>
  <si>
    <t>7032</t>
  </si>
  <si>
    <t>04/06/2024</t>
  </si>
  <si>
    <t>TSPRO Fab. Dist. e Rep. de Equip. Industriais</t>
  </si>
  <si>
    <t>13.108.393/0001-01</t>
  </si>
  <si>
    <t>BT modelo C 4 pol. vedações</t>
  </si>
  <si>
    <t>por descrição (TSPRO = braços ferroviários BTC 4")</t>
  </si>
  <si>
    <t>7488</t>
  </si>
  <si>
    <t>03/10/2024</t>
  </si>
  <si>
    <t>BT modelo C 4 pol.</t>
  </si>
  <si>
    <t>11642</t>
  </si>
  <si>
    <t>05/09/2024</t>
  </si>
  <si>
    <t>Redlands do Brasil Ind. e Com. Ltda</t>
  </si>
  <si>
    <t>01.203.871/0001-75</t>
  </si>
  <si>
    <t>Escada pantográfica</t>
  </si>
  <si>
    <t>14 (grupo)</t>
  </si>
  <si>
    <t>sem vínculo a sublinha (escada pantográfica - plataformas)</t>
  </si>
  <si>
    <t>11726</t>
  </si>
  <si>
    <t>09/10/2024</t>
  </si>
  <si>
    <t>sem vínculo a sublinha</t>
  </si>
  <si>
    <t>1621</t>
  </si>
  <si>
    <t>22/10/2024</t>
  </si>
  <si>
    <t>91</t>
  </si>
  <si>
    <t>Ecoserv Automação Industrial Ltda</t>
  </si>
  <si>
    <t>49.842.939/0001-92</t>
  </si>
  <si>
    <t>110</t>
  </si>
  <si>
    <t>24/04/2024</t>
  </si>
  <si>
    <t>Monitor de aterramento</t>
  </si>
  <si>
    <t>sem vínculo a sublinha (monitor de aterramento - carregamento)</t>
  </si>
  <si>
    <t>142</t>
  </si>
  <si>
    <t>12/08/2024</t>
  </si>
  <si>
    <t>Amostrador simples</t>
  </si>
  <si>
    <t>sem vínculo a sublinha (amostrador)</t>
  </si>
  <si>
    <t>161</t>
  </si>
  <si>
    <t>04/11/2024</t>
  </si>
  <si>
    <t>26460</t>
  </si>
  <si>
    <t>22/03/2024</t>
  </si>
  <si>
    <t>MKG Equipamentos Ltda</t>
  </si>
  <si>
    <t>05.115.921/0001-13</t>
  </si>
  <si>
    <t>sem vínculo a sublinha (MKG = filtros; em campo os filtros MKG estão nas linhas de produto - Outros Fixos?)</t>
  </si>
  <si>
    <t>4965</t>
  </si>
  <si>
    <t>16/09/2024</t>
  </si>
  <si>
    <t>Serviço de assistência</t>
  </si>
  <si>
    <t>serviço de assistência Metroval</t>
  </si>
  <si>
    <t>Romão Tecnologias Industriais Ltda</t>
  </si>
  <si>
    <t>02.807.845/0001-19</t>
  </si>
  <si>
    <t>Selo película vedação simples</t>
  </si>
  <si>
    <t>15, 16, 17</t>
  </si>
  <si>
    <t>por descrição (selos); NF excede as 3 linhas em R$ 54.399,96</t>
  </si>
  <si>
    <t>22</t>
  </si>
  <si>
    <t>30/04/2024</t>
  </si>
  <si>
    <t>Volga Engenharia Ind. e Com. Ltda</t>
  </si>
  <si>
    <t>03.347.463/0006-27</t>
  </si>
  <si>
    <t>Eletrocentro - subestação de energia</t>
  </si>
  <si>
    <t>exata (22 + 33 + 34 = linha 18)</t>
  </si>
  <si>
    <t>33</t>
  </si>
  <si>
    <t>22/05/2024</t>
  </si>
  <si>
    <t>34</t>
  </si>
  <si>
    <t>Total das NFs de M&amp;E</t>
  </si>
  <si>
    <t>Total da crítica de M&amp;E</t>
  </si>
  <si>
    <t>NF − crítica</t>
  </si>
  <si>
    <t>Conferência com a aba CARACTERIZACAO (deve ser zero)</t>
  </si>
  <si>
    <t>Composição da diferença: KSB 543048 (+71.060,00 sobre a linha 11) + Romão 2739 (+54.399,96 sobre 15-17) + grupo 14 (+80.487,06 sobre 14a-14e) = R$ 205.947,02.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</si>
</sst>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i/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C00000"/>
      <name val="Arial"/>
    </font>
    <font>
      <sz val="9"/>
      <color rgb="FF1F4E9A"/>
      <name val="Arial"/>
    </font>
    <font>
      <sz val="9"/>
      <color rgb="FF00703C"/>
      <name val="Arial"/>
    </font>
    <font>
      <sz val="9"/>
      <color rgb="FFB38600"/>
      <name val="Arial"/>
    </font>
    <font>
      <b/>
      <sz val="9"/>
      <name val="Arial"/>
    </font>
    <font>
      <b/>
      <sz val="11"/>
      <color rgb="FFC00000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C00000"/>
      <name val="Arial"/>
    </font>
    <font>
      <sz val="10"/>
      <color rgb="FF00703C"/>
      <name val="Arial"/>
    </font>
    <font>
      <sz val="10"/>
      <color rgb="FFB38600"/>
      <name val="Arial"/>
    </font>
    <font>
      <sz val="10"/>
      <color rgb="FF1F4E9A"/>
      <name val="Arial"/>
    </font>
    <font>
      <b/>
      <sz val="9"/>
      <color rgb="FF00703C"/>
      <name val="Arial"/>
    </font>
    <font>
      <b/>
      <sz val="9"/>
      <color rgb="FF1F4E9A"/>
      <name val="Arial"/>
    </font>
    <font>
      <b/>
      <sz val="9"/>
      <color rgb="FFB386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0" fontId="5" fillId="0" borderId="1" xfId="0" applyNumberFormat="1" applyFont="1" applyBorder="1" applyAlignment="1">
      <alignment vertical="top" wrapText="1"/>
    </xf>
    <xf numFmtId="40" fontId="6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5" borderId="0" xfId="0" applyFont="1" applyFill="1"/>
    <xf numFmtId="40" fontId="10" fillId="5" borderId="0" xfId="0" applyNumberFormat="1" applyFont="1" applyFill="1"/>
    <xf numFmtId="0" fontId="11" fillId="0" borderId="0" xfId="0" applyFont="1"/>
    <xf numFmtId="0" fontId="3" fillId="2" borderId="0" xfId="0" applyFont="1" applyFill="1" applyAlignment="1">
      <alignment wrapText="1"/>
    </xf>
    <xf numFmtId="0" fontId="6" fillId="0" borderId="0" xfId="0" applyFont="1" applyAlignment="1">
      <alignment vertical="top" wrapText="1"/>
    </xf>
    <xf numFmtId="4" fontId="6" fillId="0" borderId="0" xfId="0" applyNumberFormat="1" applyFont="1" applyAlignment="1">
      <alignment vertical="top" wrapText="1"/>
    </xf>
    <xf numFmtId="40" fontId="10" fillId="0" borderId="0" xfId="0" applyNumberFormat="1" applyFont="1"/>
    <xf numFmtId="0" fontId="10" fillId="5" borderId="0" xfId="0" applyFont="1" applyFill="1" applyAlignment="1">
      <alignment wrapText="1"/>
    </xf>
    <xf numFmtId="40" fontId="10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0" fontId="5" fillId="0" borderId="2" xfId="0" applyNumberFormat="1" applyFont="1" applyBorder="1" applyAlignment="1">
      <alignment horizontal="center" vertical="center" wrapText="1"/>
    </xf>
    <xf numFmtId="40" fontId="5" fillId="0" borderId="3" xfId="0" applyNumberFormat="1" applyFont="1" applyBorder="1" applyAlignment="1">
      <alignment horizontal="center" vertical="center" wrapText="1"/>
    </xf>
    <xf numFmtId="40" fontId="5" fillId="0" borderId="4" xfId="0" applyNumberFormat="1" applyFont="1" applyBorder="1" applyAlignment="1">
      <alignment horizontal="center" vertical="center" wrapText="1"/>
    </xf>
    <xf numFmtId="40" fontId="6" fillId="0" borderId="1" xfId="0" applyNumberFormat="1" applyFont="1" applyBorder="1" applyAlignment="1">
      <alignment vertical="center" wrapText="1"/>
    </xf>
    <xf numFmtId="40" fontId="6" fillId="0" borderId="2" xfId="0" applyNumberFormat="1" applyFont="1" applyBorder="1" applyAlignment="1">
      <alignment horizontal="center" vertical="center" wrapText="1"/>
    </xf>
    <xf numFmtId="40" fontId="6" fillId="0" borderId="3" xfId="0" applyNumberFormat="1" applyFont="1" applyBorder="1" applyAlignment="1">
      <alignment horizontal="center" vertical="center" wrapText="1"/>
    </xf>
    <xf numFmtId="40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0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4.4" x14ac:dyDescent="0.3"/>
  <cols>
    <col min="1" max="1" width="160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4" t="s">
        <v>3</v>
      </c>
    </row>
    <row r="6" spans="1:1" x14ac:dyDescent="0.3">
      <c r="A6" s="5" t="s">
        <v>4</v>
      </c>
    </row>
    <row r="7" spans="1:1" ht="26.4" x14ac:dyDescent="0.3">
      <c r="A7" s="6" t="s">
        <v>5</v>
      </c>
    </row>
    <row r="8" spans="1:1" x14ac:dyDescent="0.3">
      <c r="A8" s="7" t="s">
        <v>6</v>
      </c>
    </row>
    <row r="9" spans="1:1" x14ac:dyDescent="0.3">
      <c r="A9" s="2"/>
    </row>
    <row r="10" spans="1:1" ht="26.4" x14ac:dyDescent="0.3">
      <c r="A10" s="2" t="s">
        <v>7</v>
      </c>
    </row>
    <row r="11" spans="1:1" ht="26.4" x14ac:dyDescent="0.3">
      <c r="A11" s="2" t="s">
        <v>8</v>
      </c>
    </row>
    <row r="12" spans="1:1" ht="26.4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ht="26.4" x14ac:dyDescent="0.3">
      <c r="A16" s="2" t="s">
        <v>13</v>
      </c>
    </row>
    <row r="17" spans="1:1" x14ac:dyDescent="0.3">
      <c r="A17" s="2"/>
    </row>
    <row r="18" spans="1:1" ht="26.4" x14ac:dyDescent="0.3">
      <c r="A18" s="2" t="s">
        <v>14</v>
      </c>
    </row>
    <row r="19" spans="1:1" x14ac:dyDescent="0.3">
      <c r="A19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3"/>
  <sheetViews>
    <sheetView tabSelected="1" workbookViewId="0">
      <pane xSplit="3" ySplit="3" topLeftCell="D122" activePane="bottomRight" state="frozen"/>
      <selection pane="topRight"/>
      <selection pane="bottomLeft"/>
      <selection pane="bottomRight" activeCell="C126" sqref="C126"/>
    </sheetView>
  </sheetViews>
  <sheetFormatPr defaultRowHeight="14.4" x14ac:dyDescent="0.3"/>
  <cols>
    <col min="1" max="1" width="8" customWidth="1"/>
    <col min="2" max="2" width="13.5546875" customWidth="1"/>
    <col min="3" max="3" width="28.109375" customWidth="1"/>
    <col min="4" max="4" width="89.21875" style="29" customWidth="1"/>
    <col min="5" max="5" width="18" customWidth="1"/>
    <col min="6" max="6" width="22" customWidth="1"/>
    <col min="7" max="7" width="26" customWidth="1"/>
    <col min="8" max="8" width="22" customWidth="1"/>
    <col min="9" max="9" width="24" customWidth="1"/>
    <col min="10" max="11" width="13" customWidth="1"/>
    <col min="12" max="12" width="12" customWidth="1"/>
    <col min="13" max="13" width="28" customWidth="1"/>
    <col min="14" max="14" width="7" customWidth="1"/>
    <col min="15" max="15" width="14" customWidth="1"/>
    <col min="16" max="17" width="15" customWidth="1"/>
    <col min="18" max="18" width="14" customWidth="1"/>
    <col min="19" max="19" width="38.33203125" customWidth="1"/>
    <col min="20" max="20" width="80" customWidth="1"/>
    <col min="21" max="21" width="18" customWidth="1"/>
  </cols>
  <sheetData>
    <row r="1" spans="1:21" ht="15.6" x14ac:dyDescent="0.3">
      <c r="A1" s="8" t="s">
        <v>16</v>
      </c>
    </row>
    <row r="2" spans="1:21" x14ac:dyDescent="0.3">
      <c r="A2" s="9" t="s">
        <v>17</v>
      </c>
    </row>
    <row r="3" spans="1:21" ht="48" customHeight="1" x14ac:dyDescent="0.3">
      <c r="A3" s="10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 t="s">
        <v>32</v>
      </c>
      <c r="P3" s="10" t="s">
        <v>33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</row>
    <row r="4" spans="1:21" ht="65.400000000000006" customHeight="1" x14ac:dyDescent="0.3">
      <c r="A4" s="11" t="s">
        <v>39</v>
      </c>
      <c r="B4" s="11" t="s">
        <v>40</v>
      </c>
      <c r="C4" s="11" t="s">
        <v>41</v>
      </c>
      <c r="D4" s="12" t="s">
        <v>42</v>
      </c>
      <c r="E4" s="13" t="s">
        <v>43</v>
      </c>
      <c r="F4" s="13" t="s">
        <v>44</v>
      </c>
      <c r="G4" s="12" t="s">
        <v>45</v>
      </c>
      <c r="H4" s="13" t="s">
        <v>46</v>
      </c>
      <c r="I4" s="14" t="s">
        <v>47</v>
      </c>
      <c r="J4" s="13" t="s">
        <v>48</v>
      </c>
      <c r="K4" s="30" t="s">
        <v>49</v>
      </c>
      <c r="L4" s="30" t="s">
        <v>50</v>
      </c>
      <c r="M4" s="30" t="s">
        <v>51</v>
      </c>
      <c r="N4" s="33">
        <v>1</v>
      </c>
      <c r="O4" s="36">
        <v>393500</v>
      </c>
      <c r="P4" s="36">
        <v>393500</v>
      </c>
      <c r="Q4" s="40">
        <v>393500</v>
      </c>
      <c r="R4" s="36">
        <f>Q4-P4</f>
        <v>0</v>
      </c>
      <c r="S4" s="33" t="s">
        <v>52</v>
      </c>
      <c r="T4" s="12" t="s">
        <v>53</v>
      </c>
      <c r="U4" s="12" t="s">
        <v>54</v>
      </c>
    </row>
    <row r="5" spans="1:21" ht="23.4" x14ac:dyDescent="0.3">
      <c r="A5" s="12" t="s">
        <v>39</v>
      </c>
      <c r="B5" s="12" t="s">
        <v>55</v>
      </c>
      <c r="C5" s="12" t="s">
        <v>56</v>
      </c>
      <c r="D5" s="12" t="s">
        <v>57</v>
      </c>
      <c r="E5" s="13" t="s">
        <v>58</v>
      </c>
      <c r="F5" s="13" t="s">
        <v>59</v>
      </c>
      <c r="G5" s="13" t="s">
        <v>60</v>
      </c>
      <c r="H5" s="13" t="s">
        <v>61</v>
      </c>
      <c r="I5" s="14" t="s">
        <v>62</v>
      </c>
      <c r="J5" s="13" t="s">
        <v>63</v>
      </c>
      <c r="K5" s="31"/>
      <c r="L5" s="31"/>
      <c r="M5" s="31"/>
      <c r="N5" s="34"/>
      <c r="O5" s="37"/>
      <c r="P5" s="37"/>
      <c r="Q5" s="41"/>
      <c r="R5" s="37"/>
      <c r="S5" s="34"/>
      <c r="T5" s="12" t="s">
        <v>65</v>
      </c>
      <c r="U5" s="12" t="s">
        <v>66</v>
      </c>
    </row>
    <row r="6" spans="1:21" ht="22.8" x14ac:dyDescent="0.3">
      <c r="A6" s="12" t="s">
        <v>39</v>
      </c>
      <c r="B6" s="12" t="s">
        <v>55</v>
      </c>
      <c r="C6" s="12" t="s">
        <v>67</v>
      </c>
      <c r="D6" s="12" t="s">
        <v>68</v>
      </c>
      <c r="E6" s="13" t="s">
        <v>69</v>
      </c>
      <c r="F6" s="13" t="s">
        <v>70</v>
      </c>
      <c r="G6" s="13" t="s">
        <v>71</v>
      </c>
      <c r="H6" s="13" t="s">
        <v>72</v>
      </c>
      <c r="I6" s="14" t="s">
        <v>62</v>
      </c>
      <c r="J6" s="13" t="s">
        <v>73</v>
      </c>
      <c r="K6" s="32"/>
      <c r="L6" s="32"/>
      <c r="M6" s="32"/>
      <c r="N6" s="35"/>
      <c r="O6" s="38"/>
      <c r="P6" s="38"/>
      <c r="Q6" s="42"/>
      <c r="R6" s="38"/>
      <c r="S6" s="35"/>
      <c r="T6" s="12" t="s">
        <v>74</v>
      </c>
      <c r="U6" s="12" t="s">
        <v>75</v>
      </c>
    </row>
    <row r="7" spans="1:21" ht="89.4" customHeight="1" x14ac:dyDescent="0.3">
      <c r="A7" s="11" t="s">
        <v>76</v>
      </c>
      <c r="B7" s="11" t="s">
        <v>40</v>
      </c>
      <c r="C7" s="11" t="s">
        <v>77</v>
      </c>
      <c r="D7" s="12" t="s">
        <v>78</v>
      </c>
      <c r="E7" s="13" t="s">
        <v>79</v>
      </c>
      <c r="F7" s="13" t="s">
        <v>80</v>
      </c>
      <c r="G7" s="13" t="s">
        <v>81</v>
      </c>
      <c r="H7" s="13" t="s">
        <v>82</v>
      </c>
      <c r="I7" s="14" t="s">
        <v>83</v>
      </c>
      <c r="J7" s="13" t="s">
        <v>84</v>
      </c>
      <c r="K7" s="30" t="s">
        <v>85</v>
      </c>
      <c r="L7" s="30" t="s">
        <v>86</v>
      </c>
      <c r="M7" s="30" t="s">
        <v>87</v>
      </c>
      <c r="N7" s="33">
        <v>2</v>
      </c>
      <c r="O7" s="36">
        <v>407600.52</v>
      </c>
      <c r="P7" s="36">
        <v>815201.04</v>
      </c>
      <c r="Q7" s="40">
        <v>815201.04</v>
      </c>
      <c r="R7" s="36">
        <f>Q7-P7</f>
        <v>0</v>
      </c>
      <c r="S7" s="33" t="s">
        <v>88</v>
      </c>
      <c r="T7" s="12" t="s">
        <v>89</v>
      </c>
      <c r="U7" s="12" t="s">
        <v>90</v>
      </c>
    </row>
    <row r="8" spans="1:21" ht="58.2" customHeight="1" x14ac:dyDescent="0.3">
      <c r="A8" s="12" t="s">
        <v>76</v>
      </c>
      <c r="B8" s="12" t="s">
        <v>55</v>
      </c>
      <c r="C8" s="12" t="s">
        <v>91</v>
      </c>
      <c r="D8" s="12" t="s">
        <v>92</v>
      </c>
      <c r="E8" s="13" t="s">
        <v>93</v>
      </c>
      <c r="F8" s="13" t="s">
        <v>80</v>
      </c>
      <c r="G8" s="13" t="s">
        <v>94</v>
      </c>
      <c r="H8" s="13" t="s">
        <v>95</v>
      </c>
      <c r="I8" s="14" t="s">
        <v>96</v>
      </c>
      <c r="J8" s="13" t="s">
        <v>97</v>
      </c>
      <c r="K8" s="31"/>
      <c r="L8" s="31"/>
      <c r="M8" s="31"/>
      <c r="N8" s="34"/>
      <c r="O8" s="37"/>
      <c r="P8" s="37"/>
      <c r="Q8" s="41"/>
      <c r="R8" s="37"/>
      <c r="S8" s="34"/>
      <c r="T8" s="12" t="s">
        <v>98</v>
      </c>
      <c r="U8" s="12" t="s">
        <v>99</v>
      </c>
    </row>
    <row r="9" spans="1:21" ht="37.799999999999997" customHeight="1" x14ac:dyDescent="0.3">
      <c r="A9" s="12" t="s">
        <v>76</v>
      </c>
      <c r="B9" s="12" t="s">
        <v>55</v>
      </c>
      <c r="C9" s="12" t="s">
        <v>100</v>
      </c>
      <c r="D9" s="12" t="s">
        <v>101</v>
      </c>
      <c r="E9" s="13" t="s">
        <v>93</v>
      </c>
      <c r="F9" s="13" t="s">
        <v>80</v>
      </c>
      <c r="G9" s="13" t="s">
        <v>94</v>
      </c>
      <c r="H9" s="13" t="s">
        <v>102</v>
      </c>
      <c r="I9" s="14" t="s">
        <v>103</v>
      </c>
      <c r="J9" s="13" t="s">
        <v>104</v>
      </c>
      <c r="K9" s="31"/>
      <c r="L9" s="31"/>
      <c r="M9" s="31"/>
      <c r="N9" s="34"/>
      <c r="O9" s="37"/>
      <c r="P9" s="37"/>
      <c r="Q9" s="41"/>
      <c r="R9" s="37"/>
      <c r="S9" s="34"/>
      <c r="T9" s="12" t="s">
        <v>105</v>
      </c>
      <c r="U9" s="12" t="s">
        <v>106</v>
      </c>
    </row>
    <row r="10" spans="1:21" ht="30.6" customHeight="1" x14ac:dyDescent="0.3">
      <c r="A10" s="12" t="s">
        <v>76</v>
      </c>
      <c r="B10" s="12" t="s">
        <v>55</v>
      </c>
      <c r="C10" s="12" t="s">
        <v>107</v>
      </c>
      <c r="D10" s="12" t="s">
        <v>108</v>
      </c>
      <c r="E10" s="13" t="s">
        <v>109</v>
      </c>
      <c r="F10" s="13" t="s">
        <v>110</v>
      </c>
      <c r="G10" s="13" t="s">
        <v>111</v>
      </c>
      <c r="H10" s="13" t="s">
        <v>112</v>
      </c>
      <c r="I10" s="14" t="s">
        <v>113</v>
      </c>
      <c r="J10" s="13" t="s">
        <v>63</v>
      </c>
      <c r="K10" s="32"/>
      <c r="L10" s="32"/>
      <c r="M10" s="32"/>
      <c r="N10" s="35"/>
      <c r="O10" s="38"/>
      <c r="P10" s="38"/>
      <c r="Q10" s="42"/>
      <c r="R10" s="38"/>
      <c r="S10" s="34"/>
      <c r="T10" s="12" t="s">
        <v>114</v>
      </c>
      <c r="U10" s="12" t="s">
        <v>115</v>
      </c>
    </row>
    <row r="11" spans="1:21" ht="80.400000000000006" customHeight="1" x14ac:dyDescent="0.3">
      <c r="A11" s="11" t="s">
        <v>116</v>
      </c>
      <c r="B11" s="11" t="s">
        <v>40</v>
      </c>
      <c r="C11" s="11" t="s">
        <v>117</v>
      </c>
      <c r="D11" s="12" t="s">
        <v>118</v>
      </c>
      <c r="E11" s="13" t="s">
        <v>119</v>
      </c>
      <c r="F11" s="12" t="s">
        <v>120</v>
      </c>
      <c r="G11" s="13" t="s">
        <v>121</v>
      </c>
      <c r="H11" s="13" t="s">
        <v>122</v>
      </c>
      <c r="I11" s="14" t="s">
        <v>123</v>
      </c>
      <c r="J11" s="13" t="s">
        <v>124</v>
      </c>
      <c r="K11" s="43" t="s">
        <v>85</v>
      </c>
      <c r="L11" s="43" t="s">
        <v>86</v>
      </c>
      <c r="M11" s="43" t="s">
        <v>87</v>
      </c>
      <c r="N11" s="44">
        <v>1</v>
      </c>
      <c r="O11" s="45">
        <v>34798.959999999999</v>
      </c>
      <c r="P11" s="45">
        <v>34798.959999999999</v>
      </c>
      <c r="Q11" s="39">
        <v>34798.959999999999</v>
      </c>
      <c r="R11" s="16">
        <f>Q11-P11</f>
        <v>0</v>
      </c>
      <c r="S11" s="35"/>
      <c r="T11" s="12" t="s">
        <v>125</v>
      </c>
      <c r="U11" s="12" t="s">
        <v>126</v>
      </c>
    </row>
    <row r="12" spans="1:21" ht="84.6" customHeight="1" x14ac:dyDescent="0.3">
      <c r="A12" s="11" t="s">
        <v>127</v>
      </c>
      <c r="B12" s="11" t="s">
        <v>40</v>
      </c>
      <c r="C12" s="11" t="s">
        <v>128</v>
      </c>
      <c r="D12" s="12" t="s">
        <v>129</v>
      </c>
      <c r="E12" s="13" t="s">
        <v>130</v>
      </c>
      <c r="F12" s="12" t="s">
        <v>131</v>
      </c>
      <c r="G12" s="13" t="s">
        <v>132</v>
      </c>
      <c r="H12" s="13" t="s">
        <v>133</v>
      </c>
      <c r="I12" s="14" t="s">
        <v>134</v>
      </c>
      <c r="J12" s="13" t="s">
        <v>135</v>
      </c>
      <c r="K12" s="15" t="s">
        <v>136</v>
      </c>
      <c r="L12" s="15" t="s">
        <v>137</v>
      </c>
      <c r="M12" s="15" t="s">
        <v>138</v>
      </c>
      <c r="N12" s="12">
        <v>12</v>
      </c>
      <c r="O12" s="16">
        <v>101981.67</v>
      </c>
      <c r="P12" s="16">
        <v>1223780.04</v>
      </c>
      <c r="Q12" s="17">
        <v>1223780.04</v>
      </c>
      <c r="R12" s="16">
        <f>Q12-P12</f>
        <v>0</v>
      </c>
      <c r="S12" s="12" t="s">
        <v>139</v>
      </c>
      <c r="T12" s="12" t="s">
        <v>140</v>
      </c>
      <c r="U12" s="12" t="s">
        <v>141</v>
      </c>
    </row>
    <row r="13" spans="1:21" ht="46.2" x14ac:dyDescent="0.3">
      <c r="A13" s="12" t="s">
        <v>127</v>
      </c>
      <c r="B13" s="12" t="s">
        <v>55</v>
      </c>
      <c r="C13" s="12" t="s">
        <v>142</v>
      </c>
      <c r="D13" s="12" t="s">
        <v>143</v>
      </c>
      <c r="E13" s="13" t="s">
        <v>130</v>
      </c>
      <c r="F13" s="13" t="s">
        <v>144</v>
      </c>
      <c r="G13" s="13" t="s">
        <v>145</v>
      </c>
      <c r="H13" s="13" t="s">
        <v>146</v>
      </c>
      <c r="I13" s="14" t="s">
        <v>147</v>
      </c>
      <c r="J13" s="13" t="s">
        <v>135</v>
      </c>
      <c r="K13" s="15" t="s">
        <v>64</v>
      </c>
      <c r="L13" s="15"/>
      <c r="M13" s="15"/>
      <c r="N13" s="12"/>
      <c r="O13" s="16">
        <v>101981.67</v>
      </c>
      <c r="P13" s="16"/>
      <c r="Q13" s="17"/>
      <c r="R13" s="16"/>
      <c r="S13" s="12"/>
      <c r="T13" s="12" t="s">
        <v>148</v>
      </c>
      <c r="U13" s="12" t="s">
        <v>149</v>
      </c>
    </row>
    <row r="14" spans="1:21" ht="46.2" x14ac:dyDescent="0.3">
      <c r="A14" s="12" t="s">
        <v>127</v>
      </c>
      <c r="B14" s="12" t="s">
        <v>55</v>
      </c>
      <c r="C14" s="12" t="s">
        <v>150</v>
      </c>
      <c r="D14" s="12" t="s">
        <v>151</v>
      </c>
      <c r="E14" s="13" t="s">
        <v>130</v>
      </c>
      <c r="F14" s="13" t="s">
        <v>144</v>
      </c>
      <c r="G14" s="13" t="s">
        <v>145</v>
      </c>
      <c r="H14" s="13" t="s">
        <v>152</v>
      </c>
      <c r="I14" s="14" t="s">
        <v>153</v>
      </c>
      <c r="J14" s="13" t="s">
        <v>135</v>
      </c>
      <c r="K14" s="15" t="s">
        <v>64</v>
      </c>
      <c r="L14" s="15"/>
      <c r="M14" s="15"/>
      <c r="N14" s="12"/>
      <c r="O14" s="16">
        <v>101981.67</v>
      </c>
      <c r="P14" s="16"/>
      <c r="Q14" s="17"/>
      <c r="R14" s="16"/>
      <c r="S14" s="12"/>
      <c r="T14" s="12" t="s">
        <v>154</v>
      </c>
      <c r="U14" s="12" t="s">
        <v>155</v>
      </c>
    </row>
    <row r="15" spans="1:21" ht="46.2" x14ac:dyDescent="0.3">
      <c r="A15" s="12" t="s">
        <v>127</v>
      </c>
      <c r="B15" s="12" t="s">
        <v>55</v>
      </c>
      <c r="C15" s="12" t="s">
        <v>156</v>
      </c>
      <c r="D15" s="12" t="s">
        <v>157</v>
      </c>
      <c r="E15" s="13" t="s">
        <v>130</v>
      </c>
      <c r="F15" s="13" t="s">
        <v>144</v>
      </c>
      <c r="G15" s="13" t="s">
        <v>158</v>
      </c>
      <c r="H15" s="13" t="s">
        <v>159</v>
      </c>
      <c r="I15" s="14" t="s">
        <v>160</v>
      </c>
      <c r="J15" s="13" t="s">
        <v>135</v>
      </c>
      <c r="K15" s="15" t="s">
        <v>64</v>
      </c>
      <c r="L15" s="15"/>
      <c r="M15" s="15"/>
      <c r="N15" s="12"/>
      <c r="O15" s="16">
        <v>101981.67</v>
      </c>
      <c r="P15" s="16"/>
      <c r="Q15" s="17"/>
      <c r="R15" s="16"/>
      <c r="S15" s="12"/>
      <c r="T15" s="12" t="s">
        <v>161</v>
      </c>
      <c r="U15" s="12" t="s">
        <v>162</v>
      </c>
    </row>
    <row r="16" spans="1:21" ht="57.6" x14ac:dyDescent="0.3">
      <c r="A16" s="12" t="s">
        <v>127</v>
      </c>
      <c r="B16" s="12" t="s">
        <v>55</v>
      </c>
      <c r="C16" s="12" t="s">
        <v>163</v>
      </c>
      <c r="D16" s="12" t="s">
        <v>164</v>
      </c>
      <c r="E16" s="13" t="s">
        <v>130</v>
      </c>
      <c r="F16" s="13" t="s">
        <v>144</v>
      </c>
      <c r="G16" s="13" t="s">
        <v>158</v>
      </c>
      <c r="H16" s="13" t="s">
        <v>165</v>
      </c>
      <c r="I16" s="14" t="s">
        <v>166</v>
      </c>
      <c r="J16" s="13" t="s">
        <v>135</v>
      </c>
      <c r="K16" s="15" t="s">
        <v>64</v>
      </c>
      <c r="L16" s="15"/>
      <c r="M16" s="15"/>
      <c r="N16" s="12"/>
      <c r="O16" s="16">
        <v>101981.67</v>
      </c>
      <c r="P16" s="16"/>
      <c r="Q16" s="17"/>
      <c r="R16" s="16"/>
      <c r="S16" s="12"/>
      <c r="T16" s="12" t="s">
        <v>167</v>
      </c>
      <c r="U16" s="12" t="s">
        <v>168</v>
      </c>
    </row>
    <row r="17" spans="1:21" ht="57.6" x14ac:dyDescent="0.3">
      <c r="A17" s="12" t="s">
        <v>127</v>
      </c>
      <c r="B17" s="12" t="s">
        <v>55</v>
      </c>
      <c r="C17" s="12" t="s">
        <v>169</v>
      </c>
      <c r="D17" s="12" t="s">
        <v>170</v>
      </c>
      <c r="E17" s="13" t="s">
        <v>130</v>
      </c>
      <c r="F17" s="13" t="s">
        <v>144</v>
      </c>
      <c r="G17" s="13" t="s">
        <v>171</v>
      </c>
      <c r="H17" s="13" t="s">
        <v>172</v>
      </c>
      <c r="I17" s="14" t="s">
        <v>173</v>
      </c>
      <c r="J17" s="13" t="s">
        <v>135</v>
      </c>
      <c r="K17" s="15" t="s">
        <v>64</v>
      </c>
      <c r="L17" s="15"/>
      <c r="M17" s="15"/>
      <c r="N17" s="12"/>
      <c r="O17" s="16">
        <v>101981.67</v>
      </c>
      <c r="P17" s="16"/>
      <c r="Q17" s="17"/>
      <c r="R17" s="16"/>
      <c r="S17" s="12"/>
      <c r="T17" s="12" t="s">
        <v>174</v>
      </c>
      <c r="U17" s="12" t="s">
        <v>175</v>
      </c>
    </row>
    <row r="18" spans="1:21" ht="57.6" x14ac:dyDescent="0.3">
      <c r="A18" s="12" t="s">
        <v>127</v>
      </c>
      <c r="B18" s="12" t="s">
        <v>55</v>
      </c>
      <c r="C18" s="12" t="s">
        <v>176</v>
      </c>
      <c r="D18" s="12" t="s">
        <v>177</v>
      </c>
      <c r="E18" s="13" t="s">
        <v>130</v>
      </c>
      <c r="F18" s="13" t="s">
        <v>144</v>
      </c>
      <c r="G18" s="13" t="s">
        <v>171</v>
      </c>
      <c r="H18" s="13" t="s">
        <v>178</v>
      </c>
      <c r="I18" s="14" t="s">
        <v>179</v>
      </c>
      <c r="J18" s="13" t="s">
        <v>135</v>
      </c>
      <c r="K18" s="15" t="s">
        <v>64</v>
      </c>
      <c r="L18" s="15"/>
      <c r="M18" s="15"/>
      <c r="N18" s="12"/>
      <c r="O18" s="16">
        <v>101981.67</v>
      </c>
      <c r="P18" s="16"/>
      <c r="Q18" s="17"/>
      <c r="R18" s="16"/>
      <c r="S18" s="12"/>
      <c r="T18" s="12" t="s">
        <v>174</v>
      </c>
      <c r="U18" s="12" t="s">
        <v>180</v>
      </c>
    </row>
    <row r="19" spans="1:21" ht="46.2" x14ac:dyDescent="0.3">
      <c r="A19" s="12" t="s">
        <v>127</v>
      </c>
      <c r="B19" s="12" t="s">
        <v>55</v>
      </c>
      <c r="C19" s="12" t="s">
        <v>181</v>
      </c>
      <c r="D19" s="12" t="s">
        <v>182</v>
      </c>
      <c r="E19" s="13" t="s">
        <v>130</v>
      </c>
      <c r="F19" s="13" t="s">
        <v>144</v>
      </c>
      <c r="G19" s="13" t="s">
        <v>145</v>
      </c>
      <c r="H19" s="13" t="s">
        <v>183</v>
      </c>
      <c r="I19" s="14" t="s">
        <v>184</v>
      </c>
      <c r="J19" s="13" t="s">
        <v>135</v>
      </c>
      <c r="K19" s="15" t="s">
        <v>64</v>
      </c>
      <c r="L19" s="15"/>
      <c r="M19" s="15"/>
      <c r="N19" s="12"/>
      <c r="O19" s="16">
        <v>101981.67</v>
      </c>
      <c r="P19" s="16"/>
      <c r="Q19" s="17"/>
      <c r="R19" s="16"/>
      <c r="S19" s="12"/>
      <c r="T19" s="12" t="s">
        <v>185</v>
      </c>
      <c r="U19" s="12" t="s">
        <v>186</v>
      </c>
    </row>
    <row r="20" spans="1:21" ht="57.6" x14ac:dyDescent="0.3">
      <c r="A20" s="12" t="s">
        <v>127</v>
      </c>
      <c r="B20" s="12" t="s">
        <v>55</v>
      </c>
      <c r="C20" s="12" t="s">
        <v>187</v>
      </c>
      <c r="D20" s="12" t="s">
        <v>188</v>
      </c>
      <c r="E20" s="13" t="s">
        <v>130</v>
      </c>
      <c r="F20" s="13" t="s">
        <v>144</v>
      </c>
      <c r="G20" s="13" t="s">
        <v>158</v>
      </c>
      <c r="H20" s="13" t="s">
        <v>189</v>
      </c>
      <c r="I20" s="14" t="s">
        <v>190</v>
      </c>
      <c r="J20" s="13" t="s">
        <v>135</v>
      </c>
      <c r="K20" s="15" t="s">
        <v>64</v>
      </c>
      <c r="L20" s="15"/>
      <c r="M20" s="15"/>
      <c r="N20" s="12"/>
      <c r="O20" s="16">
        <v>101981.67</v>
      </c>
      <c r="P20" s="16"/>
      <c r="Q20" s="17"/>
      <c r="R20" s="16"/>
      <c r="S20" s="12"/>
      <c r="T20" s="12" t="s">
        <v>191</v>
      </c>
      <c r="U20" s="12" t="s">
        <v>192</v>
      </c>
    </row>
    <row r="21" spans="1:21" ht="57.6" x14ac:dyDescent="0.3">
      <c r="A21" s="12" t="s">
        <v>127</v>
      </c>
      <c r="B21" s="12" t="s">
        <v>55</v>
      </c>
      <c r="C21" s="12" t="s">
        <v>193</v>
      </c>
      <c r="D21" s="12" t="s">
        <v>194</v>
      </c>
      <c r="E21" s="13" t="s">
        <v>130</v>
      </c>
      <c r="F21" s="13" t="s">
        <v>195</v>
      </c>
      <c r="G21" s="13" t="s">
        <v>196</v>
      </c>
      <c r="H21" s="13" t="s">
        <v>197</v>
      </c>
      <c r="I21" s="14" t="s">
        <v>198</v>
      </c>
      <c r="J21" s="13" t="s">
        <v>135</v>
      </c>
      <c r="K21" s="15" t="s">
        <v>64</v>
      </c>
      <c r="L21" s="15"/>
      <c r="M21" s="15"/>
      <c r="N21" s="12"/>
      <c r="O21" s="16">
        <v>101981.67</v>
      </c>
      <c r="P21" s="16"/>
      <c r="Q21" s="17"/>
      <c r="R21" s="16"/>
      <c r="S21" s="12"/>
      <c r="T21" s="12" t="s">
        <v>199</v>
      </c>
      <c r="U21" s="12" t="s">
        <v>200</v>
      </c>
    </row>
    <row r="22" spans="1:21" ht="46.2" x14ac:dyDescent="0.3">
      <c r="A22" s="12" t="s">
        <v>127</v>
      </c>
      <c r="B22" s="12" t="s">
        <v>55</v>
      </c>
      <c r="C22" s="12" t="s">
        <v>201</v>
      </c>
      <c r="D22" s="12" t="s">
        <v>202</v>
      </c>
      <c r="E22" s="13" t="s">
        <v>130</v>
      </c>
      <c r="F22" s="13" t="s">
        <v>203</v>
      </c>
      <c r="G22" s="13" t="s">
        <v>204</v>
      </c>
      <c r="H22" s="13" t="s">
        <v>205</v>
      </c>
      <c r="I22" s="14" t="s">
        <v>206</v>
      </c>
      <c r="J22" s="13" t="s">
        <v>135</v>
      </c>
      <c r="K22" s="15" t="s">
        <v>64</v>
      </c>
      <c r="L22" s="15"/>
      <c r="M22" s="15"/>
      <c r="N22" s="12"/>
      <c r="O22" s="16">
        <v>101981.67</v>
      </c>
      <c r="P22" s="16"/>
      <c r="Q22" s="17"/>
      <c r="R22" s="16"/>
      <c r="S22" s="12"/>
      <c r="T22" s="12" t="s">
        <v>207</v>
      </c>
      <c r="U22" s="12" t="s">
        <v>208</v>
      </c>
    </row>
    <row r="23" spans="1:21" ht="57.6" x14ac:dyDescent="0.3">
      <c r="A23" s="12" t="s">
        <v>127</v>
      </c>
      <c r="B23" s="12" t="s">
        <v>55</v>
      </c>
      <c r="C23" s="12" t="s">
        <v>209</v>
      </c>
      <c r="D23" s="12" t="s">
        <v>210</v>
      </c>
      <c r="E23" s="13" t="s">
        <v>130</v>
      </c>
      <c r="F23" s="13" t="s">
        <v>144</v>
      </c>
      <c r="G23" s="13" t="s">
        <v>211</v>
      </c>
      <c r="H23" s="13" t="s">
        <v>212</v>
      </c>
      <c r="I23" s="14" t="s">
        <v>213</v>
      </c>
      <c r="J23" s="13" t="s">
        <v>135</v>
      </c>
      <c r="K23" s="15" t="s">
        <v>64</v>
      </c>
      <c r="L23" s="15"/>
      <c r="M23" s="15"/>
      <c r="N23" s="12"/>
      <c r="O23" s="16">
        <v>101981.67</v>
      </c>
      <c r="P23" s="16"/>
      <c r="Q23" s="17"/>
      <c r="R23" s="16"/>
      <c r="S23" s="12"/>
      <c r="T23" s="12" t="s">
        <v>214</v>
      </c>
      <c r="U23" s="12" t="s">
        <v>215</v>
      </c>
    </row>
    <row r="24" spans="1:21" ht="57.6" x14ac:dyDescent="0.3">
      <c r="A24" s="12" t="s">
        <v>127</v>
      </c>
      <c r="B24" s="12" t="s">
        <v>55</v>
      </c>
      <c r="C24" s="12" t="s">
        <v>216</v>
      </c>
      <c r="D24" s="12" t="s">
        <v>217</v>
      </c>
      <c r="E24" s="13" t="s">
        <v>130</v>
      </c>
      <c r="F24" s="13" t="s">
        <v>144</v>
      </c>
      <c r="G24" s="13" t="s">
        <v>211</v>
      </c>
      <c r="H24" s="13" t="s">
        <v>218</v>
      </c>
      <c r="I24" s="14" t="s">
        <v>219</v>
      </c>
      <c r="J24" s="13" t="s">
        <v>135</v>
      </c>
      <c r="K24" s="15" t="s">
        <v>64</v>
      </c>
      <c r="L24" s="15"/>
      <c r="M24" s="15"/>
      <c r="N24" s="12"/>
      <c r="O24" s="16">
        <v>101981.67</v>
      </c>
      <c r="P24" s="16"/>
      <c r="Q24" s="17"/>
      <c r="R24" s="16"/>
      <c r="S24" s="12"/>
      <c r="T24" s="12" t="s">
        <v>220</v>
      </c>
      <c r="U24" s="12" t="s">
        <v>221</v>
      </c>
    </row>
    <row r="25" spans="1:21" ht="46.2" x14ac:dyDescent="0.3">
      <c r="A25" s="11" t="s">
        <v>222</v>
      </c>
      <c r="B25" s="11" t="s">
        <v>40</v>
      </c>
      <c r="C25" s="11" t="s">
        <v>223</v>
      </c>
      <c r="D25" s="12" t="s">
        <v>224</v>
      </c>
      <c r="E25" s="13" t="s">
        <v>130</v>
      </c>
      <c r="F25" s="12" t="s">
        <v>225</v>
      </c>
      <c r="G25" s="13" t="s">
        <v>226</v>
      </c>
      <c r="H25" s="13" t="s">
        <v>227</v>
      </c>
      <c r="I25" s="14" t="s">
        <v>228</v>
      </c>
      <c r="J25" s="13" t="s">
        <v>135</v>
      </c>
      <c r="K25" s="15" t="s">
        <v>229</v>
      </c>
      <c r="L25" s="15" t="s">
        <v>230</v>
      </c>
      <c r="M25" s="15" t="s">
        <v>138</v>
      </c>
      <c r="N25" s="12">
        <v>1</v>
      </c>
      <c r="O25" s="16">
        <v>71978.039999999994</v>
      </c>
      <c r="P25" s="16">
        <v>71978.039999999994</v>
      </c>
      <c r="Q25" s="17">
        <v>71978.039999999994</v>
      </c>
      <c r="R25" s="16">
        <f>Q25-P25</f>
        <v>0</v>
      </c>
      <c r="S25" s="12" t="s">
        <v>231</v>
      </c>
      <c r="T25" s="12" t="s">
        <v>232</v>
      </c>
      <c r="U25" s="12" t="s">
        <v>141</v>
      </c>
    </row>
    <row r="26" spans="1:21" ht="57.6" x14ac:dyDescent="0.3">
      <c r="A26" s="12" t="s">
        <v>222</v>
      </c>
      <c r="B26" s="12" t="s">
        <v>55</v>
      </c>
      <c r="C26" s="12" t="s">
        <v>233</v>
      </c>
      <c r="D26" s="12" t="s">
        <v>234</v>
      </c>
      <c r="E26" s="13" t="s">
        <v>130</v>
      </c>
      <c r="F26" s="13" t="s">
        <v>235</v>
      </c>
      <c r="G26" s="13" t="s">
        <v>236</v>
      </c>
      <c r="H26" s="13" t="s">
        <v>237</v>
      </c>
      <c r="I26" s="14" t="s">
        <v>238</v>
      </c>
      <c r="J26" s="13" t="s">
        <v>135</v>
      </c>
      <c r="K26" s="15" t="s">
        <v>64</v>
      </c>
      <c r="L26" s="15"/>
      <c r="M26" s="15"/>
      <c r="N26" s="12"/>
      <c r="O26" s="16">
        <v>71978.039999999994</v>
      </c>
      <c r="P26" s="16"/>
      <c r="Q26" s="17"/>
      <c r="R26" s="16"/>
      <c r="S26" s="12"/>
      <c r="T26" s="12" t="s">
        <v>239</v>
      </c>
      <c r="U26" s="12" t="s">
        <v>240</v>
      </c>
    </row>
    <row r="27" spans="1:21" ht="46.2" x14ac:dyDescent="0.3">
      <c r="A27" s="11" t="s">
        <v>241</v>
      </c>
      <c r="B27" s="11" t="s">
        <v>40</v>
      </c>
      <c r="C27" s="11" t="s">
        <v>242</v>
      </c>
      <c r="D27" s="12" t="s">
        <v>243</v>
      </c>
      <c r="E27" s="13" t="s">
        <v>130</v>
      </c>
      <c r="F27" s="12" t="s">
        <v>131</v>
      </c>
      <c r="G27" s="13" t="s">
        <v>244</v>
      </c>
      <c r="H27" s="13" t="s">
        <v>245</v>
      </c>
      <c r="I27" s="14" t="s">
        <v>246</v>
      </c>
      <c r="J27" s="13" t="s">
        <v>135</v>
      </c>
      <c r="K27" s="15" t="s">
        <v>247</v>
      </c>
      <c r="L27" s="15" t="s">
        <v>248</v>
      </c>
      <c r="M27" s="15" t="s">
        <v>138</v>
      </c>
      <c r="N27" s="12">
        <v>2</v>
      </c>
      <c r="O27" s="16">
        <v>87358.35</v>
      </c>
      <c r="P27" s="16">
        <v>174716.7</v>
      </c>
      <c r="Q27" s="17">
        <v>174716.7</v>
      </c>
      <c r="R27" s="16">
        <f>Q27-P27</f>
        <v>0</v>
      </c>
      <c r="S27" s="12" t="s">
        <v>249</v>
      </c>
      <c r="T27" s="12" t="s">
        <v>250</v>
      </c>
      <c r="U27" s="12" t="s">
        <v>141</v>
      </c>
    </row>
    <row r="28" spans="1:21" ht="57.6" x14ac:dyDescent="0.3">
      <c r="A28" s="12" t="s">
        <v>241</v>
      </c>
      <c r="B28" s="12" t="s">
        <v>55</v>
      </c>
      <c r="C28" s="12" t="s">
        <v>251</v>
      </c>
      <c r="D28" s="12" t="s">
        <v>252</v>
      </c>
      <c r="E28" s="13" t="s">
        <v>130</v>
      </c>
      <c r="F28" s="13" t="s">
        <v>144</v>
      </c>
      <c r="G28" s="13" t="s">
        <v>253</v>
      </c>
      <c r="H28" s="13" t="s">
        <v>254</v>
      </c>
      <c r="I28" s="14" t="s">
        <v>255</v>
      </c>
      <c r="J28" s="13" t="s">
        <v>135</v>
      </c>
      <c r="K28" s="15" t="s">
        <v>64</v>
      </c>
      <c r="L28" s="15"/>
      <c r="M28" s="15"/>
      <c r="N28" s="12"/>
      <c r="O28" s="16">
        <v>87358.35</v>
      </c>
      <c r="P28" s="16"/>
      <c r="Q28" s="17"/>
      <c r="R28" s="16"/>
      <c r="S28" s="12"/>
      <c r="T28" s="12" t="s">
        <v>256</v>
      </c>
      <c r="U28" s="12" t="s">
        <v>257</v>
      </c>
    </row>
    <row r="29" spans="1:21" ht="46.2" x14ac:dyDescent="0.3">
      <c r="A29" s="12" t="s">
        <v>241</v>
      </c>
      <c r="B29" s="12" t="s">
        <v>55</v>
      </c>
      <c r="C29" s="12" t="s">
        <v>258</v>
      </c>
      <c r="D29" s="12" t="s">
        <v>259</v>
      </c>
      <c r="E29" s="13" t="s">
        <v>130</v>
      </c>
      <c r="F29" s="13" t="s">
        <v>144</v>
      </c>
      <c r="G29" s="13" t="s">
        <v>253</v>
      </c>
      <c r="H29" s="13" t="s">
        <v>260</v>
      </c>
      <c r="I29" s="14" t="s">
        <v>261</v>
      </c>
      <c r="J29" s="13" t="s">
        <v>135</v>
      </c>
      <c r="K29" s="15" t="s">
        <v>64</v>
      </c>
      <c r="L29" s="15"/>
      <c r="M29" s="15"/>
      <c r="N29" s="12"/>
      <c r="O29" s="16">
        <v>87358.35</v>
      </c>
      <c r="P29" s="16"/>
      <c r="Q29" s="17"/>
      <c r="R29" s="16"/>
      <c r="S29" s="12"/>
      <c r="T29" s="12" t="s">
        <v>262</v>
      </c>
      <c r="U29" s="12" t="s">
        <v>263</v>
      </c>
    </row>
    <row r="30" spans="1:21" ht="46.2" x14ac:dyDescent="0.3">
      <c r="A30" s="11" t="s">
        <v>264</v>
      </c>
      <c r="B30" s="11" t="s">
        <v>40</v>
      </c>
      <c r="C30" s="11" t="s">
        <v>265</v>
      </c>
      <c r="D30" s="12" t="s">
        <v>266</v>
      </c>
      <c r="E30" s="13" t="s">
        <v>130</v>
      </c>
      <c r="F30" s="12" t="s">
        <v>267</v>
      </c>
      <c r="G30" s="13" t="s">
        <v>268</v>
      </c>
      <c r="H30" s="13" t="s">
        <v>269</v>
      </c>
      <c r="I30" s="14" t="s">
        <v>246</v>
      </c>
      <c r="J30" s="13" t="s">
        <v>135</v>
      </c>
      <c r="K30" s="15" t="s">
        <v>247</v>
      </c>
      <c r="L30" s="15" t="s">
        <v>248</v>
      </c>
      <c r="M30" s="15" t="s">
        <v>138</v>
      </c>
      <c r="N30" s="12">
        <v>2</v>
      </c>
      <c r="O30" s="16">
        <v>80938.11</v>
      </c>
      <c r="P30" s="16">
        <v>161876.22</v>
      </c>
      <c r="Q30" s="17">
        <v>161876.22</v>
      </c>
      <c r="R30" s="16">
        <f>Q30-P30</f>
        <v>0</v>
      </c>
      <c r="S30" s="12" t="s">
        <v>249</v>
      </c>
      <c r="T30" s="12" t="s">
        <v>270</v>
      </c>
      <c r="U30" s="12" t="s">
        <v>141</v>
      </c>
    </row>
    <row r="31" spans="1:21" ht="60.6" customHeight="1" x14ac:dyDescent="0.3">
      <c r="A31" s="12" t="s">
        <v>264</v>
      </c>
      <c r="B31" s="12" t="s">
        <v>55</v>
      </c>
      <c r="C31" s="12" t="s">
        <v>271</v>
      </c>
      <c r="D31" s="12" t="s">
        <v>272</v>
      </c>
      <c r="E31" s="13" t="s">
        <v>130</v>
      </c>
      <c r="F31" s="13" t="s">
        <v>273</v>
      </c>
      <c r="G31" s="13" t="s">
        <v>274</v>
      </c>
      <c r="H31" s="13" t="s">
        <v>275</v>
      </c>
      <c r="I31" s="14" t="s">
        <v>276</v>
      </c>
      <c r="J31" s="13" t="s">
        <v>135</v>
      </c>
      <c r="K31" s="15" t="s">
        <v>64</v>
      </c>
      <c r="L31" s="15"/>
      <c r="M31" s="15"/>
      <c r="N31" s="12"/>
      <c r="O31" s="16">
        <v>80938.11</v>
      </c>
      <c r="P31" s="16"/>
      <c r="Q31" s="17"/>
      <c r="R31" s="16"/>
      <c r="S31" s="12"/>
      <c r="T31" s="12" t="s">
        <v>277</v>
      </c>
      <c r="U31" s="12" t="s">
        <v>278</v>
      </c>
    </row>
    <row r="32" spans="1:21" ht="60.6" customHeight="1" x14ac:dyDescent="0.3">
      <c r="A32" s="12" t="s">
        <v>264</v>
      </c>
      <c r="B32" s="12" t="s">
        <v>55</v>
      </c>
      <c r="C32" s="12" t="s">
        <v>279</v>
      </c>
      <c r="D32" s="12" t="s">
        <v>280</v>
      </c>
      <c r="E32" s="13" t="s">
        <v>130</v>
      </c>
      <c r="F32" s="13" t="s">
        <v>281</v>
      </c>
      <c r="G32" s="13" t="s">
        <v>274</v>
      </c>
      <c r="H32" s="13" t="s">
        <v>282</v>
      </c>
      <c r="I32" s="14" t="s">
        <v>283</v>
      </c>
      <c r="J32" s="13" t="s">
        <v>135</v>
      </c>
      <c r="K32" s="15" t="s">
        <v>64</v>
      </c>
      <c r="L32" s="15"/>
      <c r="M32" s="15"/>
      <c r="N32" s="12"/>
      <c r="O32" s="16">
        <v>80938.11</v>
      </c>
      <c r="P32" s="16"/>
      <c r="Q32" s="17"/>
      <c r="R32" s="16"/>
      <c r="S32" s="12"/>
      <c r="T32" s="12" t="s">
        <v>277</v>
      </c>
      <c r="U32" s="12" t="s">
        <v>284</v>
      </c>
    </row>
    <row r="33" spans="1:21" ht="46.2" x14ac:dyDescent="0.3">
      <c r="A33" s="11" t="s">
        <v>285</v>
      </c>
      <c r="B33" s="11" t="s">
        <v>40</v>
      </c>
      <c r="C33" s="11" t="s">
        <v>286</v>
      </c>
      <c r="D33" s="12" t="s">
        <v>287</v>
      </c>
      <c r="E33" s="13" t="s">
        <v>130</v>
      </c>
      <c r="F33" s="12" t="s">
        <v>267</v>
      </c>
      <c r="G33" s="13" t="s">
        <v>288</v>
      </c>
      <c r="H33" s="13" t="s">
        <v>289</v>
      </c>
      <c r="I33" s="14" t="s">
        <v>290</v>
      </c>
      <c r="J33" s="13" t="s">
        <v>135</v>
      </c>
      <c r="K33" s="15" t="s">
        <v>247</v>
      </c>
      <c r="L33" s="15" t="s">
        <v>248</v>
      </c>
      <c r="M33" s="15" t="s">
        <v>138</v>
      </c>
      <c r="N33" s="12">
        <v>3</v>
      </c>
      <c r="O33" s="16">
        <v>102853.99</v>
      </c>
      <c r="P33" s="16">
        <v>308561.96999999997</v>
      </c>
      <c r="Q33" s="17">
        <v>308561.96999999997</v>
      </c>
      <c r="R33" s="16">
        <f>Q33-P33</f>
        <v>0</v>
      </c>
      <c r="S33" s="12" t="s">
        <v>249</v>
      </c>
      <c r="T33" s="12" t="s">
        <v>291</v>
      </c>
      <c r="U33" s="12" t="s">
        <v>141</v>
      </c>
    </row>
    <row r="34" spans="1:21" ht="61.2" customHeight="1" x14ac:dyDescent="0.3">
      <c r="A34" s="12" t="s">
        <v>285</v>
      </c>
      <c r="B34" s="12" t="s">
        <v>55</v>
      </c>
      <c r="C34" s="12" t="s">
        <v>292</v>
      </c>
      <c r="D34" s="12" t="s">
        <v>293</v>
      </c>
      <c r="E34" s="13" t="s">
        <v>130</v>
      </c>
      <c r="F34" s="13" t="s">
        <v>281</v>
      </c>
      <c r="G34" s="13" t="s">
        <v>294</v>
      </c>
      <c r="H34" s="13" t="s">
        <v>295</v>
      </c>
      <c r="I34" s="14" t="s">
        <v>296</v>
      </c>
      <c r="J34" s="13" t="s">
        <v>135</v>
      </c>
      <c r="K34" s="15" t="s">
        <v>64</v>
      </c>
      <c r="L34" s="15"/>
      <c r="M34" s="15"/>
      <c r="N34" s="12"/>
      <c r="O34" s="16">
        <v>102853.99</v>
      </c>
      <c r="P34" s="16"/>
      <c r="Q34" s="17"/>
      <c r="R34" s="16"/>
      <c r="S34" s="12"/>
      <c r="T34" s="12" t="s">
        <v>297</v>
      </c>
      <c r="U34" s="12" t="s">
        <v>298</v>
      </c>
    </row>
    <row r="35" spans="1:21" ht="61.2" customHeight="1" x14ac:dyDescent="0.3">
      <c r="A35" s="12" t="s">
        <v>285</v>
      </c>
      <c r="B35" s="12" t="s">
        <v>55</v>
      </c>
      <c r="C35" s="12" t="s">
        <v>299</v>
      </c>
      <c r="D35" s="12" t="s">
        <v>300</v>
      </c>
      <c r="E35" s="13" t="s">
        <v>130</v>
      </c>
      <c r="F35" s="13" t="s">
        <v>281</v>
      </c>
      <c r="G35" s="13" t="s">
        <v>301</v>
      </c>
      <c r="H35" s="13" t="s">
        <v>302</v>
      </c>
      <c r="I35" s="14" t="s">
        <v>303</v>
      </c>
      <c r="J35" s="13" t="s">
        <v>135</v>
      </c>
      <c r="K35" s="15" t="s">
        <v>64</v>
      </c>
      <c r="L35" s="15"/>
      <c r="M35" s="15"/>
      <c r="N35" s="12"/>
      <c r="O35" s="16">
        <v>102853.99</v>
      </c>
      <c r="P35" s="16"/>
      <c r="Q35" s="17"/>
      <c r="R35" s="16"/>
      <c r="S35" s="12"/>
      <c r="T35" s="12" t="s">
        <v>297</v>
      </c>
      <c r="U35" s="12" t="s">
        <v>304</v>
      </c>
    </row>
    <row r="36" spans="1:21" ht="61.2" customHeight="1" x14ac:dyDescent="0.3">
      <c r="A36" s="12" t="s">
        <v>285</v>
      </c>
      <c r="B36" s="12" t="s">
        <v>55</v>
      </c>
      <c r="C36" s="12" t="s">
        <v>305</v>
      </c>
      <c r="D36" s="12" t="s">
        <v>306</v>
      </c>
      <c r="E36" s="13" t="s">
        <v>130</v>
      </c>
      <c r="F36" s="13" t="s">
        <v>281</v>
      </c>
      <c r="G36" s="13" t="s">
        <v>307</v>
      </c>
      <c r="H36" s="13" t="s">
        <v>308</v>
      </c>
      <c r="I36" s="14" t="s">
        <v>309</v>
      </c>
      <c r="J36" s="13" t="s">
        <v>135</v>
      </c>
      <c r="K36" s="15" t="s">
        <v>64</v>
      </c>
      <c r="L36" s="15"/>
      <c r="M36" s="15"/>
      <c r="N36" s="12"/>
      <c r="O36" s="16">
        <v>102853.99</v>
      </c>
      <c r="P36" s="16"/>
      <c r="Q36" s="17"/>
      <c r="R36" s="16"/>
      <c r="S36" s="12"/>
      <c r="T36" s="12" t="s">
        <v>310</v>
      </c>
      <c r="U36" s="12" t="s">
        <v>311</v>
      </c>
    </row>
    <row r="37" spans="1:21" ht="46.2" x14ac:dyDescent="0.3">
      <c r="A37" s="11" t="s">
        <v>312</v>
      </c>
      <c r="B37" s="11" t="s">
        <v>40</v>
      </c>
      <c r="C37" s="11" t="s">
        <v>313</v>
      </c>
      <c r="D37" s="12" t="s">
        <v>314</v>
      </c>
      <c r="E37" s="13" t="s">
        <v>130</v>
      </c>
      <c r="F37" s="12" t="s">
        <v>267</v>
      </c>
      <c r="G37" s="13" t="s">
        <v>315</v>
      </c>
      <c r="H37" s="13" t="s">
        <v>316</v>
      </c>
      <c r="I37" s="14" t="s">
        <v>228</v>
      </c>
      <c r="J37" s="13" t="s">
        <v>135</v>
      </c>
      <c r="K37" s="15" t="s">
        <v>247</v>
      </c>
      <c r="L37" s="15" t="s">
        <v>248</v>
      </c>
      <c r="M37" s="15" t="s">
        <v>138</v>
      </c>
      <c r="N37" s="12">
        <v>1</v>
      </c>
      <c r="O37" s="16">
        <v>102010.24000000001</v>
      </c>
      <c r="P37" s="16">
        <v>102010.24000000001</v>
      </c>
      <c r="Q37" s="17">
        <v>102010.24000000001</v>
      </c>
      <c r="R37" s="16">
        <f>Q37-P37</f>
        <v>0</v>
      </c>
      <c r="S37" s="12" t="s">
        <v>249</v>
      </c>
      <c r="T37" s="12" t="s">
        <v>317</v>
      </c>
      <c r="U37" s="12" t="s">
        <v>141</v>
      </c>
    </row>
    <row r="38" spans="1:21" ht="60.6" customHeight="1" x14ac:dyDescent="0.3">
      <c r="A38" s="12" t="s">
        <v>312</v>
      </c>
      <c r="B38" s="12" t="s">
        <v>55</v>
      </c>
      <c r="C38" s="12" t="s">
        <v>318</v>
      </c>
      <c r="D38" s="12" t="s">
        <v>319</v>
      </c>
      <c r="E38" s="13" t="s">
        <v>130</v>
      </c>
      <c r="F38" s="13" t="s">
        <v>281</v>
      </c>
      <c r="G38" s="13" t="s">
        <v>307</v>
      </c>
      <c r="H38" s="13" t="s">
        <v>316</v>
      </c>
      <c r="I38" s="14" t="s">
        <v>320</v>
      </c>
      <c r="J38" s="13" t="s">
        <v>135</v>
      </c>
      <c r="K38" s="15" t="s">
        <v>64</v>
      </c>
      <c r="L38" s="15"/>
      <c r="M38" s="15"/>
      <c r="N38" s="12"/>
      <c r="O38" s="16">
        <v>102010.24000000001</v>
      </c>
      <c r="P38" s="16"/>
      <c r="Q38" s="17"/>
      <c r="R38" s="16"/>
      <c r="S38" s="12"/>
      <c r="T38" s="12" t="s">
        <v>310</v>
      </c>
      <c r="U38" s="12" t="s">
        <v>321</v>
      </c>
    </row>
    <row r="39" spans="1:21" ht="57" x14ac:dyDescent="0.3">
      <c r="A39" s="11" t="s">
        <v>322</v>
      </c>
      <c r="B39" s="11" t="s">
        <v>40</v>
      </c>
      <c r="C39" s="11" t="s">
        <v>323</v>
      </c>
      <c r="D39" s="12" t="s">
        <v>324</v>
      </c>
      <c r="E39" s="13" t="s">
        <v>130</v>
      </c>
      <c r="F39" s="12" t="s">
        <v>325</v>
      </c>
      <c r="G39" s="13" t="s">
        <v>326</v>
      </c>
      <c r="H39" s="13" t="s">
        <v>327</v>
      </c>
      <c r="I39" s="14" t="s">
        <v>113</v>
      </c>
      <c r="J39" s="13" t="s">
        <v>135</v>
      </c>
      <c r="K39" s="15" t="s">
        <v>247</v>
      </c>
      <c r="L39" s="15" t="s">
        <v>248</v>
      </c>
      <c r="M39" s="15" t="s">
        <v>138</v>
      </c>
      <c r="N39" s="12">
        <v>2</v>
      </c>
      <c r="O39" s="16">
        <v>94086.2</v>
      </c>
      <c r="P39" s="16">
        <v>188172.4</v>
      </c>
      <c r="Q39" s="17">
        <v>188172.4</v>
      </c>
      <c r="R39" s="16">
        <f>Q39-P39</f>
        <v>0</v>
      </c>
      <c r="S39" s="12" t="s">
        <v>249</v>
      </c>
      <c r="T39" s="12" t="s">
        <v>328</v>
      </c>
      <c r="U39" s="12" t="s">
        <v>141</v>
      </c>
    </row>
    <row r="40" spans="1:21" ht="34.799999999999997" x14ac:dyDescent="0.3">
      <c r="A40" s="12" t="s">
        <v>322</v>
      </c>
      <c r="B40" s="12" t="s">
        <v>55</v>
      </c>
      <c r="C40" s="12" t="s">
        <v>329</v>
      </c>
      <c r="D40" s="12" t="s">
        <v>330</v>
      </c>
      <c r="E40" s="13" t="s">
        <v>130</v>
      </c>
      <c r="F40" s="13" t="s">
        <v>331</v>
      </c>
      <c r="G40" s="13" t="s">
        <v>332</v>
      </c>
      <c r="H40" s="13" t="s">
        <v>333</v>
      </c>
      <c r="I40" s="14" t="s">
        <v>113</v>
      </c>
      <c r="J40" s="13" t="s">
        <v>135</v>
      </c>
      <c r="K40" s="15" t="s">
        <v>64</v>
      </c>
      <c r="L40" s="15"/>
      <c r="M40" s="15"/>
      <c r="N40" s="12"/>
      <c r="O40" s="16">
        <v>94086.2</v>
      </c>
      <c r="P40" s="16"/>
      <c r="Q40" s="17"/>
      <c r="R40" s="16"/>
      <c r="S40" s="12"/>
      <c r="T40" s="12" t="s">
        <v>334</v>
      </c>
      <c r="U40" s="12" t="s">
        <v>335</v>
      </c>
    </row>
    <row r="41" spans="1:21" ht="34.799999999999997" x14ac:dyDescent="0.3">
      <c r="A41" s="12" t="s">
        <v>322</v>
      </c>
      <c r="B41" s="12" t="s">
        <v>55</v>
      </c>
      <c r="C41" s="12" t="s">
        <v>336</v>
      </c>
      <c r="D41" s="12" t="s">
        <v>337</v>
      </c>
      <c r="E41" s="13" t="s">
        <v>130</v>
      </c>
      <c r="F41" s="13" t="s">
        <v>331</v>
      </c>
      <c r="G41" s="13" t="s">
        <v>332</v>
      </c>
      <c r="H41" s="13" t="s">
        <v>338</v>
      </c>
      <c r="I41" s="14" t="s">
        <v>113</v>
      </c>
      <c r="J41" s="13" t="s">
        <v>135</v>
      </c>
      <c r="K41" s="15" t="s">
        <v>64</v>
      </c>
      <c r="L41" s="15"/>
      <c r="M41" s="15"/>
      <c r="N41" s="12"/>
      <c r="O41" s="16">
        <v>94086.2</v>
      </c>
      <c r="P41" s="16"/>
      <c r="Q41" s="17"/>
      <c r="R41" s="16"/>
      <c r="S41" s="12"/>
      <c r="T41" s="12" t="s">
        <v>334</v>
      </c>
      <c r="U41" s="12" t="s">
        <v>339</v>
      </c>
    </row>
    <row r="42" spans="1:21" ht="46.2" x14ac:dyDescent="0.3">
      <c r="A42" s="11" t="s">
        <v>340</v>
      </c>
      <c r="B42" s="11" t="s">
        <v>40</v>
      </c>
      <c r="C42" s="11" t="s">
        <v>323</v>
      </c>
      <c r="D42" s="12" t="s">
        <v>341</v>
      </c>
      <c r="E42" s="13" t="s">
        <v>130</v>
      </c>
      <c r="F42" s="12" t="s">
        <v>325</v>
      </c>
      <c r="G42" s="13" t="s">
        <v>342</v>
      </c>
      <c r="H42" s="13" t="s">
        <v>343</v>
      </c>
      <c r="I42" s="14" t="s">
        <v>113</v>
      </c>
      <c r="J42" s="13" t="s">
        <v>135</v>
      </c>
      <c r="K42" s="15" t="s">
        <v>344</v>
      </c>
      <c r="L42" s="15" t="s">
        <v>345</v>
      </c>
      <c r="M42" s="15" t="s">
        <v>87</v>
      </c>
      <c r="N42" s="12">
        <v>2</v>
      </c>
      <c r="O42" s="16">
        <v>81243.34</v>
      </c>
      <c r="P42" s="16">
        <v>162486.68</v>
      </c>
      <c r="Q42" s="17">
        <v>233546.68</v>
      </c>
      <c r="R42" s="16">
        <f>Q42-P42</f>
        <v>71060</v>
      </c>
      <c r="S42" s="12" t="s">
        <v>346</v>
      </c>
      <c r="T42" s="12" t="s">
        <v>347</v>
      </c>
      <c r="U42" s="12" t="s">
        <v>141</v>
      </c>
    </row>
    <row r="43" spans="1:21" ht="38.4" customHeight="1" x14ac:dyDescent="0.3">
      <c r="A43" s="12" t="s">
        <v>340</v>
      </c>
      <c r="B43" s="12" t="s">
        <v>55</v>
      </c>
      <c r="C43" s="12" t="s">
        <v>348</v>
      </c>
      <c r="D43" s="12" t="s">
        <v>349</v>
      </c>
      <c r="E43" s="13" t="s">
        <v>130</v>
      </c>
      <c r="F43" s="13" t="s">
        <v>331</v>
      </c>
      <c r="G43" s="13" t="s">
        <v>350</v>
      </c>
      <c r="H43" s="13" t="s">
        <v>351</v>
      </c>
      <c r="I43" s="14" t="s">
        <v>113</v>
      </c>
      <c r="J43" s="13" t="s">
        <v>135</v>
      </c>
      <c r="K43" s="15" t="s">
        <v>64</v>
      </c>
      <c r="L43" s="15"/>
      <c r="M43" s="15"/>
      <c r="N43" s="12"/>
      <c r="O43" s="16">
        <v>81243.34</v>
      </c>
      <c r="P43" s="16"/>
      <c r="Q43" s="17"/>
      <c r="R43" s="16"/>
      <c r="S43" s="12"/>
      <c r="T43" s="12" t="s">
        <v>334</v>
      </c>
      <c r="U43" s="12" t="s">
        <v>352</v>
      </c>
    </row>
    <row r="44" spans="1:21" ht="38.4" customHeight="1" x14ac:dyDescent="0.3">
      <c r="A44" s="12" t="s">
        <v>340</v>
      </c>
      <c r="B44" s="12" t="s">
        <v>55</v>
      </c>
      <c r="C44" s="12" t="s">
        <v>353</v>
      </c>
      <c r="D44" s="12" t="s">
        <v>354</v>
      </c>
      <c r="E44" s="13" t="s">
        <v>130</v>
      </c>
      <c r="F44" s="13" t="s">
        <v>331</v>
      </c>
      <c r="G44" s="13" t="s">
        <v>350</v>
      </c>
      <c r="H44" s="13" t="s">
        <v>355</v>
      </c>
      <c r="I44" s="14" t="s">
        <v>113</v>
      </c>
      <c r="J44" s="13" t="s">
        <v>135</v>
      </c>
      <c r="K44" s="15" t="s">
        <v>64</v>
      </c>
      <c r="L44" s="15"/>
      <c r="M44" s="15"/>
      <c r="N44" s="12"/>
      <c r="O44" s="16">
        <v>81243.34</v>
      </c>
      <c r="P44" s="16"/>
      <c r="Q44" s="17"/>
      <c r="R44" s="16"/>
      <c r="S44" s="12"/>
      <c r="T44" s="12" t="s">
        <v>334</v>
      </c>
      <c r="U44" s="12" t="s">
        <v>356</v>
      </c>
    </row>
    <row r="45" spans="1:21" ht="77.400000000000006" customHeight="1" x14ac:dyDescent="0.3">
      <c r="A45" s="11" t="s">
        <v>357</v>
      </c>
      <c r="B45" s="11" t="s">
        <v>40</v>
      </c>
      <c r="C45" s="11" t="s">
        <v>358</v>
      </c>
      <c r="D45" s="12" t="s">
        <v>359</v>
      </c>
      <c r="E45" s="13" t="s">
        <v>130</v>
      </c>
      <c r="F45" s="12" t="s">
        <v>360</v>
      </c>
      <c r="G45" s="13" t="s">
        <v>361</v>
      </c>
      <c r="H45" s="13" t="s">
        <v>362</v>
      </c>
      <c r="I45" s="14" t="s">
        <v>113</v>
      </c>
      <c r="J45" s="13" t="s">
        <v>135</v>
      </c>
      <c r="K45" s="15" t="s">
        <v>229</v>
      </c>
      <c r="L45" s="15" t="s">
        <v>230</v>
      </c>
      <c r="M45" s="15" t="s">
        <v>138</v>
      </c>
      <c r="N45" s="12">
        <v>1</v>
      </c>
      <c r="O45" s="16">
        <v>76802.33</v>
      </c>
      <c r="P45" s="16">
        <v>76802.33</v>
      </c>
      <c r="Q45" s="17">
        <v>76802.33</v>
      </c>
      <c r="R45" s="16">
        <f>Q45-P45</f>
        <v>0</v>
      </c>
      <c r="S45" s="12" t="s">
        <v>231</v>
      </c>
      <c r="T45" s="12" t="s">
        <v>363</v>
      </c>
      <c r="U45" s="12" t="s">
        <v>141</v>
      </c>
    </row>
    <row r="46" spans="1:21" ht="23.4" x14ac:dyDescent="0.3">
      <c r="A46" s="12" t="s">
        <v>357</v>
      </c>
      <c r="B46" s="12" t="s">
        <v>55</v>
      </c>
      <c r="C46" s="12" t="s">
        <v>364</v>
      </c>
      <c r="D46" s="12" t="s">
        <v>365</v>
      </c>
      <c r="E46" s="13" t="s">
        <v>130</v>
      </c>
      <c r="F46" s="13" t="s">
        <v>366</v>
      </c>
      <c r="G46" s="13" t="s">
        <v>361</v>
      </c>
      <c r="H46" s="13" t="s">
        <v>362</v>
      </c>
      <c r="I46" s="14" t="s">
        <v>113</v>
      </c>
      <c r="J46" s="13" t="s">
        <v>135</v>
      </c>
      <c r="K46" s="15" t="s">
        <v>64</v>
      </c>
      <c r="L46" s="15"/>
      <c r="M46" s="15"/>
      <c r="N46" s="12"/>
      <c r="O46" s="16">
        <v>76802.33</v>
      </c>
      <c r="P46" s="16"/>
      <c r="Q46" s="17"/>
      <c r="R46" s="16"/>
      <c r="S46" s="12"/>
      <c r="T46" s="12" t="s">
        <v>367</v>
      </c>
      <c r="U46" s="12" t="s">
        <v>368</v>
      </c>
    </row>
    <row r="47" spans="1:21" ht="53.4" customHeight="1" x14ac:dyDescent="0.3">
      <c r="A47" s="11" t="s">
        <v>369</v>
      </c>
      <c r="B47" s="11" t="s">
        <v>40</v>
      </c>
      <c r="C47" s="11" t="s">
        <v>370</v>
      </c>
      <c r="D47" s="12" t="s">
        <v>371</v>
      </c>
      <c r="E47" s="13" t="s">
        <v>130</v>
      </c>
      <c r="F47" s="12" t="s">
        <v>372</v>
      </c>
      <c r="G47" s="13" t="s">
        <v>373</v>
      </c>
      <c r="H47" s="13" t="s">
        <v>374</v>
      </c>
      <c r="I47" s="14" t="s">
        <v>246</v>
      </c>
      <c r="J47" s="13" t="s">
        <v>135</v>
      </c>
      <c r="K47" s="15" t="s">
        <v>229</v>
      </c>
      <c r="L47" s="15" t="s">
        <v>230</v>
      </c>
      <c r="M47" s="15" t="s">
        <v>138</v>
      </c>
      <c r="N47" s="12">
        <v>2</v>
      </c>
      <c r="O47" s="16">
        <v>80053.429999999993</v>
      </c>
      <c r="P47" s="16">
        <v>160106.85999999999</v>
      </c>
      <c r="Q47" s="17">
        <v>160106.85999999999</v>
      </c>
      <c r="R47" s="16">
        <f>Q47-P47</f>
        <v>0</v>
      </c>
      <c r="S47" s="12" t="s">
        <v>231</v>
      </c>
      <c r="T47" s="12" t="s">
        <v>375</v>
      </c>
      <c r="U47" s="12" t="s">
        <v>141</v>
      </c>
    </row>
    <row r="48" spans="1:21" ht="61.2" customHeight="1" x14ac:dyDescent="0.3">
      <c r="A48" s="12" t="s">
        <v>369</v>
      </c>
      <c r="B48" s="12" t="s">
        <v>55</v>
      </c>
      <c r="C48" s="12" t="s">
        <v>376</v>
      </c>
      <c r="D48" s="12" t="s">
        <v>377</v>
      </c>
      <c r="E48" s="13" t="s">
        <v>130</v>
      </c>
      <c r="F48" s="13" t="s">
        <v>378</v>
      </c>
      <c r="G48" s="13" t="s">
        <v>379</v>
      </c>
      <c r="H48" s="13" t="s">
        <v>380</v>
      </c>
      <c r="I48" s="14" t="s">
        <v>381</v>
      </c>
      <c r="J48" s="13" t="s">
        <v>135</v>
      </c>
      <c r="K48" s="15" t="s">
        <v>64</v>
      </c>
      <c r="L48" s="15"/>
      <c r="M48" s="15"/>
      <c r="N48" s="12"/>
      <c r="O48" s="16">
        <v>80053.429999999993</v>
      </c>
      <c r="P48" s="16"/>
      <c r="Q48" s="17"/>
      <c r="R48" s="16"/>
      <c r="S48" s="12"/>
      <c r="T48" s="12" t="s">
        <v>382</v>
      </c>
      <c r="U48" s="12" t="s">
        <v>383</v>
      </c>
    </row>
    <row r="49" spans="1:21" ht="58.2" customHeight="1" x14ac:dyDescent="0.3">
      <c r="A49" s="12" t="s">
        <v>369</v>
      </c>
      <c r="B49" s="12" t="s">
        <v>55</v>
      </c>
      <c r="C49" s="12" t="s">
        <v>384</v>
      </c>
      <c r="D49" s="12" t="s">
        <v>385</v>
      </c>
      <c r="E49" s="13" t="s">
        <v>130</v>
      </c>
      <c r="F49" s="13" t="s">
        <v>378</v>
      </c>
      <c r="G49" s="13" t="s">
        <v>379</v>
      </c>
      <c r="H49" s="13" t="s">
        <v>386</v>
      </c>
      <c r="I49" s="14" t="s">
        <v>387</v>
      </c>
      <c r="J49" s="13" t="s">
        <v>135</v>
      </c>
      <c r="K49" s="15" t="s">
        <v>64</v>
      </c>
      <c r="L49" s="15"/>
      <c r="M49" s="15"/>
      <c r="N49" s="12"/>
      <c r="O49" s="16">
        <v>80053.429999999993</v>
      </c>
      <c r="P49" s="16"/>
      <c r="Q49" s="17"/>
      <c r="R49" s="16"/>
      <c r="S49" s="12"/>
      <c r="T49" s="12" t="s">
        <v>388</v>
      </c>
      <c r="U49" s="12" t="s">
        <v>389</v>
      </c>
    </row>
    <row r="50" spans="1:21" ht="113.4" customHeight="1" x14ac:dyDescent="0.3">
      <c r="A50" s="18" t="s">
        <v>390</v>
      </c>
      <c r="B50" s="18" t="s">
        <v>391</v>
      </c>
      <c r="C50" s="18" t="s">
        <v>392</v>
      </c>
      <c r="D50" s="12" t="s">
        <v>393</v>
      </c>
      <c r="E50" s="13" t="s">
        <v>394</v>
      </c>
      <c r="F50" s="13"/>
      <c r="G50" s="13"/>
      <c r="H50" s="13"/>
      <c r="I50" s="14" t="s">
        <v>113</v>
      </c>
      <c r="J50" s="13" t="s">
        <v>135</v>
      </c>
      <c r="K50" s="15" t="s">
        <v>395</v>
      </c>
      <c r="L50" s="15" t="s">
        <v>396</v>
      </c>
      <c r="M50" s="15" t="s">
        <v>397</v>
      </c>
      <c r="N50" s="12"/>
      <c r="O50" s="16"/>
      <c r="P50" s="16"/>
      <c r="Q50" s="17">
        <v>7344806.1500000004</v>
      </c>
      <c r="R50" s="16">
        <f>Q50+Q72-SUM(P51,P58,P62,P72,P73)</f>
        <v>80487.060000000522</v>
      </c>
      <c r="S50" s="12" t="s">
        <v>398</v>
      </c>
      <c r="T50" s="12" t="s">
        <v>399</v>
      </c>
      <c r="U50" s="12"/>
    </row>
    <row r="51" spans="1:21" ht="99" customHeight="1" x14ac:dyDescent="0.3">
      <c r="A51" s="11" t="s">
        <v>400</v>
      </c>
      <c r="B51" s="11" t="s">
        <v>40</v>
      </c>
      <c r="C51" s="11" t="s">
        <v>401</v>
      </c>
      <c r="D51" s="12" t="s">
        <v>402</v>
      </c>
      <c r="E51" s="13" t="s">
        <v>403</v>
      </c>
      <c r="F51" s="13" t="s">
        <v>404</v>
      </c>
      <c r="G51" s="12" t="s">
        <v>405</v>
      </c>
      <c r="H51" s="13" t="s">
        <v>406</v>
      </c>
      <c r="I51" s="14" t="s">
        <v>113</v>
      </c>
      <c r="J51" s="13" t="s">
        <v>135</v>
      </c>
      <c r="K51" s="15"/>
      <c r="L51" s="15"/>
      <c r="M51" s="15"/>
      <c r="N51" s="12">
        <v>1</v>
      </c>
      <c r="O51" s="16">
        <v>2273264.11</v>
      </c>
      <c r="P51" s="16">
        <v>2273264.11</v>
      </c>
      <c r="Q51" s="17"/>
      <c r="R51" s="16"/>
      <c r="S51" s="12"/>
      <c r="T51" s="12" t="s">
        <v>407</v>
      </c>
      <c r="U51" s="12" t="s">
        <v>408</v>
      </c>
    </row>
    <row r="52" spans="1:21" ht="22.8" x14ac:dyDescent="0.3">
      <c r="A52" s="12" t="s">
        <v>400</v>
      </c>
      <c r="B52" s="12" t="s">
        <v>55</v>
      </c>
      <c r="C52" s="12" t="s">
        <v>409</v>
      </c>
      <c r="D52" s="12" t="s">
        <v>410</v>
      </c>
      <c r="E52" s="13" t="s">
        <v>411</v>
      </c>
      <c r="F52" s="13" t="s">
        <v>412</v>
      </c>
      <c r="G52" s="13" t="s">
        <v>413</v>
      </c>
      <c r="H52" s="13" t="s">
        <v>414</v>
      </c>
      <c r="I52" s="14" t="s">
        <v>113</v>
      </c>
      <c r="J52" s="13" t="s">
        <v>135</v>
      </c>
      <c r="K52" s="15" t="s">
        <v>64</v>
      </c>
      <c r="L52" s="15"/>
      <c r="M52" s="15"/>
      <c r="N52" s="12"/>
      <c r="O52" s="16"/>
      <c r="P52" s="16"/>
      <c r="Q52" s="17"/>
      <c r="R52" s="16"/>
      <c r="S52" s="12"/>
      <c r="T52" s="12" t="s">
        <v>415</v>
      </c>
      <c r="U52" s="12" t="s">
        <v>416</v>
      </c>
    </row>
    <row r="53" spans="1:21" ht="22.8" x14ac:dyDescent="0.3">
      <c r="A53" s="12" t="s">
        <v>400</v>
      </c>
      <c r="B53" s="12" t="s">
        <v>55</v>
      </c>
      <c r="C53" s="12" t="s">
        <v>417</v>
      </c>
      <c r="D53" s="12" t="s">
        <v>418</v>
      </c>
      <c r="E53" s="13" t="s">
        <v>411</v>
      </c>
      <c r="F53" s="13" t="s">
        <v>412</v>
      </c>
      <c r="G53" s="13" t="s">
        <v>413</v>
      </c>
      <c r="H53" s="13" t="s">
        <v>419</v>
      </c>
      <c r="I53" s="14" t="s">
        <v>113</v>
      </c>
      <c r="J53" s="13" t="s">
        <v>135</v>
      </c>
      <c r="K53" s="15" t="s">
        <v>64</v>
      </c>
      <c r="L53" s="15"/>
      <c r="M53" s="15"/>
      <c r="N53" s="12"/>
      <c r="O53" s="16"/>
      <c r="P53" s="16"/>
      <c r="Q53" s="17"/>
      <c r="R53" s="16"/>
      <c r="S53" s="12"/>
      <c r="T53" s="12" t="s">
        <v>415</v>
      </c>
      <c r="U53" s="12" t="s">
        <v>420</v>
      </c>
    </row>
    <row r="54" spans="1:21" ht="22.8" x14ac:dyDescent="0.3">
      <c r="A54" s="12" t="s">
        <v>400</v>
      </c>
      <c r="B54" s="12" t="s">
        <v>55</v>
      </c>
      <c r="C54" s="12" t="s">
        <v>421</v>
      </c>
      <c r="D54" s="12" t="s">
        <v>422</v>
      </c>
      <c r="E54" s="13" t="s">
        <v>411</v>
      </c>
      <c r="F54" s="13" t="s">
        <v>412</v>
      </c>
      <c r="G54" s="13" t="s">
        <v>413</v>
      </c>
      <c r="H54" s="13" t="s">
        <v>423</v>
      </c>
      <c r="I54" s="14" t="s">
        <v>113</v>
      </c>
      <c r="J54" s="13" t="s">
        <v>135</v>
      </c>
      <c r="K54" s="15" t="s">
        <v>64</v>
      </c>
      <c r="L54" s="15"/>
      <c r="M54" s="15"/>
      <c r="N54" s="12"/>
      <c r="O54" s="16"/>
      <c r="P54" s="16"/>
      <c r="Q54" s="17"/>
      <c r="R54" s="16"/>
      <c r="S54" s="12"/>
      <c r="T54" s="12" t="s">
        <v>415</v>
      </c>
      <c r="U54" s="12" t="s">
        <v>424</v>
      </c>
    </row>
    <row r="55" spans="1:21" ht="22.8" x14ac:dyDescent="0.3">
      <c r="A55" s="12" t="s">
        <v>400</v>
      </c>
      <c r="B55" s="12" t="s">
        <v>55</v>
      </c>
      <c r="C55" s="12" t="s">
        <v>425</v>
      </c>
      <c r="D55" s="12" t="s">
        <v>426</v>
      </c>
      <c r="E55" s="13" t="s">
        <v>411</v>
      </c>
      <c r="F55" s="13" t="s">
        <v>412</v>
      </c>
      <c r="G55" s="13" t="s">
        <v>413</v>
      </c>
      <c r="H55" s="13" t="s">
        <v>427</v>
      </c>
      <c r="I55" s="14" t="s">
        <v>113</v>
      </c>
      <c r="J55" s="13" t="s">
        <v>135</v>
      </c>
      <c r="K55" s="15" t="s">
        <v>64</v>
      </c>
      <c r="L55" s="15"/>
      <c r="M55" s="15"/>
      <c r="N55" s="12"/>
      <c r="O55" s="16"/>
      <c r="P55" s="16"/>
      <c r="Q55" s="17"/>
      <c r="R55" s="16"/>
      <c r="S55" s="12"/>
      <c r="T55" s="12" t="s">
        <v>415</v>
      </c>
      <c r="U55" s="12" t="s">
        <v>428</v>
      </c>
    </row>
    <row r="56" spans="1:21" ht="22.8" x14ac:dyDescent="0.3">
      <c r="A56" s="12" t="s">
        <v>400</v>
      </c>
      <c r="B56" s="12" t="s">
        <v>55</v>
      </c>
      <c r="C56" s="12" t="s">
        <v>429</v>
      </c>
      <c r="D56" s="12" t="s">
        <v>430</v>
      </c>
      <c r="E56" s="13" t="s">
        <v>411</v>
      </c>
      <c r="F56" s="13" t="s">
        <v>412</v>
      </c>
      <c r="G56" s="13" t="s">
        <v>413</v>
      </c>
      <c r="H56" s="13" t="s">
        <v>431</v>
      </c>
      <c r="I56" s="14" t="s">
        <v>113</v>
      </c>
      <c r="J56" s="13" t="s">
        <v>135</v>
      </c>
      <c r="K56" s="15" t="s">
        <v>64</v>
      </c>
      <c r="L56" s="15"/>
      <c r="M56" s="15"/>
      <c r="N56" s="12"/>
      <c r="O56" s="16"/>
      <c r="P56" s="16"/>
      <c r="Q56" s="17"/>
      <c r="R56" s="16"/>
      <c r="S56" s="12"/>
      <c r="T56" s="12" t="s">
        <v>415</v>
      </c>
      <c r="U56" s="12" t="s">
        <v>432</v>
      </c>
    </row>
    <row r="57" spans="1:21" ht="22.8" x14ac:dyDescent="0.3">
      <c r="A57" s="12" t="s">
        <v>400</v>
      </c>
      <c r="B57" s="12" t="s">
        <v>55</v>
      </c>
      <c r="C57" s="12" t="s">
        <v>433</v>
      </c>
      <c r="D57" s="12" t="s">
        <v>434</v>
      </c>
      <c r="E57" s="13" t="s">
        <v>411</v>
      </c>
      <c r="F57" s="13" t="s">
        <v>412</v>
      </c>
      <c r="G57" s="13" t="s">
        <v>413</v>
      </c>
      <c r="H57" s="13" t="s">
        <v>435</v>
      </c>
      <c r="I57" s="14" t="s">
        <v>113</v>
      </c>
      <c r="J57" s="13" t="s">
        <v>135</v>
      </c>
      <c r="K57" s="15" t="s">
        <v>64</v>
      </c>
      <c r="L57" s="15"/>
      <c r="M57" s="15"/>
      <c r="N57" s="12"/>
      <c r="O57" s="16"/>
      <c r="P57" s="16"/>
      <c r="Q57" s="17"/>
      <c r="R57" s="16"/>
      <c r="S57" s="12"/>
      <c r="T57" s="12" t="s">
        <v>415</v>
      </c>
      <c r="U57" s="12" t="s">
        <v>436</v>
      </c>
    </row>
    <row r="58" spans="1:21" ht="69" x14ac:dyDescent="0.3">
      <c r="A58" s="11" t="s">
        <v>437</v>
      </c>
      <c r="B58" s="11" t="s">
        <v>40</v>
      </c>
      <c r="C58" s="11" t="s">
        <v>438</v>
      </c>
      <c r="D58" s="12" t="s">
        <v>439</v>
      </c>
      <c r="E58" s="13" t="s">
        <v>440</v>
      </c>
      <c r="F58" s="13" t="s">
        <v>441</v>
      </c>
      <c r="G58" s="12" t="s">
        <v>405</v>
      </c>
      <c r="H58" s="13" t="s">
        <v>63</v>
      </c>
      <c r="I58" s="14" t="s">
        <v>113</v>
      </c>
      <c r="J58" s="13" t="s">
        <v>63</v>
      </c>
      <c r="K58" s="15"/>
      <c r="L58" s="15"/>
      <c r="M58" s="15"/>
      <c r="N58" s="12">
        <v>1</v>
      </c>
      <c r="O58" s="16">
        <v>1917733.79</v>
      </c>
      <c r="P58" s="16">
        <v>1917733.79</v>
      </c>
      <c r="Q58" s="17"/>
      <c r="R58" s="16"/>
      <c r="S58" s="12"/>
      <c r="T58" s="12" t="s">
        <v>442</v>
      </c>
      <c r="U58" s="12" t="s">
        <v>443</v>
      </c>
    </row>
    <row r="59" spans="1:21" ht="22.8" x14ac:dyDescent="0.3">
      <c r="A59" s="12" t="s">
        <v>437</v>
      </c>
      <c r="B59" s="12" t="s">
        <v>55</v>
      </c>
      <c r="C59" s="12" t="s">
        <v>444</v>
      </c>
      <c r="D59" s="12" t="s">
        <v>445</v>
      </c>
      <c r="E59" s="13" t="s">
        <v>446</v>
      </c>
      <c r="F59" s="13" t="s">
        <v>447</v>
      </c>
      <c r="G59" s="13"/>
      <c r="H59" s="13" t="s">
        <v>63</v>
      </c>
      <c r="I59" s="14" t="s">
        <v>113</v>
      </c>
      <c r="J59" s="13" t="s">
        <v>63</v>
      </c>
      <c r="K59" s="15" t="s">
        <v>64</v>
      </c>
      <c r="L59" s="15"/>
      <c r="M59" s="15"/>
      <c r="N59" s="12"/>
      <c r="O59" s="16"/>
      <c r="P59" s="16"/>
      <c r="Q59" s="17"/>
      <c r="R59" s="16"/>
      <c r="S59" s="12"/>
      <c r="T59" s="12" t="s">
        <v>448</v>
      </c>
      <c r="U59" s="12" t="s">
        <v>449</v>
      </c>
    </row>
    <row r="60" spans="1:21" ht="22.8" x14ac:dyDescent="0.3">
      <c r="A60" s="12" t="s">
        <v>437</v>
      </c>
      <c r="B60" s="12" t="s">
        <v>55</v>
      </c>
      <c r="C60" s="12" t="s">
        <v>450</v>
      </c>
      <c r="D60" s="12" t="s">
        <v>451</v>
      </c>
      <c r="E60" s="13" t="s">
        <v>446</v>
      </c>
      <c r="F60" s="13" t="s">
        <v>447</v>
      </c>
      <c r="G60" s="13"/>
      <c r="H60" s="13" t="s">
        <v>63</v>
      </c>
      <c r="I60" s="14" t="s">
        <v>113</v>
      </c>
      <c r="J60" s="13" t="s">
        <v>63</v>
      </c>
      <c r="K60" s="15" t="s">
        <v>64</v>
      </c>
      <c r="L60" s="15"/>
      <c r="M60" s="15"/>
      <c r="N60" s="12"/>
      <c r="O60" s="16"/>
      <c r="P60" s="16"/>
      <c r="Q60" s="17"/>
      <c r="R60" s="16"/>
      <c r="S60" s="12"/>
      <c r="T60" s="12" t="s">
        <v>448</v>
      </c>
      <c r="U60" s="12" t="s">
        <v>452</v>
      </c>
    </row>
    <row r="61" spans="1:21" ht="22.8" x14ac:dyDescent="0.3">
      <c r="A61" s="12" t="s">
        <v>437</v>
      </c>
      <c r="B61" s="12" t="s">
        <v>55</v>
      </c>
      <c r="C61" s="12" t="s">
        <v>453</v>
      </c>
      <c r="D61" s="12" t="s">
        <v>454</v>
      </c>
      <c r="E61" s="13" t="s">
        <v>446</v>
      </c>
      <c r="F61" s="13" t="s">
        <v>455</v>
      </c>
      <c r="G61" s="13"/>
      <c r="H61" s="13" t="s">
        <v>63</v>
      </c>
      <c r="I61" s="14" t="s">
        <v>113</v>
      </c>
      <c r="J61" s="13" t="s">
        <v>63</v>
      </c>
      <c r="K61" s="15" t="s">
        <v>64</v>
      </c>
      <c r="L61" s="15"/>
      <c r="M61" s="15"/>
      <c r="N61" s="12"/>
      <c r="O61" s="16"/>
      <c r="P61" s="16"/>
      <c r="Q61" s="17"/>
      <c r="R61" s="16"/>
      <c r="S61" s="12"/>
      <c r="T61" s="12" t="s">
        <v>456</v>
      </c>
      <c r="U61" s="12" t="s">
        <v>457</v>
      </c>
    </row>
    <row r="62" spans="1:21" ht="46.2" x14ac:dyDescent="0.3">
      <c r="A62" s="11" t="s">
        <v>458</v>
      </c>
      <c r="B62" s="11" t="s">
        <v>40</v>
      </c>
      <c r="C62" s="11" t="s">
        <v>459</v>
      </c>
      <c r="D62" s="12" t="s">
        <v>460</v>
      </c>
      <c r="E62" s="13" t="s">
        <v>461</v>
      </c>
      <c r="F62" s="13" t="s">
        <v>462</v>
      </c>
      <c r="G62" s="13" t="s">
        <v>463</v>
      </c>
      <c r="H62" s="13" t="s">
        <v>464</v>
      </c>
      <c r="I62" s="14" t="s">
        <v>113</v>
      </c>
      <c r="J62" s="13" t="s">
        <v>135</v>
      </c>
      <c r="K62" s="15"/>
      <c r="L62" s="15"/>
      <c r="M62" s="15"/>
      <c r="N62" s="12">
        <v>1</v>
      </c>
      <c r="O62" s="16">
        <v>1610488.85</v>
      </c>
      <c r="P62" s="16">
        <v>1610488.85</v>
      </c>
      <c r="Q62" s="17"/>
      <c r="R62" s="16"/>
      <c r="S62" s="12"/>
      <c r="T62" s="12" t="s">
        <v>465</v>
      </c>
      <c r="U62" s="12" t="s">
        <v>466</v>
      </c>
    </row>
    <row r="63" spans="1:21" ht="34.200000000000003" x14ac:dyDescent="0.3">
      <c r="A63" s="12" t="s">
        <v>458</v>
      </c>
      <c r="B63" s="12" t="s">
        <v>55</v>
      </c>
      <c r="C63" s="12" t="s">
        <v>467</v>
      </c>
      <c r="D63" s="12" t="s">
        <v>468</v>
      </c>
      <c r="E63" s="13" t="s">
        <v>461</v>
      </c>
      <c r="F63" s="13" t="s">
        <v>469</v>
      </c>
      <c r="G63" s="13" t="s">
        <v>470</v>
      </c>
      <c r="H63" s="13" t="s">
        <v>471</v>
      </c>
      <c r="I63" s="14" t="s">
        <v>113</v>
      </c>
      <c r="J63" s="13" t="s">
        <v>135</v>
      </c>
      <c r="K63" s="15" t="s">
        <v>64</v>
      </c>
      <c r="L63" s="15"/>
      <c r="M63" s="15"/>
      <c r="N63" s="12"/>
      <c r="O63" s="16"/>
      <c r="P63" s="16"/>
      <c r="Q63" s="17"/>
      <c r="R63" s="16"/>
      <c r="S63" s="12"/>
      <c r="T63" s="12" t="s">
        <v>472</v>
      </c>
      <c r="U63" s="12" t="s">
        <v>473</v>
      </c>
    </row>
    <row r="64" spans="1:21" ht="34.200000000000003" x14ac:dyDescent="0.3">
      <c r="A64" s="12" t="s">
        <v>458</v>
      </c>
      <c r="B64" s="12" t="s">
        <v>55</v>
      </c>
      <c r="C64" s="12" t="s">
        <v>474</v>
      </c>
      <c r="D64" s="12" t="s">
        <v>475</v>
      </c>
      <c r="E64" s="13" t="s">
        <v>461</v>
      </c>
      <c r="F64" s="13" t="s">
        <v>476</v>
      </c>
      <c r="G64" s="13" t="s">
        <v>477</v>
      </c>
      <c r="H64" s="13" t="s">
        <v>478</v>
      </c>
      <c r="I64" s="14" t="s">
        <v>113</v>
      </c>
      <c r="J64" s="13" t="s">
        <v>135</v>
      </c>
      <c r="K64" s="15" t="s">
        <v>64</v>
      </c>
      <c r="L64" s="15"/>
      <c r="M64" s="15"/>
      <c r="N64" s="12"/>
      <c r="O64" s="16"/>
      <c r="P64" s="16"/>
      <c r="Q64" s="17"/>
      <c r="R64" s="16"/>
      <c r="S64" s="12"/>
      <c r="T64" s="12" t="s">
        <v>472</v>
      </c>
      <c r="U64" s="12" t="s">
        <v>479</v>
      </c>
    </row>
    <row r="65" spans="1:21" ht="34.200000000000003" x14ac:dyDescent="0.3">
      <c r="A65" s="12" t="s">
        <v>458</v>
      </c>
      <c r="B65" s="12" t="s">
        <v>55</v>
      </c>
      <c r="C65" s="12" t="s">
        <v>480</v>
      </c>
      <c r="D65" s="12" t="s">
        <v>481</v>
      </c>
      <c r="E65" s="13" t="s">
        <v>461</v>
      </c>
      <c r="F65" s="13" t="s">
        <v>469</v>
      </c>
      <c r="G65" s="13" t="s">
        <v>470</v>
      </c>
      <c r="H65" s="13" t="s">
        <v>482</v>
      </c>
      <c r="I65" s="14" t="s">
        <v>113</v>
      </c>
      <c r="J65" s="13" t="s">
        <v>135</v>
      </c>
      <c r="K65" s="15" t="s">
        <v>64</v>
      </c>
      <c r="L65" s="15"/>
      <c r="M65" s="15"/>
      <c r="N65" s="12"/>
      <c r="O65" s="16"/>
      <c r="P65" s="16"/>
      <c r="Q65" s="17"/>
      <c r="R65" s="16"/>
      <c r="S65" s="12"/>
      <c r="T65" s="12" t="s">
        <v>472</v>
      </c>
      <c r="U65" s="12" t="s">
        <v>483</v>
      </c>
    </row>
    <row r="66" spans="1:21" ht="23.4" x14ac:dyDescent="0.3">
      <c r="A66" s="12" t="s">
        <v>458</v>
      </c>
      <c r="B66" s="12" t="s">
        <v>55</v>
      </c>
      <c r="C66" s="12" t="s">
        <v>484</v>
      </c>
      <c r="D66" s="12" t="s">
        <v>485</v>
      </c>
      <c r="E66" s="13" t="s">
        <v>461</v>
      </c>
      <c r="F66" s="13" t="s">
        <v>486</v>
      </c>
      <c r="G66" s="13" t="s">
        <v>487</v>
      </c>
      <c r="H66" s="13" t="s">
        <v>488</v>
      </c>
      <c r="I66" s="14" t="s">
        <v>113</v>
      </c>
      <c r="J66" s="13" t="s">
        <v>63</v>
      </c>
      <c r="K66" s="15" t="s">
        <v>64</v>
      </c>
      <c r="L66" s="15"/>
      <c r="M66" s="15"/>
      <c r="N66" s="12"/>
      <c r="O66" s="16"/>
      <c r="P66" s="16"/>
      <c r="Q66" s="17"/>
      <c r="R66" s="16"/>
      <c r="S66" s="12"/>
      <c r="T66" s="12" t="s">
        <v>489</v>
      </c>
      <c r="U66" s="12" t="s">
        <v>490</v>
      </c>
    </row>
    <row r="67" spans="1:21" ht="23.4" x14ac:dyDescent="0.3">
      <c r="A67" s="12" t="s">
        <v>458</v>
      </c>
      <c r="B67" s="12" t="s">
        <v>55</v>
      </c>
      <c r="C67" s="12" t="s">
        <v>491</v>
      </c>
      <c r="D67" s="12" t="s">
        <v>492</v>
      </c>
      <c r="E67" s="13" t="s">
        <v>461</v>
      </c>
      <c r="F67" s="13" t="s">
        <v>486</v>
      </c>
      <c r="G67" s="13" t="s">
        <v>487</v>
      </c>
      <c r="H67" s="13" t="s">
        <v>493</v>
      </c>
      <c r="I67" s="14" t="s">
        <v>113</v>
      </c>
      <c r="J67" s="13" t="s">
        <v>63</v>
      </c>
      <c r="K67" s="15" t="s">
        <v>64</v>
      </c>
      <c r="L67" s="15"/>
      <c r="M67" s="15"/>
      <c r="N67" s="12"/>
      <c r="O67" s="16"/>
      <c r="P67" s="16"/>
      <c r="Q67" s="17"/>
      <c r="R67" s="16"/>
      <c r="S67" s="12"/>
      <c r="T67" s="12" t="s">
        <v>494</v>
      </c>
      <c r="U67" s="12" t="s">
        <v>495</v>
      </c>
    </row>
    <row r="68" spans="1:21" ht="23.4" x14ac:dyDescent="0.3">
      <c r="A68" s="12" t="s">
        <v>458</v>
      </c>
      <c r="B68" s="12" t="s">
        <v>55</v>
      </c>
      <c r="C68" s="12" t="s">
        <v>496</v>
      </c>
      <c r="D68" s="12" t="s">
        <v>497</v>
      </c>
      <c r="E68" s="13" t="s">
        <v>461</v>
      </c>
      <c r="F68" s="13" t="s">
        <v>486</v>
      </c>
      <c r="G68" s="13" t="s">
        <v>487</v>
      </c>
      <c r="H68" s="13" t="s">
        <v>498</v>
      </c>
      <c r="I68" s="14" t="s">
        <v>113</v>
      </c>
      <c r="J68" s="13" t="s">
        <v>63</v>
      </c>
      <c r="K68" s="15" t="s">
        <v>64</v>
      </c>
      <c r="L68" s="15"/>
      <c r="M68" s="15"/>
      <c r="N68" s="12"/>
      <c r="O68" s="16"/>
      <c r="P68" s="16"/>
      <c r="Q68" s="17"/>
      <c r="R68" s="16"/>
      <c r="S68" s="12"/>
      <c r="T68" s="12" t="s">
        <v>489</v>
      </c>
      <c r="U68" s="12" t="s">
        <v>499</v>
      </c>
    </row>
    <row r="69" spans="1:21" ht="23.4" x14ac:dyDescent="0.3">
      <c r="A69" s="12" t="s">
        <v>458</v>
      </c>
      <c r="B69" s="12" t="s">
        <v>55</v>
      </c>
      <c r="C69" s="12" t="s">
        <v>500</v>
      </c>
      <c r="D69" s="12" t="s">
        <v>501</v>
      </c>
      <c r="E69" s="13" t="s">
        <v>461</v>
      </c>
      <c r="F69" s="13" t="s">
        <v>486</v>
      </c>
      <c r="G69" s="13" t="s">
        <v>487</v>
      </c>
      <c r="H69" s="13" t="s">
        <v>502</v>
      </c>
      <c r="I69" s="14" t="s">
        <v>113</v>
      </c>
      <c r="J69" s="13" t="s">
        <v>63</v>
      </c>
      <c r="K69" s="15" t="s">
        <v>64</v>
      </c>
      <c r="L69" s="15"/>
      <c r="M69" s="15"/>
      <c r="N69" s="12"/>
      <c r="O69" s="16"/>
      <c r="P69" s="16"/>
      <c r="Q69" s="17"/>
      <c r="R69" s="16"/>
      <c r="S69" s="12"/>
      <c r="T69" s="12" t="s">
        <v>503</v>
      </c>
      <c r="U69" s="12" t="s">
        <v>504</v>
      </c>
    </row>
    <row r="70" spans="1:21" ht="23.4" x14ac:dyDescent="0.3">
      <c r="A70" s="12" t="s">
        <v>458</v>
      </c>
      <c r="B70" s="12" t="s">
        <v>55</v>
      </c>
      <c r="C70" s="12" t="s">
        <v>505</v>
      </c>
      <c r="D70" s="12" t="s">
        <v>506</v>
      </c>
      <c r="E70" s="13" t="s">
        <v>507</v>
      </c>
      <c r="F70" s="13" t="s">
        <v>508</v>
      </c>
      <c r="G70" s="13" t="s">
        <v>509</v>
      </c>
      <c r="H70" s="13" t="s">
        <v>510</v>
      </c>
      <c r="I70" s="14" t="s">
        <v>113</v>
      </c>
      <c r="J70" s="13" t="s">
        <v>63</v>
      </c>
      <c r="K70" s="15" t="s">
        <v>64</v>
      </c>
      <c r="L70" s="15"/>
      <c r="M70" s="15"/>
      <c r="N70" s="12"/>
      <c r="O70" s="16"/>
      <c r="P70" s="16"/>
      <c r="Q70" s="17"/>
      <c r="R70" s="16"/>
      <c r="S70" s="12"/>
      <c r="T70" s="12" t="s">
        <v>489</v>
      </c>
      <c r="U70" s="12" t="s">
        <v>511</v>
      </c>
    </row>
    <row r="71" spans="1:21" ht="23.4" x14ac:dyDescent="0.3">
      <c r="A71" s="12" t="s">
        <v>458</v>
      </c>
      <c r="B71" s="12" t="s">
        <v>55</v>
      </c>
      <c r="C71" s="12" t="s">
        <v>512</v>
      </c>
      <c r="D71" s="12" t="s">
        <v>513</v>
      </c>
      <c r="E71" s="13" t="s">
        <v>507</v>
      </c>
      <c r="F71" s="13" t="s">
        <v>508</v>
      </c>
      <c r="G71" s="13" t="s">
        <v>514</v>
      </c>
      <c r="H71" s="13" t="s">
        <v>510</v>
      </c>
      <c r="I71" s="14" t="s">
        <v>113</v>
      </c>
      <c r="J71" s="13" t="s">
        <v>63</v>
      </c>
      <c r="K71" s="15" t="s">
        <v>64</v>
      </c>
      <c r="L71" s="15"/>
      <c r="M71" s="15"/>
      <c r="N71" s="12"/>
      <c r="O71" s="16"/>
      <c r="P71" s="16"/>
      <c r="Q71" s="17"/>
      <c r="R71" s="16"/>
      <c r="S71" s="12"/>
      <c r="T71" s="12" t="s">
        <v>489</v>
      </c>
      <c r="U71" s="12" t="s">
        <v>515</v>
      </c>
    </row>
    <row r="72" spans="1:21" ht="80.400000000000006" x14ac:dyDescent="0.3">
      <c r="A72" s="11" t="s">
        <v>516</v>
      </c>
      <c r="B72" s="11" t="s">
        <v>40</v>
      </c>
      <c r="C72" s="11" t="s">
        <v>517</v>
      </c>
      <c r="D72" s="12" t="s">
        <v>518</v>
      </c>
      <c r="E72" s="12" t="s">
        <v>519</v>
      </c>
      <c r="F72" s="13" t="s">
        <v>520</v>
      </c>
      <c r="G72" s="12" t="s">
        <v>521</v>
      </c>
      <c r="H72" s="13" t="s">
        <v>63</v>
      </c>
      <c r="I72" s="14" t="s">
        <v>113</v>
      </c>
      <c r="J72" s="13" t="s">
        <v>63</v>
      </c>
      <c r="K72" s="15" t="s">
        <v>522</v>
      </c>
      <c r="L72" s="15" t="s">
        <v>523</v>
      </c>
      <c r="M72" s="15" t="s">
        <v>524</v>
      </c>
      <c r="N72" s="12">
        <v>1</v>
      </c>
      <c r="O72" s="16">
        <v>1728513.25</v>
      </c>
      <c r="P72" s="16">
        <v>1728513.25</v>
      </c>
      <c r="Q72" s="17">
        <v>1728513.25</v>
      </c>
      <c r="R72" s="16"/>
      <c r="S72" s="12" t="s">
        <v>525</v>
      </c>
      <c r="T72" s="12" t="s">
        <v>526</v>
      </c>
      <c r="U72" s="12" t="s">
        <v>527</v>
      </c>
    </row>
    <row r="73" spans="1:21" ht="103.2" x14ac:dyDescent="0.3">
      <c r="A73" s="11" t="s">
        <v>528</v>
      </c>
      <c r="B73" s="11" t="s">
        <v>40</v>
      </c>
      <c r="C73" s="11" t="s">
        <v>529</v>
      </c>
      <c r="D73" s="12" t="s">
        <v>530</v>
      </c>
      <c r="E73" s="13" t="s">
        <v>531</v>
      </c>
      <c r="F73" s="13" t="s">
        <v>532</v>
      </c>
      <c r="G73" s="12" t="s">
        <v>533</v>
      </c>
      <c r="H73" s="13" t="s">
        <v>534</v>
      </c>
      <c r="I73" s="14" t="s">
        <v>113</v>
      </c>
      <c r="J73" s="13" t="s">
        <v>535</v>
      </c>
      <c r="K73" s="15"/>
      <c r="L73" s="15"/>
      <c r="M73" s="15"/>
      <c r="N73" s="12">
        <v>1</v>
      </c>
      <c r="O73" s="16">
        <v>1462832.34</v>
      </c>
      <c r="P73" s="16">
        <v>1462832.34</v>
      </c>
      <c r="Q73" s="17"/>
      <c r="R73" s="16"/>
      <c r="S73" s="12"/>
      <c r="T73" s="12" t="s">
        <v>536</v>
      </c>
      <c r="U73" s="12" t="s">
        <v>537</v>
      </c>
    </row>
    <row r="74" spans="1:21" ht="68.400000000000006" x14ac:dyDescent="0.3">
      <c r="A74" s="12" t="s">
        <v>528</v>
      </c>
      <c r="B74" s="12" t="s">
        <v>55</v>
      </c>
      <c r="C74" s="12" t="s">
        <v>538</v>
      </c>
      <c r="D74" s="12" t="s">
        <v>539</v>
      </c>
      <c r="E74" s="13" t="s">
        <v>540</v>
      </c>
      <c r="F74" s="13" t="s">
        <v>541</v>
      </c>
      <c r="G74" s="13" t="s">
        <v>542</v>
      </c>
      <c r="H74" s="13" t="s">
        <v>543</v>
      </c>
      <c r="I74" s="14" t="s">
        <v>113</v>
      </c>
      <c r="J74" s="13" t="s">
        <v>544</v>
      </c>
      <c r="K74" s="15" t="s">
        <v>64</v>
      </c>
      <c r="L74" s="15"/>
      <c r="M74" s="15"/>
      <c r="N74" s="12"/>
      <c r="O74" s="16"/>
      <c r="P74" s="16"/>
      <c r="Q74" s="17"/>
      <c r="R74" s="16"/>
      <c r="S74" s="12"/>
      <c r="T74" s="12" t="s">
        <v>545</v>
      </c>
      <c r="U74" s="12" t="s">
        <v>546</v>
      </c>
    </row>
    <row r="75" spans="1:21" ht="45.6" x14ac:dyDescent="0.3">
      <c r="A75" s="12" t="s">
        <v>528</v>
      </c>
      <c r="B75" s="12" t="s">
        <v>55</v>
      </c>
      <c r="C75" s="12" t="s">
        <v>547</v>
      </c>
      <c r="D75" s="12" t="s">
        <v>548</v>
      </c>
      <c r="E75" s="13" t="s">
        <v>540</v>
      </c>
      <c r="F75" s="13" t="s">
        <v>549</v>
      </c>
      <c r="G75" s="13" t="s">
        <v>550</v>
      </c>
      <c r="H75" s="13" t="s">
        <v>551</v>
      </c>
      <c r="I75" s="14" t="s">
        <v>113</v>
      </c>
      <c r="J75" s="13" t="s">
        <v>63</v>
      </c>
      <c r="K75" s="15" t="s">
        <v>64</v>
      </c>
      <c r="L75" s="15"/>
      <c r="M75" s="15"/>
      <c r="N75" s="12"/>
      <c r="O75" s="16"/>
      <c r="P75" s="16"/>
      <c r="Q75" s="17"/>
      <c r="R75" s="16"/>
      <c r="S75" s="12"/>
      <c r="T75" s="12" t="s">
        <v>552</v>
      </c>
      <c r="U75" s="12" t="s">
        <v>553</v>
      </c>
    </row>
    <row r="76" spans="1:21" ht="34.200000000000003" x14ac:dyDescent="0.3">
      <c r="A76" s="12" t="s">
        <v>528</v>
      </c>
      <c r="B76" s="12" t="s">
        <v>55</v>
      </c>
      <c r="C76" s="12" t="s">
        <v>554</v>
      </c>
      <c r="D76" s="12" t="s">
        <v>555</v>
      </c>
      <c r="E76" s="13" t="s">
        <v>110</v>
      </c>
      <c r="F76" s="13" t="s">
        <v>110</v>
      </c>
      <c r="G76" s="13" t="s">
        <v>556</v>
      </c>
      <c r="H76" s="13" t="s">
        <v>110</v>
      </c>
      <c r="I76" s="14" t="s">
        <v>113</v>
      </c>
      <c r="J76" s="13" t="s">
        <v>110</v>
      </c>
      <c r="K76" s="15" t="s">
        <v>64</v>
      </c>
      <c r="L76" s="15"/>
      <c r="M76" s="15"/>
      <c r="N76" s="12"/>
      <c r="O76" s="16"/>
      <c r="P76" s="16"/>
      <c r="Q76" s="17"/>
      <c r="R76" s="16"/>
      <c r="S76" s="12"/>
      <c r="T76" s="12" t="s">
        <v>557</v>
      </c>
      <c r="U76" s="12" t="s">
        <v>558</v>
      </c>
    </row>
    <row r="77" spans="1:21" ht="23.4" x14ac:dyDescent="0.3">
      <c r="A77" s="12" t="s">
        <v>559</v>
      </c>
      <c r="B77" s="12" t="s">
        <v>55</v>
      </c>
      <c r="C77" s="12" t="s">
        <v>560</v>
      </c>
      <c r="D77" s="12" t="s">
        <v>561</v>
      </c>
      <c r="E77" s="13" t="s">
        <v>461</v>
      </c>
      <c r="F77" s="13" t="s">
        <v>562</v>
      </c>
      <c r="G77" s="13" t="s">
        <v>563</v>
      </c>
      <c r="H77" s="13" t="s">
        <v>564</v>
      </c>
      <c r="I77" s="14" t="s">
        <v>113</v>
      </c>
      <c r="J77" s="13" t="s">
        <v>135</v>
      </c>
      <c r="K77" s="15" t="s">
        <v>64</v>
      </c>
      <c r="L77" s="15"/>
      <c r="M77" s="15"/>
      <c r="N77" s="12"/>
      <c r="O77" s="16"/>
      <c r="P77" s="16"/>
      <c r="Q77" s="17"/>
      <c r="R77" s="16"/>
      <c r="S77" s="12"/>
      <c r="T77" s="12" t="s">
        <v>565</v>
      </c>
      <c r="U77" s="12" t="s">
        <v>566</v>
      </c>
    </row>
    <row r="78" spans="1:21" ht="23.4" x14ac:dyDescent="0.3">
      <c r="A78" s="12" t="s">
        <v>559</v>
      </c>
      <c r="B78" s="12" t="s">
        <v>55</v>
      </c>
      <c r="C78" s="12" t="s">
        <v>560</v>
      </c>
      <c r="D78" s="12" t="s">
        <v>567</v>
      </c>
      <c r="E78" s="13" t="s">
        <v>461</v>
      </c>
      <c r="F78" s="13" t="s">
        <v>562</v>
      </c>
      <c r="G78" s="13" t="s">
        <v>568</v>
      </c>
      <c r="H78" s="13" t="s">
        <v>569</v>
      </c>
      <c r="I78" s="14" t="s">
        <v>113</v>
      </c>
      <c r="J78" s="13" t="s">
        <v>135</v>
      </c>
      <c r="K78" s="15" t="s">
        <v>64</v>
      </c>
      <c r="L78" s="15"/>
      <c r="M78" s="15"/>
      <c r="N78" s="12"/>
      <c r="O78" s="16"/>
      <c r="P78" s="16"/>
      <c r="Q78" s="17"/>
      <c r="R78" s="16"/>
      <c r="S78" s="12"/>
      <c r="T78" s="12" t="s">
        <v>565</v>
      </c>
      <c r="U78" s="12" t="s">
        <v>570</v>
      </c>
    </row>
    <row r="79" spans="1:21" ht="23.4" x14ac:dyDescent="0.3">
      <c r="A79" s="12" t="s">
        <v>559</v>
      </c>
      <c r="B79" s="12" t="s">
        <v>55</v>
      </c>
      <c r="C79" s="12" t="s">
        <v>560</v>
      </c>
      <c r="D79" s="12" t="s">
        <v>571</v>
      </c>
      <c r="E79" s="13" t="s">
        <v>461</v>
      </c>
      <c r="F79" s="13" t="s">
        <v>562</v>
      </c>
      <c r="G79" s="13" t="s">
        <v>568</v>
      </c>
      <c r="H79" s="13" t="s">
        <v>572</v>
      </c>
      <c r="I79" s="14" t="s">
        <v>113</v>
      </c>
      <c r="J79" s="13" t="s">
        <v>135</v>
      </c>
      <c r="K79" s="15" t="s">
        <v>64</v>
      </c>
      <c r="L79" s="15"/>
      <c r="M79" s="15"/>
      <c r="N79" s="12"/>
      <c r="O79" s="16"/>
      <c r="P79" s="16"/>
      <c r="Q79" s="17"/>
      <c r="R79" s="16"/>
      <c r="S79" s="12"/>
      <c r="T79" s="12" t="s">
        <v>573</v>
      </c>
      <c r="U79" s="12" t="s">
        <v>574</v>
      </c>
    </row>
    <row r="80" spans="1:21" ht="23.4" x14ac:dyDescent="0.3">
      <c r="A80" s="12" t="s">
        <v>559</v>
      </c>
      <c r="B80" s="12" t="s">
        <v>55</v>
      </c>
      <c r="C80" s="12" t="s">
        <v>560</v>
      </c>
      <c r="D80" s="12" t="s">
        <v>575</v>
      </c>
      <c r="E80" s="13" t="s">
        <v>461</v>
      </c>
      <c r="F80" s="13" t="s">
        <v>562</v>
      </c>
      <c r="G80" s="13" t="s">
        <v>576</v>
      </c>
      <c r="H80" s="13" t="s">
        <v>577</v>
      </c>
      <c r="I80" s="14" t="s">
        <v>113</v>
      </c>
      <c r="J80" s="13" t="s">
        <v>135</v>
      </c>
      <c r="K80" s="15" t="s">
        <v>64</v>
      </c>
      <c r="L80" s="15"/>
      <c r="M80" s="15"/>
      <c r="N80" s="12"/>
      <c r="O80" s="16"/>
      <c r="P80" s="16"/>
      <c r="Q80" s="17"/>
      <c r="R80" s="16"/>
      <c r="S80" s="12"/>
      <c r="T80" s="12" t="s">
        <v>565</v>
      </c>
      <c r="U80" s="12" t="s">
        <v>578</v>
      </c>
    </row>
    <row r="81" spans="1:21" ht="23.4" x14ac:dyDescent="0.3">
      <c r="A81" s="12" t="s">
        <v>559</v>
      </c>
      <c r="B81" s="12" t="s">
        <v>55</v>
      </c>
      <c r="C81" s="12" t="s">
        <v>560</v>
      </c>
      <c r="D81" s="12" t="s">
        <v>579</v>
      </c>
      <c r="E81" s="13" t="s">
        <v>461</v>
      </c>
      <c r="F81" s="13" t="s">
        <v>562</v>
      </c>
      <c r="G81" s="13" t="s">
        <v>563</v>
      </c>
      <c r="H81" s="13" t="s">
        <v>580</v>
      </c>
      <c r="I81" s="14" t="s">
        <v>113</v>
      </c>
      <c r="J81" s="13" t="s">
        <v>135</v>
      </c>
      <c r="K81" s="15" t="s">
        <v>64</v>
      </c>
      <c r="L81" s="15"/>
      <c r="M81" s="15"/>
      <c r="N81" s="12"/>
      <c r="O81" s="16"/>
      <c r="P81" s="16"/>
      <c r="Q81" s="17"/>
      <c r="R81" s="16"/>
      <c r="S81" s="12"/>
      <c r="T81" s="12" t="s">
        <v>581</v>
      </c>
      <c r="U81" s="12" t="s">
        <v>582</v>
      </c>
    </row>
    <row r="82" spans="1:21" ht="23.4" x14ac:dyDescent="0.3">
      <c r="A82" s="12" t="s">
        <v>559</v>
      </c>
      <c r="B82" s="12" t="s">
        <v>55</v>
      </c>
      <c r="C82" s="12" t="s">
        <v>560</v>
      </c>
      <c r="D82" s="12" t="s">
        <v>583</v>
      </c>
      <c r="E82" s="13" t="s">
        <v>461</v>
      </c>
      <c r="F82" s="13" t="s">
        <v>562</v>
      </c>
      <c r="G82" s="13" t="s">
        <v>584</v>
      </c>
      <c r="H82" s="13" t="s">
        <v>585</v>
      </c>
      <c r="I82" s="14" t="s">
        <v>113</v>
      </c>
      <c r="J82" s="13" t="s">
        <v>135</v>
      </c>
      <c r="K82" s="15" t="s">
        <v>64</v>
      </c>
      <c r="L82" s="15"/>
      <c r="M82" s="15"/>
      <c r="N82" s="12"/>
      <c r="O82" s="16"/>
      <c r="P82" s="16"/>
      <c r="Q82" s="17"/>
      <c r="R82" s="16"/>
      <c r="S82" s="12"/>
      <c r="T82" s="12" t="s">
        <v>586</v>
      </c>
      <c r="U82" s="12" t="s">
        <v>587</v>
      </c>
    </row>
    <row r="83" spans="1:21" ht="23.4" x14ac:dyDescent="0.3">
      <c r="A83" s="12" t="s">
        <v>559</v>
      </c>
      <c r="B83" s="12" t="s">
        <v>55</v>
      </c>
      <c r="C83" s="12" t="s">
        <v>560</v>
      </c>
      <c r="D83" s="12" t="s">
        <v>588</v>
      </c>
      <c r="E83" s="13" t="s">
        <v>461</v>
      </c>
      <c r="F83" s="13" t="s">
        <v>562</v>
      </c>
      <c r="G83" s="13" t="s">
        <v>576</v>
      </c>
      <c r="H83" s="13" t="s">
        <v>589</v>
      </c>
      <c r="I83" s="14" t="s">
        <v>113</v>
      </c>
      <c r="J83" s="13" t="s">
        <v>135</v>
      </c>
      <c r="K83" s="15" t="s">
        <v>64</v>
      </c>
      <c r="L83" s="15"/>
      <c r="M83" s="15"/>
      <c r="N83" s="12"/>
      <c r="O83" s="16"/>
      <c r="P83" s="16"/>
      <c r="Q83" s="17"/>
      <c r="R83" s="16"/>
      <c r="S83" s="12"/>
      <c r="T83" s="12" t="s">
        <v>565</v>
      </c>
      <c r="U83" s="12" t="s">
        <v>590</v>
      </c>
    </row>
    <row r="84" spans="1:21" ht="23.4" x14ac:dyDescent="0.3">
      <c r="A84" s="12" t="s">
        <v>559</v>
      </c>
      <c r="B84" s="12" t="s">
        <v>55</v>
      </c>
      <c r="C84" s="12" t="s">
        <v>560</v>
      </c>
      <c r="D84" s="12" t="s">
        <v>591</v>
      </c>
      <c r="E84" s="13" t="s">
        <v>461</v>
      </c>
      <c r="F84" s="13" t="s">
        <v>562</v>
      </c>
      <c r="G84" s="13" t="s">
        <v>563</v>
      </c>
      <c r="H84" s="13" t="s">
        <v>592</v>
      </c>
      <c r="I84" s="14" t="s">
        <v>113</v>
      </c>
      <c r="J84" s="13" t="s">
        <v>135</v>
      </c>
      <c r="K84" s="15" t="s">
        <v>64</v>
      </c>
      <c r="L84" s="15"/>
      <c r="M84" s="15"/>
      <c r="N84" s="12"/>
      <c r="O84" s="16"/>
      <c r="P84" s="16"/>
      <c r="Q84" s="17"/>
      <c r="R84" s="16"/>
      <c r="S84" s="12"/>
      <c r="T84" s="12" t="s">
        <v>593</v>
      </c>
      <c r="U84" s="12" t="s">
        <v>594</v>
      </c>
    </row>
    <row r="85" spans="1:21" ht="23.4" x14ac:dyDescent="0.3">
      <c r="A85" s="12" t="s">
        <v>559</v>
      </c>
      <c r="B85" s="12" t="s">
        <v>55</v>
      </c>
      <c r="C85" s="12" t="s">
        <v>560</v>
      </c>
      <c r="D85" s="12" t="s">
        <v>595</v>
      </c>
      <c r="E85" s="13" t="s">
        <v>461</v>
      </c>
      <c r="F85" s="13" t="s">
        <v>562</v>
      </c>
      <c r="G85" s="13" t="s">
        <v>563</v>
      </c>
      <c r="H85" s="13" t="s">
        <v>596</v>
      </c>
      <c r="I85" s="14" t="s">
        <v>113</v>
      </c>
      <c r="J85" s="13" t="s">
        <v>135</v>
      </c>
      <c r="K85" s="15" t="s">
        <v>64</v>
      </c>
      <c r="L85" s="15"/>
      <c r="M85" s="15"/>
      <c r="N85" s="12"/>
      <c r="O85" s="16"/>
      <c r="P85" s="16"/>
      <c r="Q85" s="17"/>
      <c r="R85" s="16"/>
      <c r="S85" s="12"/>
      <c r="T85" s="12" t="s">
        <v>565</v>
      </c>
      <c r="U85" s="12" t="s">
        <v>597</v>
      </c>
    </row>
    <row r="86" spans="1:21" ht="23.4" x14ac:dyDescent="0.3">
      <c r="A86" s="12" t="s">
        <v>559</v>
      </c>
      <c r="B86" s="12" t="s">
        <v>55</v>
      </c>
      <c r="C86" s="12" t="s">
        <v>560</v>
      </c>
      <c r="D86" s="12" t="s">
        <v>598</v>
      </c>
      <c r="E86" s="13" t="s">
        <v>461</v>
      </c>
      <c r="F86" s="13" t="s">
        <v>562</v>
      </c>
      <c r="G86" s="13" t="s">
        <v>576</v>
      </c>
      <c r="H86" s="13" t="s">
        <v>599</v>
      </c>
      <c r="I86" s="14" t="s">
        <v>113</v>
      </c>
      <c r="J86" s="13" t="s">
        <v>135</v>
      </c>
      <c r="K86" s="15" t="s">
        <v>64</v>
      </c>
      <c r="L86" s="15"/>
      <c r="M86" s="15"/>
      <c r="N86" s="12"/>
      <c r="O86" s="16"/>
      <c r="P86" s="16"/>
      <c r="Q86" s="17"/>
      <c r="R86" s="16"/>
      <c r="S86" s="12"/>
      <c r="T86" s="12" t="s">
        <v>565</v>
      </c>
      <c r="U86" s="12" t="s">
        <v>600</v>
      </c>
    </row>
    <row r="87" spans="1:21" ht="23.4" x14ac:dyDescent="0.3">
      <c r="A87" s="12" t="s">
        <v>559</v>
      </c>
      <c r="B87" s="12" t="s">
        <v>55</v>
      </c>
      <c r="C87" s="12" t="s">
        <v>601</v>
      </c>
      <c r="D87" s="12" t="s">
        <v>602</v>
      </c>
      <c r="E87" s="13" t="s">
        <v>461</v>
      </c>
      <c r="F87" s="13" t="s">
        <v>486</v>
      </c>
      <c r="G87" s="13" t="s">
        <v>487</v>
      </c>
      <c r="H87" s="13" t="s">
        <v>603</v>
      </c>
      <c r="I87" s="14" t="s">
        <v>113</v>
      </c>
      <c r="J87" s="13" t="s">
        <v>63</v>
      </c>
      <c r="K87" s="15" t="s">
        <v>64</v>
      </c>
      <c r="L87" s="15"/>
      <c r="M87" s="15"/>
      <c r="N87" s="12"/>
      <c r="O87" s="16"/>
      <c r="P87" s="16"/>
      <c r="Q87" s="17"/>
      <c r="R87" s="16"/>
      <c r="S87" s="12"/>
      <c r="T87" s="12" t="s">
        <v>604</v>
      </c>
      <c r="U87" s="12" t="s">
        <v>605</v>
      </c>
    </row>
    <row r="88" spans="1:21" ht="23.4" x14ac:dyDescent="0.3">
      <c r="A88" s="12" t="s">
        <v>559</v>
      </c>
      <c r="B88" s="12" t="s">
        <v>55</v>
      </c>
      <c r="C88" s="12" t="s">
        <v>606</v>
      </c>
      <c r="D88" s="12" t="s">
        <v>607</v>
      </c>
      <c r="E88" s="13" t="s">
        <v>461</v>
      </c>
      <c r="F88" s="13" t="s">
        <v>608</v>
      </c>
      <c r="G88" s="13" t="s">
        <v>609</v>
      </c>
      <c r="H88" s="13" t="s">
        <v>610</v>
      </c>
      <c r="I88" s="14" t="s">
        <v>113</v>
      </c>
      <c r="J88" s="13" t="s">
        <v>135</v>
      </c>
      <c r="K88" s="15" t="s">
        <v>64</v>
      </c>
      <c r="L88" s="15"/>
      <c r="M88" s="15"/>
      <c r="N88" s="12"/>
      <c r="O88" s="16"/>
      <c r="P88" s="16"/>
      <c r="Q88" s="17"/>
      <c r="R88" s="16"/>
      <c r="S88" s="12"/>
      <c r="T88" s="12" t="s">
        <v>611</v>
      </c>
      <c r="U88" s="12" t="s">
        <v>612</v>
      </c>
    </row>
    <row r="89" spans="1:21" ht="23.4" x14ac:dyDescent="0.3">
      <c r="A89" s="12" t="s">
        <v>559</v>
      </c>
      <c r="B89" s="12" t="s">
        <v>55</v>
      </c>
      <c r="C89" s="12" t="s">
        <v>613</v>
      </c>
      <c r="D89" s="12" t="s">
        <v>614</v>
      </c>
      <c r="E89" s="13" t="s">
        <v>461</v>
      </c>
      <c r="F89" s="13" t="s">
        <v>486</v>
      </c>
      <c r="G89" s="13" t="s">
        <v>487</v>
      </c>
      <c r="H89" s="13" t="s">
        <v>615</v>
      </c>
      <c r="I89" s="14" t="s">
        <v>113</v>
      </c>
      <c r="J89" s="13" t="s">
        <v>135</v>
      </c>
      <c r="K89" s="15" t="s">
        <v>64</v>
      </c>
      <c r="L89" s="15"/>
      <c r="M89" s="15"/>
      <c r="N89" s="12"/>
      <c r="O89" s="16"/>
      <c r="P89" s="16"/>
      <c r="Q89" s="17"/>
      <c r="R89" s="16"/>
      <c r="S89" s="12"/>
      <c r="T89" s="12" t="s">
        <v>616</v>
      </c>
      <c r="U89" s="12" t="s">
        <v>617</v>
      </c>
    </row>
    <row r="90" spans="1:21" ht="23.4" x14ac:dyDescent="0.3">
      <c r="A90" s="12" t="s">
        <v>559</v>
      </c>
      <c r="B90" s="12" t="s">
        <v>55</v>
      </c>
      <c r="C90" s="12" t="s">
        <v>618</v>
      </c>
      <c r="D90" s="12" t="s">
        <v>619</v>
      </c>
      <c r="E90" s="13" t="s">
        <v>461</v>
      </c>
      <c r="F90" s="13" t="s">
        <v>486</v>
      </c>
      <c r="G90" s="13" t="s">
        <v>487</v>
      </c>
      <c r="H90" s="13" t="s">
        <v>620</v>
      </c>
      <c r="I90" s="14" t="s">
        <v>113</v>
      </c>
      <c r="J90" s="13" t="s">
        <v>63</v>
      </c>
      <c r="K90" s="15" t="s">
        <v>64</v>
      </c>
      <c r="L90" s="15"/>
      <c r="M90" s="15"/>
      <c r="N90" s="12"/>
      <c r="O90" s="16"/>
      <c r="P90" s="16"/>
      <c r="Q90" s="17"/>
      <c r="R90" s="16"/>
      <c r="S90" s="12"/>
      <c r="T90" s="12" t="s">
        <v>621</v>
      </c>
      <c r="U90" s="12" t="s">
        <v>622</v>
      </c>
    </row>
    <row r="91" spans="1:21" ht="23.4" x14ac:dyDescent="0.3">
      <c r="A91" s="12" t="s">
        <v>559</v>
      </c>
      <c r="B91" s="12" t="s">
        <v>55</v>
      </c>
      <c r="C91" s="12" t="s">
        <v>623</v>
      </c>
      <c r="D91" s="12" t="s">
        <v>624</v>
      </c>
      <c r="E91" s="13" t="s">
        <v>461</v>
      </c>
      <c r="F91" s="13" t="s">
        <v>625</v>
      </c>
      <c r="G91" s="13" t="s">
        <v>626</v>
      </c>
      <c r="H91" s="13" t="s">
        <v>627</v>
      </c>
      <c r="I91" s="14" t="s">
        <v>113</v>
      </c>
      <c r="J91" s="13" t="s">
        <v>135</v>
      </c>
      <c r="K91" s="15" t="s">
        <v>64</v>
      </c>
      <c r="L91" s="15"/>
      <c r="M91" s="15"/>
      <c r="N91" s="12"/>
      <c r="O91" s="16"/>
      <c r="P91" s="16"/>
      <c r="Q91" s="17"/>
      <c r="R91" s="16"/>
      <c r="S91" s="12"/>
      <c r="T91" s="12" t="s">
        <v>611</v>
      </c>
      <c r="U91" s="12" t="s">
        <v>628</v>
      </c>
    </row>
    <row r="92" spans="1:21" ht="23.4" x14ac:dyDescent="0.3">
      <c r="A92" s="12" t="s">
        <v>559</v>
      </c>
      <c r="B92" s="12" t="s">
        <v>55</v>
      </c>
      <c r="C92" s="12" t="s">
        <v>629</v>
      </c>
      <c r="D92" s="12" t="s">
        <v>630</v>
      </c>
      <c r="E92" s="13" t="s">
        <v>461</v>
      </c>
      <c r="F92" s="13" t="s">
        <v>486</v>
      </c>
      <c r="G92" s="13" t="s">
        <v>487</v>
      </c>
      <c r="H92" s="13" t="s">
        <v>631</v>
      </c>
      <c r="I92" s="14" t="s">
        <v>113</v>
      </c>
      <c r="J92" s="13" t="s">
        <v>135</v>
      </c>
      <c r="K92" s="15" t="s">
        <v>64</v>
      </c>
      <c r="L92" s="15"/>
      <c r="M92" s="15"/>
      <c r="N92" s="12"/>
      <c r="O92" s="16"/>
      <c r="P92" s="16"/>
      <c r="Q92" s="17"/>
      <c r="R92" s="16"/>
      <c r="S92" s="12"/>
      <c r="T92" s="12" t="s">
        <v>632</v>
      </c>
      <c r="U92" s="12" t="s">
        <v>633</v>
      </c>
    </row>
    <row r="93" spans="1:21" ht="23.4" x14ac:dyDescent="0.3">
      <c r="A93" s="12" t="s">
        <v>559</v>
      </c>
      <c r="B93" s="12" t="s">
        <v>55</v>
      </c>
      <c r="C93" s="12" t="s">
        <v>634</v>
      </c>
      <c r="D93" s="12" t="s">
        <v>635</v>
      </c>
      <c r="E93" s="13" t="s">
        <v>461</v>
      </c>
      <c r="F93" s="13" t="s">
        <v>625</v>
      </c>
      <c r="G93" s="13" t="s">
        <v>626</v>
      </c>
      <c r="H93" s="13" t="s">
        <v>636</v>
      </c>
      <c r="I93" s="14" t="s">
        <v>113</v>
      </c>
      <c r="J93" s="13" t="s">
        <v>135</v>
      </c>
      <c r="K93" s="15" t="s">
        <v>64</v>
      </c>
      <c r="L93" s="15"/>
      <c r="M93" s="15"/>
      <c r="N93" s="12"/>
      <c r="O93" s="16"/>
      <c r="P93" s="16"/>
      <c r="Q93" s="17"/>
      <c r="R93" s="16"/>
      <c r="S93" s="12"/>
      <c r="T93" s="12" t="s">
        <v>611</v>
      </c>
      <c r="U93" s="12" t="s">
        <v>637</v>
      </c>
    </row>
    <row r="94" spans="1:21" ht="23.4" x14ac:dyDescent="0.3">
      <c r="A94" s="12" t="s">
        <v>559</v>
      </c>
      <c r="B94" s="12" t="s">
        <v>55</v>
      </c>
      <c r="C94" s="12" t="s">
        <v>638</v>
      </c>
      <c r="D94" s="12" t="s">
        <v>639</v>
      </c>
      <c r="E94" s="13" t="s">
        <v>461</v>
      </c>
      <c r="F94" s="13" t="s">
        <v>486</v>
      </c>
      <c r="G94" s="13" t="s">
        <v>487</v>
      </c>
      <c r="H94" s="13" t="s">
        <v>640</v>
      </c>
      <c r="I94" s="14" t="s">
        <v>113</v>
      </c>
      <c r="J94" s="13" t="s">
        <v>135</v>
      </c>
      <c r="K94" s="15" t="s">
        <v>64</v>
      </c>
      <c r="L94" s="15"/>
      <c r="M94" s="15"/>
      <c r="N94" s="12"/>
      <c r="O94" s="16"/>
      <c r="P94" s="16"/>
      <c r="Q94" s="17"/>
      <c r="R94" s="16"/>
      <c r="S94" s="12"/>
      <c r="T94" s="12" t="s">
        <v>641</v>
      </c>
      <c r="U94" s="12" t="s">
        <v>642</v>
      </c>
    </row>
    <row r="95" spans="1:21" ht="23.4" x14ac:dyDescent="0.3">
      <c r="A95" s="12" t="s">
        <v>559</v>
      </c>
      <c r="B95" s="12" t="s">
        <v>55</v>
      </c>
      <c r="C95" s="12" t="s">
        <v>643</v>
      </c>
      <c r="D95" s="12" t="s">
        <v>644</v>
      </c>
      <c r="E95" s="13" t="s">
        <v>461</v>
      </c>
      <c r="F95" s="13" t="s">
        <v>486</v>
      </c>
      <c r="G95" s="13" t="s">
        <v>487</v>
      </c>
      <c r="H95" s="13" t="s">
        <v>645</v>
      </c>
      <c r="I95" s="14" t="s">
        <v>113</v>
      </c>
      <c r="J95" s="13" t="s">
        <v>63</v>
      </c>
      <c r="K95" s="15" t="s">
        <v>64</v>
      </c>
      <c r="L95" s="15"/>
      <c r="M95" s="15"/>
      <c r="N95" s="12"/>
      <c r="O95" s="16"/>
      <c r="P95" s="16"/>
      <c r="Q95" s="17"/>
      <c r="R95" s="16"/>
      <c r="S95" s="12"/>
      <c r="T95" s="12" t="s">
        <v>646</v>
      </c>
      <c r="U95" s="12" t="s">
        <v>647</v>
      </c>
    </row>
    <row r="96" spans="1:21" ht="23.4" x14ac:dyDescent="0.3">
      <c r="A96" s="12" t="s">
        <v>559</v>
      </c>
      <c r="B96" s="12" t="s">
        <v>55</v>
      </c>
      <c r="C96" s="12" t="s">
        <v>648</v>
      </c>
      <c r="D96" s="12" t="s">
        <v>649</v>
      </c>
      <c r="E96" s="13" t="s">
        <v>461</v>
      </c>
      <c r="F96" s="13" t="s">
        <v>608</v>
      </c>
      <c r="G96" s="13" t="s">
        <v>609</v>
      </c>
      <c r="H96" s="13" t="s">
        <v>650</v>
      </c>
      <c r="I96" s="14" t="s">
        <v>113</v>
      </c>
      <c r="J96" s="13" t="s">
        <v>135</v>
      </c>
      <c r="K96" s="15" t="s">
        <v>64</v>
      </c>
      <c r="L96" s="15"/>
      <c r="M96" s="15"/>
      <c r="N96" s="12"/>
      <c r="O96" s="16"/>
      <c r="P96" s="16"/>
      <c r="Q96" s="17"/>
      <c r="R96" s="16"/>
      <c r="S96" s="12"/>
      <c r="T96" s="12" t="s">
        <v>651</v>
      </c>
      <c r="U96" s="12" t="s">
        <v>652</v>
      </c>
    </row>
    <row r="97" spans="1:21" ht="23.4" x14ac:dyDescent="0.3">
      <c r="A97" s="12" t="s">
        <v>559</v>
      </c>
      <c r="B97" s="12" t="s">
        <v>55</v>
      </c>
      <c r="C97" s="12" t="s">
        <v>653</v>
      </c>
      <c r="D97" s="12" t="s">
        <v>654</v>
      </c>
      <c r="E97" s="13" t="s">
        <v>461</v>
      </c>
      <c r="F97" s="13" t="s">
        <v>486</v>
      </c>
      <c r="G97" s="13" t="s">
        <v>487</v>
      </c>
      <c r="H97" s="13" t="s">
        <v>655</v>
      </c>
      <c r="I97" s="14" t="s">
        <v>113</v>
      </c>
      <c r="J97" s="13" t="s">
        <v>135</v>
      </c>
      <c r="K97" s="15" t="s">
        <v>64</v>
      </c>
      <c r="L97" s="15"/>
      <c r="M97" s="15"/>
      <c r="N97" s="12"/>
      <c r="O97" s="16"/>
      <c r="P97" s="16"/>
      <c r="Q97" s="17"/>
      <c r="R97" s="16"/>
      <c r="S97" s="12"/>
      <c r="T97" s="12" t="s">
        <v>656</v>
      </c>
      <c r="U97" s="12" t="s">
        <v>657</v>
      </c>
    </row>
    <row r="98" spans="1:21" ht="34.200000000000003" x14ac:dyDescent="0.3">
      <c r="A98" s="12" t="s">
        <v>559</v>
      </c>
      <c r="B98" s="12" t="s">
        <v>55</v>
      </c>
      <c r="C98" s="12" t="s">
        <v>658</v>
      </c>
      <c r="D98" s="12" t="s">
        <v>659</v>
      </c>
      <c r="E98" s="13" t="s">
        <v>461</v>
      </c>
      <c r="F98" s="13" t="s">
        <v>608</v>
      </c>
      <c r="G98" s="13" t="s">
        <v>609</v>
      </c>
      <c r="H98" s="13" t="s">
        <v>660</v>
      </c>
      <c r="I98" s="14" t="s">
        <v>113</v>
      </c>
      <c r="J98" s="13" t="s">
        <v>135</v>
      </c>
      <c r="K98" s="15" t="s">
        <v>64</v>
      </c>
      <c r="L98" s="15"/>
      <c r="M98" s="15"/>
      <c r="N98" s="12"/>
      <c r="O98" s="16"/>
      <c r="P98" s="16"/>
      <c r="Q98" s="17"/>
      <c r="R98" s="16"/>
      <c r="S98" s="12"/>
      <c r="T98" s="12" t="s">
        <v>661</v>
      </c>
      <c r="U98" s="12" t="s">
        <v>662</v>
      </c>
    </row>
    <row r="99" spans="1:21" ht="23.4" x14ac:dyDescent="0.3">
      <c r="A99" s="12" t="s">
        <v>559</v>
      </c>
      <c r="B99" s="12" t="s">
        <v>55</v>
      </c>
      <c r="C99" s="12" t="s">
        <v>663</v>
      </c>
      <c r="D99" s="12" t="s">
        <v>664</v>
      </c>
      <c r="E99" s="13" t="s">
        <v>461</v>
      </c>
      <c r="F99" s="13" t="s">
        <v>486</v>
      </c>
      <c r="G99" s="13" t="s">
        <v>487</v>
      </c>
      <c r="H99" s="13" t="s">
        <v>665</v>
      </c>
      <c r="I99" s="14" t="s">
        <v>113</v>
      </c>
      <c r="J99" s="13" t="s">
        <v>63</v>
      </c>
      <c r="K99" s="15" t="s">
        <v>64</v>
      </c>
      <c r="L99" s="15"/>
      <c r="M99" s="15"/>
      <c r="N99" s="12"/>
      <c r="O99" s="16"/>
      <c r="P99" s="16"/>
      <c r="Q99" s="17"/>
      <c r="R99" s="16"/>
      <c r="S99" s="12"/>
      <c r="T99" s="12" t="s">
        <v>666</v>
      </c>
      <c r="U99" s="12" t="s">
        <v>667</v>
      </c>
    </row>
    <row r="100" spans="1:21" ht="34.200000000000003" x14ac:dyDescent="0.3">
      <c r="A100" s="12" t="s">
        <v>559</v>
      </c>
      <c r="B100" s="12" t="s">
        <v>55</v>
      </c>
      <c r="C100" s="12" t="s">
        <v>668</v>
      </c>
      <c r="D100" s="12" t="s">
        <v>669</v>
      </c>
      <c r="E100" s="13" t="s">
        <v>461</v>
      </c>
      <c r="F100" s="13" t="s">
        <v>608</v>
      </c>
      <c r="G100" s="13" t="s">
        <v>609</v>
      </c>
      <c r="H100" s="13" t="s">
        <v>670</v>
      </c>
      <c r="I100" s="14" t="s">
        <v>113</v>
      </c>
      <c r="J100" s="13" t="s">
        <v>63</v>
      </c>
      <c r="K100" s="15" t="s">
        <v>64</v>
      </c>
      <c r="L100" s="15"/>
      <c r="M100" s="15"/>
      <c r="N100" s="12"/>
      <c r="O100" s="16"/>
      <c r="P100" s="16"/>
      <c r="Q100" s="17"/>
      <c r="R100" s="16"/>
      <c r="S100" s="12"/>
      <c r="T100" s="12" t="s">
        <v>671</v>
      </c>
      <c r="U100" s="12" t="s">
        <v>672</v>
      </c>
    </row>
    <row r="101" spans="1:21" ht="34.200000000000003" x14ac:dyDescent="0.3">
      <c r="A101" s="12" t="s">
        <v>559</v>
      </c>
      <c r="B101" s="12" t="s">
        <v>55</v>
      </c>
      <c r="C101" s="12" t="s">
        <v>673</v>
      </c>
      <c r="D101" s="12" t="s">
        <v>674</v>
      </c>
      <c r="E101" s="13" t="s">
        <v>461</v>
      </c>
      <c r="F101" s="13" t="s">
        <v>486</v>
      </c>
      <c r="G101" s="13" t="s">
        <v>487</v>
      </c>
      <c r="H101" s="13" t="s">
        <v>675</v>
      </c>
      <c r="I101" s="14" t="s">
        <v>113</v>
      </c>
      <c r="J101" s="13" t="s">
        <v>63</v>
      </c>
      <c r="K101" s="15" t="s">
        <v>64</v>
      </c>
      <c r="L101" s="15"/>
      <c r="M101" s="15"/>
      <c r="N101" s="12"/>
      <c r="O101" s="16"/>
      <c r="P101" s="16"/>
      <c r="Q101" s="17"/>
      <c r="R101" s="16"/>
      <c r="S101" s="12"/>
      <c r="T101" s="12" t="s">
        <v>676</v>
      </c>
      <c r="U101" s="12" t="s">
        <v>677</v>
      </c>
    </row>
    <row r="102" spans="1:21" ht="23.4" x14ac:dyDescent="0.3">
      <c r="A102" s="12" t="s">
        <v>559</v>
      </c>
      <c r="B102" s="12" t="s">
        <v>55</v>
      </c>
      <c r="C102" s="12" t="s">
        <v>678</v>
      </c>
      <c r="D102" s="12" t="s">
        <v>679</v>
      </c>
      <c r="E102" s="13" t="s">
        <v>461</v>
      </c>
      <c r="F102" s="13" t="s">
        <v>625</v>
      </c>
      <c r="G102" s="13" t="s">
        <v>626</v>
      </c>
      <c r="H102" s="13" t="s">
        <v>680</v>
      </c>
      <c r="I102" s="14" t="s">
        <v>113</v>
      </c>
      <c r="J102" s="13" t="s">
        <v>135</v>
      </c>
      <c r="K102" s="15" t="s">
        <v>64</v>
      </c>
      <c r="L102" s="15"/>
      <c r="M102" s="15"/>
      <c r="N102" s="12"/>
      <c r="O102" s="16"/>
      <c r="P102" s="16"/>
      <c r="Q102" s="17"/>
      <c r="R102" s="16"/>
      <c r="S102" s="12"/>
      <c r="T102" s="12" t="s">
        <v>681</v>
      </c>
      <c r="U102" s="12" t="s">
        <v>682</v>
      </c>
    </row>
    <row r="103" spans="1:21" ht="23.4" x14ac:dyDescent="0.3">
      <c r="A103" s="12" t="s">
        <v>559</v>
      </c>
      <c r="B103" s="12" t="s">
        <v>55</v>
      </c>
      <c r="C103" s="12" t="s">
        <v>683</v>
      </c>
      <c r="D103" s="12" t="s">
        <v>684</v>
      </c>
      <c r="E103" s="13" t="s">
        <v>461</v>
      </c>
      <c r="F103" s="13" t="s">
        <v>486</v>
      </c>
      <c r="G103" s="13" t="s">
        <v>487</v>
      </c>
      <c r="H103" s="13" t="s">
        <v>685</v>
      </c>
      <c r="I103" s="14" t="s">
        <v>113</v>
      </c>
      <c r="J103" s="13" t="s">
        <v>135</v>
      </c>
      <c r="K103" s="15" t="s">
        <v>64</v>
      </c>
      <c r="L103" s="15"/>
      <c r="M103" s="15"/>
      <c r="N103" s="12"/>
      <c r="O103" s="16"/>
      <c r="P103" s="16"/>
      <c r="Q103" s="17"/>
      <c r="R103" s="16"/>
      <c r="S103" s="12"/>
      <c r="T103" s="12" t="s">
        <v>686</v>
      </c>
      <c r="U103" s="12" t="s">
        <v>687</v>
      </c>
    </row>
    <row r="104" spans="1:21" ht="23.4" x14ac:dyDescent="0.3">
      <c r="A104" s="12" t="s">
        <v>559</v>
      </c>
      <c r="B104" s="12" t="s">
        <v>55</v>
      </c>
      <c r="C104" s="12" t="s">
        <v>688</v>
      </c>
      <c r="D104" s="12" t="s">
        <v>689</v>
      </c>
      <c r="E104" s="13" t="s">
        <v>461</v>
      </c>
      <c r="F104" s="13" t="s">
        <v>625</v>
      </c>
      <c r="G104" s="13" t="s">
        <v>626</v>
      </c>
      <c r="H104" s="13" t="s">
        <v>690</v>
      </c>
      <c r="I104" s="14" t="s">
        <v>113</v>
      </c>
      <c r="J104" s="13" t="s">
        <v>63</v>
      </c>
      <c r="K104" s="15" t="s">
        <v>64</v>
      </c>
      <c r="L104" s="15"/>
      <c r="M104" s="15"/>
      <c r="N104" s="12"/>
      <c r="O104" s="16"/>
      <c r="P104" s="16"/>
      <c r="Q104" s="17"/>
      <c r="R104" s="16"/>
      <c r="S104" s="12"/>
      <c r="T104" s="12" t="s">
        <v>691</v>
      </c>
      <c r="U104" s="12" t="s">
        <v>692</v>
      </c>
    </row>
    <row r="105" spans="1:21" ht="34.200000000000003" x14ac:dyDescent="0.3">
      <c r="A105" s="12" t="s">
        <v>559</v>
      </c>
      <c r="B105" s="12" t="s">
        <v>55</v>
      </c>
      <c r="C105" s="12" t="s">
        <v>693</v>
      </c>
      <c r="D105" s="12" t="s">
        <v>694</v>
      </c>
      <c r="E105" s="13" t="s">
        <v>461</v>
      </c>
      <c r="F105" s="13" t="s">
        <v>486</v>
      </c>
      <c r="G105" s="13" t="s">
        <v>487</v>
      </c>
      <c r="H105" s="13" t="s">
        <v>695</v>
      </c>
      <c r="I105" s="14" t="s">
        <v>113</v>
      </c>
      <c r="J105" s="13" t="s">
        <v>63</v>
      </c>
      <c r="K105" s="15" t="s">
        <v>64</v>
      </c>
      <c r="L105" s="15"/>
      <c r="M105" s="15"/>
      <c r="N105" s="12"/>
      <c r="O105" s="16"/>
      <c r="P105" s="16"/>
      <c r="Q105" s="17"/>
      <c r="R105" s="16"/>
      <c r="S105" s="12"/>
      <c r="T105" s="12" t="s">
        <v>696</v>
      </c>
      <c r="U105" s="12" t="s">
        <v>697</v>
      </c>
    </row>
    <row r="106" spans="1:21" ht="23.4" x14ac:dyDescent="0.3">
      <c r="A106" s="12" t="s">
        <v>559</v>
      </c>
      <c r="B106" s="12" t="s">
        <v>55</v>
      </c>
      <c r="C106" s="12" t="s">
        <v>698</v>
      </c>
      <c r="D106" s="12" t="s">
        <v>699</v>
      </c>
      <c r="E106" s="13" t="s">
        <v>461</v>
      </c>
      <c r="F106" s="13" t="s">
        <v>486</v>
      </c>
      <c r="G106" s="13" t="s">
        <v>487</v>
      </c>
      <c r="H106" s="13" t="s">
        <v>700</v>
      </c>
      <c r="I106" s="14" t="s">
        <v>113</v>
      </c>
      <c r="J106" s="13" t="s">
        <v>63</v>
      </c>
      <c r="K106" s="15" t="s">
        <v>64</v>
      </c>
      <c r="L106" s="15"/>
      <c r="M106" s="15"/>
      <c r="N106" s="12"/>
      <c r="O106" s="16"/>
      <c r="P106" s="16"/>
      <c r="Q106" s="17"/>
      <c r="R106" s="16"/>
      <c r="S106" s="12"/>
      <c r="T106" s="12" t="s">
        <v>701</v>
      </c>
      <c r="U106" s="12" t="s">
        <v>702</v>
      </c>
    </row>
    <row r="107" spans="1:21" ht="34.200000000000003" x14ac:dyDescent="0.3">
      <c r="A107" s="12" t="s">
        <v>559</v>
      </c>
      <c r="B107" s="12" t="s">
        <v>55</v>
      </c>
      <c r="C107" s="12" t="s">
        <v>703</v>
      </c>
      <c r="D107" s="12" t="s">
        <v>704</v>
      </c>
      <c r="E107" s="13" t="s">
        <v>461</v>
      </c>
      <c r="F107" s="13" t="s">
        <v>608</v>
      </c>
      <c r="G107" s="13" t="s">
        <v>609</v>
      </c>
      <c r="H107" s="13" t="s">
        <v>705</v>
      </c>
      <c r="I107" s="14" t="s">
        <v>113</v>
      </c>
      <c r="J107" s="13" t="s">
        <v>63</v>
      </c>
      <c r="K107" s="15" t="s">
        <v>64</v>
      </c>
      <c r="L107" s="15"/>
      <c r="M107" s="15"/>
      <c r="N107" s="12"/>
      <c r="O107" s="16"/>
      <c r="P107" s="16"/>
      <c r="Q107" s="17"/>
      <c r="R107" s="16"/>
      <c r="S107" s="12"/>
      <c r="T107" s="12" t="s">
        <v>706</v>
      </c>
      <c r="U107" s="12" t="s">
        <v>707</v>
      </c>
    </row>
    <row r="108" spans="1:21" ht="23.4" x14ac:dyDescent="0.3">
      <c r="A108" s="12" t="s">
        <v>559</v>
      </c>
      <c r="B108" s="12" t="s">
        <v>55</v>
      </c>
      <c r="C108" s="12" t="s">
        <v>708</v>
      </c>
      <c r="D108" s="12" t="s">
        <v>709</v>
      </c>
      <c r="E108" s="13" t="s">
        <v>461</v>
      </c>
      <c r="F108" s="13" t="s">
        <v>562</v>
      </c>
      <c r="G108" s="13" t="s">
        <v>563</v>
      </c>
      <c r="H108" s="13" t="s">
        <v>710</v>
      </c>
      <c r="I108" s="14" t="s">
        <v>113</v>
      </c>
      <c r="J108" s="13" t="s">
        <v>135</v>
      </c>
      <c r="K108" s="15" t="s">
        <v>64</v>
      </c>
      <c r="L108" s="15"/>
      <c r="M108" s="15"/>
      <c r="N108" s="12"/>
      <c r="O108" s="16"/>
      <c r="P108" s="16"/>
      <c r="Q108" s="17"/>
      <c r="R108" s="16"/>
      <c r="S108" s="12"/>
      <c r="T108" s="12" t="s">
        <v>711</v>
      </c>
      <c r="U108" s="12" t="s">
        <v>712</v>
      </c>
    </row>
    <row r="109" spans="1:21" ht="23.4" x14ac:dyDescent="0.3">
      <c r="A109" s="12" t="s">
        <v>559</v>
      </c>
      <c r="B109" s="12" t="s">
        <v>55</v>
      </c>
      <c r="C109" s="12" t="s">
        <v>713</v>
      </c>
      <c r="D109" s="12" t="s">
        <v>714</v>
      </c>
      <c r="E109" s="13" t="s">
        <v>461</v>
      </c>
      <c r="F109" s="13" t="s">
        <v>562</v>
      </c>
      <c r="G109" s="13" t="s">
        <v>563</v>
      </c>
      <c r="H109" s="13" t="s">
        <v>715</v>
      </c>
      <c r="I109" s="14" t="s">
        <v>113</v>
      </c>
      <c r="J109" s="13" t="s">
        <v>135</v>
      </c>
      <c r="K109" s="15" t="s">
        <v>64</v>
      </c>
      <c r="L109" s="15"/>
      <c r="M109" s="15"/>
      <c r="N109" s="12"/>
      <c r="O109" s="16"/>
      <c r="P109" s="16"/>
      <c r="Q109" s="17"/>
      <c r="R109" s="16"/>
      <c r="S109" s="12"/>
      <c r="T109" s="12" t="s">
        <v>716</v>
      </c>
      <c r="U109" s="12" t="s">
        <v>717</v>
      </c>
    </row>
    <row r="110" spans="1:21" ht="23.4" x14ac:dyDescent="0.3">
      <c r="A110" s="12" t="s">
        <v>559</v>
      </c>
      <c r="B110" s="12" t="s">
        <v>55</v>
      </c>
      <c r="C110" s="12" t="s">
        <v>718</v>
      </c>
      <c r="D110" s="12" t="s">
        <v>719</v>
      </c>
      <c r="E110" s="13" t="s">
        <v>461</v>
      </c>
      <c r="F110" s="13" t="s">
        <v>720</v>
      </c>
      <c r="G110" s="13" t="s">
        <v>721</v>
      </c>
      <c r="H110" s="13" t="s">
        <v>722</v>
      </c>
      <c r="I110" s="14" t="s">
        <v>113</v>
      </c>
      <c r="J110" s="13" t="s">
        <v>135</v>
      </c>
      <c r="K110" s="15" t="s">
        <v>64</v>
      </c>
      <c r="L110" s="15"/>
      <c r="M110" s="15"/>
      <c r="N110" s="12"/>
      <c r="O110" s="16"/>
      <c r="P110" s="16"/>
      <c r="Q110" s="17"/>
      <c r="R110" s="16"/>
      <c r="S110" s="12"/>
      <c r="T110" s="12" t="s">
        <v>723</v>
      </c>
      <c r="U110" s="12" t="s">
        <v>724</v>
      </c>
    </row>
    <row r="111" spans="1:21" ht="23.4" x14ac:dyDescent="0.3">
      <c r="A111" s="12" t="s">
        <v>559</v>
      </c>
      <c r="B111" s="12" t="s">
        <v>55</v>
      </c>
      <c r="C111" s="12" t="s">
        <v>725</v>
      </c>
      <c r="D111" s="12" t="s">
        <v>726</v>
      </c>
      <c r="E111" s="13" t="s">
        <v>461</v>
      </c>
      <c r="F111" s="13" t="s">
        <v>562</v>
      </c>
      <c r="G111" s="13" t="s">
        <v>563</v>
      </c>
      <c r="H111" s="13" t="s">
        <v>727</v>
      </c>
      <c r="I111" s="14" t="s">
        <v>113</v>
      </c>
      <c r="J111" s="13" t="s">
        <v>135</v>
      </c>
      <c r="K111" s="15" t="s">
        <v>64</v>
      </c>
      <c r="L111" s="15"/>
      <c r="M111" s="15"/>
      <c r="N111" s="12"/>
      <c r="O111" s="16"/>
      <c r="P111" s="16"/>
      <c r="Q111" s="17"/>
      <c r="R111" s="16"/>
      <c r="S111" s="12"/>
      <c r="T111" s="12" t="s">
        <v>728</v>
      </c>
      <c r="U111" s="12" t="s">
        <v>729</v>
      </c>
    </row>
    <row r="112" spans="1:21" ht="23.4" x14ac:dyDescent="0.3">
      <c r="A112" s="12" t="s">
        <v>559</v>
      </c>
      <c r="B112" s="12" t="s">
        <v>55</v>
      </c>
      <c r="C112" s="12" t="s">
        <v>730</v>
      </c>
      <c r="D112" s="12" t="s">
        <v>731</v>
      </c>
      <c r="E112" s="13" t="s">
        <v>461</v>
      </c>
      <c r="F112" s="13" t="s">
        <v>562</v>
      </c>
      <c r="G112" s="13" t="s">
        <v>563</v>
      </c>
      <c r="H112" s="13" t="s">
        <v>732</v>
      </c>
      <c r="I112" s="14" t="s">
        <v>113</v>
      </c>
      <c r="J112" s="13" t="s">
        <v>135</v>
      </c>
      <c r="K112" s="15" t="s">
        <v>64</v>
      </c>
      <c r="L112" s="15"/>
      <c r="M112" s="15"/>
      <c r="N112" s="12"/>
      <c r="O112" s="16"/>
      <c r="P112" s="16"/>
      <c r="Q112" s="17"/>
      <c r="R112" s="16"/>
      <c r="S112" s="12"/>
      <c r="T112" s="12" t="s">
        <v>733</v>
      </c>
      <c r="U112" s="12" t="s">
        <v>734</v>
      </c>
    </row>
    <row r="113" spans="1:21" ht="23.4" x14ac:dyDescent="0.3">
      <c r="A113" s="12" t="s">
        <v>559</v>
      </c>
      <c r="B113" s="12" t="s">
        <v>55</v>
      </c>
      <c r="C113" s="12" t="s">
        <v>735</v>
      </c>
      <c r="D113" s="12" t="s">
        <v>736</v>
      </c>
      <c r="E113" s="13" t="s">
        <v>461</v>
      </c>
      <c r="F113" s="13" t="s">
        <v>720</v>
      </c>
      <c r="G113" s="13" t="s">
        <v>721</v>
      </c>
      <c r="H113" s="13" t="s">
        <v>737</v>
      </c>
      <c r="I113" s="14" t="s">
        <v>113</v>
      </c>
      <c r="J113" s="13" t="s">
        <v>135</v>
      </c>
      <c r="K113" s="15" t="s">
        <v>64</v>
      </c>
      <c r="L113" s="15"/>
      <c r="M113" s="15"/>
      <c r="N113" s="12"/>
      <c r="O113" s="16"/>
      <c r="P113" s="16"/>
      <c r="Q113" s="17"/>
      <c r="R113" s="16"/>
      <c r="S113" s="12"/>
      <c r="T113" s="12" t="s">
        <v>738</v>
      </c>
      <c r="U113" s="12" t="s">
        <v>739</v>
      </c>
    </row>
    <row r="114" spans="1:21" ht="23.4" x14ac:dyDescent="0.3">
      <c r="A114" s="12" t="s">
        <v>559</v>
      </c>
      <c r="B114" s="12" t="s">
        <v>55</v>
      </c>
      <c r="C114" s="12" t="s">
        <v>740</v>
      </c>
      <c r="D114" s="12" t="s">
        <v>741</v>
      </c>
      <c r="E114" s="13" t="s">
        <v>461</v>
      </c>
      <c r="F114" s="13" t="s">
        <v>720</v>
      </c>
      <c r="G114" s="13" t="s">
        <v>721</v>
      </c>
      <c r="H114" s="13" t="s">
        <v>742</v>
      </c>
      <c r="I114" s="14" t="s">
        <v>113</v>
      </c>
      <c r="J114" s="13" t="s">
        <v>135</v>
      </c>
      <c r="K114" s="15" t="s">
        <v>64</v>
      </c>
      <c r="L114" s="15"/>
      <c r="M114" s="15"/>
      <c r="N114" s="12"/>
      <c r="O114" s="16"/>
      <c r="P114" s="16"/>
      <c r="Q114" s="17"/>
      <c r="R114" s="16"/>
      <c r="S114" s="12"/>
      <c r="T114" s="12" t="s">
        <v>743</v>
      </c>
      <c r="U114" s="12" t="s">
        <v>744</v>
      </c>
    </row>
    <row r="115" spans="1:21" ht="23.4" x14ac:dyDescent="0.3">
      <c r="A115" s="12" t="s">
        <v>559</v>
      </c>
      <c r="B115" s="12" t="s">
        <v>55</v>
      </c>
      <c r="C115" s="12" t="s">
        <v>745</v>
      </c>
      <c r="D115" s="12" t="s">
        <v>746</v>
      </c>
      <c r="E115" s="13" t="s">
        <v>461</v>
      </c>
      <c r="F115" s="13" t="s">
        <v>562</v>
      </c>
      <c r="G115" s="13" t="s">
        <v>563</v>
      </c>
      <c r="H115" s="13" t="s">
        <v>747</v>
      </c>
      <c r="I115" s="14" t="s">
        <v>113</v>
      </c>
      <c r="J115" s="13" t="s">
        <v>135</v>
      </c>
      <c r="K115" s="15" t="s">
        <v>64</v>
      </c>
      <c r="L115" s="15"/>
      <c r="M115" s="15"/>
      <c r="N115" s="12"/>
      <c r="O115" s="16"/>
      <c r="P115" s="16"/>
      <c r="Q115" s="17"/>
      <c r="R115" s="16"/>
      <c r="S115" s="12"/>
      <c r="T115" s="12" t="s">
        <v>728</v>
      </c>
      <c r="U115" s="12" t="s">
        <v>748</v>
      </c>
    </row>
    <row r="116" spans="1:21" ht="23.4" x14ac:dyDescent="0.3">
      <c r="A116" s="12" t="s">
        <v>559</v>
      </c>
      <c r="B116" s="12" t="s">
        <v>55</v>
      </c>
      <c r="C116" s="12" t="s">
        <v>749</v>
      </c>
      <c r="D116" s="12" t="s">
        <v>750</v>
      </c>
      <c r="E116" s="13" t="s">
        <v>461</v>
      </c>
      <c r="F116" s="13" t="s">
        <v>720</v>
      </c>
      <c r="G116" s="13" t="s">
        <v>721</v>
      </c>
      <c r="H116" s="13" t="s">
        <v>751</v>
      </c>
      <c r="I116" s="14" t="s">
        <v>113</v>
      </c>
      <c r="J116" s="13" t="s">
        <v>135</v>
      </c>
      <c r="K116" s="15" t="s">
        <v>64</v>
      </c>
      <c r="L116" s="15"/>
      <c r="M116" s="15"/>
      <c r="N116" s="12"/>
      <c r="O116" s="16"/>
      <c r="P116" s="16"/>
      <c r="Q116" s="17"/>
      <c r="R116" s="16"/>
      <c r="S116" s="12"/>
      <c r="T116" s="12" t="s">
        <v>752</v>
      </c>
      <c r="U116" s="12" t="s">
        <v>753</v>
      </c>
    </row>
    <row r="117" spans="1:21" ht="34.200000000000003" x14ac:dyDescent="0.3">
      <c r="A117" s="12" t="s">
        <v>559</v>
      </c>
      <c r="B117" s="12" t="s">
        <v>55</v>
      </c>
      <c r="C117" s="12" t="s">
        <v>754</v>
      </c>
      <c r="D117" s="12" t="s">
        <v>755</v>
      </c>
      <c r="E117" s="13" t="s">
        <v>461</v>
      </c>
      <c r="F117" s="13" t="s">
        <v>756</v>
      </c>
      <c r="G117" s="13" t="s">
        <v>487</v>
      </c>
      <c r="H117" s="13" t="s">
        <v>757</v>
      </c>
      <c r="I117" s="14" t="s">
        <v>113</v>
      </c>
      <c r="J117" s="13" t="s">
        <v>63</v>
      </c>
      <c r="K117" s="15" t="s">
        <v>64</v>
      </c>
      <c r="L117" s="15"/>
      <c r="M117" s="15"/>
      <c r="N117" s="12"/>
      <c r="O117" s="16"/>
      <c r="P117" s="16"/>
      <c r="Q117" s="17"/>
      <c r="R117" s="16"/>
      <c r="S117" s="12"/>
      <c r="T117" s="12" t="s">
        <v>758</v>
      </c>
      <c r="U117" s="12" t="s">
        <v>759</v>
      </c>
    </row>
    <row r="118" spans="1:21" ht="23.4" x14ac:dyDescent="0.3">
      <c r="A118" s="12" t="s">
        <v>559</v>
      </c>
      <c r="B118" s="12" t="s">
        <v>55</v>
      </c>
      <c r="C118" s="12" t="s">
        <v>760</v>
      </c>
      <c r="D118" s="12" t="s">
        <v>761</v>
      </c>
      <c r="E118" s="13" t="s">
        <v>461</v>
      </c>
      <c r="F118" s="13" t="s">
        <v>756</v>
      </c>
      <c r="G118" s="13" t="s">
        <v>487</v>
      </c>
      <c r="H118" s="13" t="s">
        <v>762</v>
      </c>
      <c r="I118" s="14" t="s">
        <v>113</v>
      </c>
      <c r="J118" s="13" t="s">
        <v>135</v>
      </c>
      <c r="K118" s="15" t="s">
        <v>64</v>
      </c>
      <c r="L118" s="15"/>
      <c r="M118" s="15"/>
      <c r="N118" s="12"/>
      <c r="O118" s="16"/>
      <c r="P118" s="16"/>
      <c r="Q118" s="17"/>
      <c r="R118" s="16"/>
      <c r="S118" s="12"/>
      <c r="T118" s="12" t="s">
        <v>611</v>
      </c>
      <c r="U118" s="12" t="s">
        <v>763</v>
      </c>
    </row>
    <row r="119" spans="1:21" ht="22.8" x14ac:dyDescent="0.3">
      <c r="A119" s="12" t="s">
        <v>559</v>
      </c>
      <c r="B119" s="12" t="s">
        <v>55</v>
      </c>
      <c r="C119" s="12" t="s">
        <v>764</v>
      </c>
      <c r="D119" s="12" t="s">
        <v>765</v>
      </c>
      <c r="E119" s="13" t="s">
        <v>461</v>
      </c>
      <c r="F119" s="13" t="s">
        <v>756</v>
      </c>
      <c r="G119" s="13" t="s">
        <v>487</v>
      </c>
      <c r="H119" s="13" t="s">
        <v>766</v>
      </c>
      <c r="I119" s="14" t="s">
        <v>113</v>
      </c>
      <c r="J119" s="13" t="s">
        <v>63</v>
      </c>
      <c r="K119" s="15" t="s">
        <v>64</v>
      </c>
      <c r="L119" s="15"/>
      <c r="M119" s="15"/>
      <c r="N119" s="12"/>
      <c r="O119" s="16"/>
      <c r="P119" s="16"/>
      <c r="Q119" s="17"/>
      <c r="R119" s="16"/>
      <c r="S119" s="12"/>
      <c r="T119" s="12" t="s">
        <v>767</v>
      </c>
      <c r="U119" s="12" t="s">
        <v>768</v>
      </c>
    </row>
    <row r="120" spans="1:21" ht="22.8" x14ac:dyDescent="0.3">
      <c r="A120" s="12" t="s">
        <v>559</v>
      </c>
      <c r="B120" s="12" t="s">
        <v>55</v>
      </c>
      <c r="C120" s="12" t="s">
        <v>769</v>
      </c>
      <c r="D120" s="12" t="s">
        <v>770</v>
      </c>
      <c r="E120" s="13" t="s">
        <v>461</v>
      </c>
      <c r="F120" s="13" t="s">
        <v>756</v>
      </c>
      <c r="G120" s="13" t="s">
        <v>487</v>
      </c>
      <c r="H120" s="13" t="s">
        <v>771</v>
      </c>
      <c r="I120" s="14" t="s">
        <v>113</v>
      </c>
      <c r="J120" s="13" t="s">
        <v>63</v>
      </c>
      <c r="K120" s="15" t="s">
        <v>64</v>
      </c>
      <c r="L120" s="15"/>
      <c r="M120" s="15"/>
      <c r="N120" s="12"/>
      <c r="O120" s="16"/>
      <c r="P120" s="16"/>
      <c r="Q120" s="17"/>
      <c r="R120" s="16"/>
      <c r="S120" s="12"/>
      <c r="T120" s="12" t="s">
        <v>772</v>
      </c>
      <c r="U120" s="12" t="s">
        <v>773</v>
      </c>
    </row>
    <row r="121" spans="1:21" ht="34.200000000000003" x14ac:dyDescent="0.3">
      <c r="A121" s="12" t="s">
        <v>559</v>
      </c>
      <c r="B121" s="12" t="s">
        <v>55</v>
      </c>
      <c r="C121" s="12" t="s">
        <v>774</v>
      </c>
      <c r="D121" s="12" t="s">
        <v>775</v>
      </c>
      <c r="E121" s="13" t="s">
        <v>507</v>
      </c>
      <c r="F121" s="13" t="s">
        <v>508</v>
      </c>
      <c r="G121" s="13" t="s">
        <v>776</v>
      </c>
      <c r="H121" s="13" t="s">
        <v>777</v>
      </c>
      <c r="I121" s="14" t="s">
        <v>113</v>
      </c>
      <c r="J121" s="13" t="s">
        <v>63</v>
      </c>
      <c r="K121" s="15" t="s">
        <v>64</v>
      </c>
      <c r="L121" s="15"/>
      <c r="M121" s="15"/>
      <c r="N121" s="12"/>
      <c r="O121" s="16"/>
      <c r="P121" s="16"/>
      <c r="Q121" s="17"/>
      <c r="R121" s="16"/>
      <c r="S121" s="12"/>
      <c r="T121" s="12" t="s">
        <v>778</v>
      </c>
      <c r="U121" s="12" t="s">
        <v>779</v>
      </c>
    </row>
    <row r="122" spans="1:21" ht="23.4" x14ac:dyDescent="0.3">
      <c r="A122" s="12" t="s">
        <v>559</v>
      </c>
      <c r="B122" s="12" t="s">
        <v>55</v>
      </c>
      <c r="C122" s="12" t="s">
        <v>780</v>
      </c>
      <c r="D122" s="12" t="s">
        <v>781</v>
      </c>
      <c r="E122" s="13" t="s">
        <v>507</v>
      </c>
      <c r="F122" s="13" t="s">
        <v>508</v>
      </c>
      <c r="G122" s="13" t="s">
        <v>782</v>
      </c>
      <c r="H122" s="13" t="s">
        <v>777</v>
      </c>
      <c r="I122" s="14" t="s">
        <v>113</v>
      </c>
      <c r="J122" s="13" t="s">
        <v>63</v>
      </c>
      <c r="K122" s="15" t="s">
        <v>64</v>
      </c>
      <c r="L122" s="15"/>
      <c r="M122" s="15"/>
      <c r="N122" s="12"/>
      <c r="O122" s="16"/>
      <c r="P122" s="16"/>
      <c r="Q122" s="17"/>
      <c r="R122" s="16"/>
      <c r="S122" s="12"/>
      <c r="T122" s="12" t="s">
        <v>778</v>
      </c>
      <c r="U122" s="12" t="s">
        <v>783</v>
      </c>
    </row>
    <row r="123" spans="1:21" ht="34.200000000000003" x14ac:dyDescent="0.3">
      <c r="A123" s="12" t="s">
        <v>559</v>
      </c>
      <c r="B123" s="12" t="s">
        <v>55</v>
      </c>
      <c r="C123" s="12" t="s">
        <v>784</v>
      </c>
      <c r="D123" s="12" t="s">
        <v>775</v>
      </c>
      <c r="E123" s="13" t="s">
        <v>507</v>
      </c>
      <c r="F123" s="13" t="s">
        <v>508</v>
      </c>
      <c r="G123" s="13" t="s">
        <v>776</v>
      </c>
      <c r="H123" s="13" t="s">
        <v>777</v>
      </c>
      <c r="I123" s="14" t="s">
        <v>113</v>
      </c>
      <c r="J123" s="13" t="s">
        <v>63</v>
      </c>
      <c r="K123" s="15" t="s">
        <v>64</v>
      </c>
      <c r="L123" s="15"/>
      <c r="M123" s="15"/>
      <c r="N123" s="12"/>
      <c r="O123" s="16"/>
      <c r="P123" s="16"/>
      <c r="Q123" s="17"/>
      <c r="R123" s="16"/>
      <c r="S123" s="12"/>
      <c r="T123" s="12" t="s">
        <v>778</v>
      </c>
      <c r="U123" s="12" t="s">
        <v>785</v>
      </c>
    </row>
    <row r="124" spans="1:21" ht="23.4" x14ac:dyDescent="0.3">
      <c r="A124" s="12" t="s">
        <v>559</v>
      </c>
      <c r="B124" s="12" t="s">
        <v>55</v>
      </c>
      <c r="C124" s="12" t="s">
        <v>786</v>
      </c>
      <c r="D124" s="12" t="s">
        <v>787</v>
      </c>
      <c r="E124" s="13" t="s">
        <v>507</v>
      </c>
      <c r="F124" s="13" t="s">
        <v>508</v>
      </c>
      <c r="G124" s="13" t="s">
        <v>788</v>
      </c>
      <c r="H124" s="13" t="s">
        <v>777</v>
      </c>
      <c r="I124" s="14" t="s">
        <v>113</v>
      </c>
      <c r="J124" s="13" t="s">
        <v>63</v>
      </c>
      <c r="K124" s="15" t="s">
        <v>64</v>
      </c>
      <c r="L124" s="15"/>
      <c r="M124" s="15"/>
      <c r="N124" s="12"/>
      <c r="O124" s="16"/>
      <c r="P124" s="16"/>
      <c r="Q124" s="17"/>
      <c r="R124" s="16"/>
      <c r="S124" s="12"/>
      <c r="T124" s="12" t="s">
        <v>778</v>
      </c>
      <c r="U124" s="12" t="s">
        <v>789</v>
      </c>
    </row>
    <row r="125" spans="1:21" ht="23.4" x14ac:dyDescent="0.3">
      <c r="A125" s="12" t="s">
        <v>559</v>
      </c>
      <c r="B125" s="12" t="s">
        <v>55</v>
      </c>
      <c r="C125" s="12" t="s">
        <v>790</v>
      </c>
      <c r="D125" s="12" t="s">
        <v>787</v>
      </c>
      <c r="E125" s="13" t="s">
        <v>507</v>
      </c>
      <c r="F125" s="13" t="s">
        <v>508</v>
      </c>
      <c r="G125" s="13" t="s">
        <v>788</v>
      </c>
      <c r="H125" s="13" t="s">
        <v>777</v>
      </c>
      <c r="I125" s="14" t="s">
        <v>113</v>
      </c>
      <c r="J125" s="13" t="s">
        <v>63</v>
      </c>
      <c r="K125" s="15" t="s">
        <v>64</v>
      </c>
      <c r="L125" s="15"/>
      <c r="M125" s="15"/>
      <c r="N125" s="12"/>
      <c r="O125" s="16"/>
      <c r="P125" s="16"/>
      <c r="Q125" s="17"/>
      <c r="R125" s="16"/>
      <c r="S125" s="12"/>
      <c r="T125" s="12" t="s">
        <v>778</v>
      </c>
      <c r="U125" s="12" t="s">
        <v>791</v>
      </c>
    </row>
    <row r="126" spans="1:21" ht="23.4" x14ac:dyDescent="0.3">
      <c r="A126" s="12" t="s">
        <v>559</v>
      </c>
      <c r="B126" s="12" t="s">
        <v>55</v>
      </c>
      <c r="C126" s="12" t="s">
        <v>792</v>
      </c>
      <c r="D126" s="12" t="s">
        <v>793</v>
      </c>
      <c r="E126" s="13" t="s">
        <v>794</v>
      </c>
      <c r="F126" s="13" t="s">
        <v>795</v>
      </c>
      <c r="G126" s="13" t="s">
        <v>796</v>
      </c>
      <c r="H126" s="13" t="s">
        <v>797</v>
      </c>
      <c r="I126" s="14" t="s">
        <v>113</v>
      </c>
      <c r="J126" s="13" t="s">
        <v>63</v>
      </c>
      <c r="K126" s="15" t="s">
        <v>64</v>
      </c>
      <c r="L126" s="15"/>
      <c r="M126" s="15"/>
      <c r="N126" s="12"/>
      <c r="O126" s="16"/>
      <c r="P126" s="16"/>
      <c r="Q126" s="17"/>
      <c r="R126" s="16"/>
      <c r="S126" s="12"/>
      <c r="T126" s="12" t="s">
        <v>723</v>
      </c>
      <c r="U126" s="12" t="s">
        <v>798</v>
      </c>
    </row>
    <row r="127" spans="1:21" ht="23.4" x14ac:dyDescent="0.3">
      <c r="A127" s="12" t="s">
        <v>559</v>
      </c>
      <c r="B127" s="12" t="s">
        <v>55</v>
      </c>
      <c r="C127" s="12" t="s">
        <v>799</v>
      </c>
      <c r="D127" s="12" t="s">
        <v>800</v>
      </c>
      <c r="E127" s="13" t="s">
        <v>794</v>
      </c>
      <c r="F127" s="13" t="s">
        <v>795</v>
      </c>
      <c r="G127" s="13" t="s">
        <v>796</v>
      </c>
      <c r="H127" s="13" t="s">
        <v>801</v>
      </c>
      <c r="I127" s="14" t="s">
        <v>113</v>
      </c>
      <c r="J127" s="13" t="s">
        <v>63</v>
      </c>
      <c r="K127" s="15" t="s">
        <v>64</v>
      </c>
      <c r="L127" s="15"/>
      <c r="M127" s="15"/>
      <c r="N127" s="12"/>
      <c r="O127" s="16"/>
      <c r="P127" s="16"/>
      <c r="Q127" s="17"/>
      <c r="R127" s="16"/>
      <c r="S127" s="12"/>
      <c r="T127" s="12" t="s">
        <v>728</v>
      </c>
      <c r="U127" s="12" t="s">
        <v>802</v>
      </c>
    </row>
    <row r="128" spans="1:21" ht="23.4" x14ac:dyDescent="0.3">
      <c r="A128" s="12" t="s">
        <v>559</v>
      </c>
      <c r="B128" s="12" t="s">
        <v>55</v>
      </c>
      <c r="C128" s="12" t="s">
        <v>803</v>
      </c>
      <c r="D128" s="12" t="s">
        <v>804</v>
      </c>
      <c r="E128" s="13" t="s">
        <v>794</v>
      </c>
      <c r="F128" s="13" t="s">
        <v>795</v>
      </c>
      <c r="G128" s="13" t="s">
        <v>805</v>
      </c>
      <c r="H128" s="13" t="s">
        <v>797</v>
      </c>
      <c r="I128" s="14" t="s">
        <v>113</v>
      </c>
      <c r="J128" s="13" t="s">
        <v>63</v>
      </c>
      <c r="K128" s="15" t="s">
        <v>64</v>
      </c>
      <c r="L128" s="15"/>
      <c r="M128" s="15"/>
      <c r="N128" s="12"/>
      <c r="O128" s="16"/>
      <c r="P128" s="16"/>
      <c r="Q128" s="17"/>
      <c r="R128" s="16"/>
      <c r="S128" s="12"/>
      <c r="T128" s="12" t="s">
        <v>723</v>
      </c>
      <c r="U128" s="12" t="s">
        <v>806</v>
      </c>
    </row>
    <row r="129" spans="1:21" ht="23.4" x14ac:dyDescent="0.3">
      <c r="A129" s="12" t="s">
        <v>559</v>
      </c>
      <c r="B129" s="12" t="s">
        <v>55</v>
      </c>
      <c r="C129" s="12" t="s">
        <v>807</v>
      </c>
      <c r="D129" s="12" t="s">
        <v>804</v>
      </c>
      <c r="E129" s="13" t="s">
        <v>794</v>
      </c>
      <c r="F129" s="13" t="s">
        <v>795</v>
      </c>
      <c r="G129" s="13" t="s">
        <v>805</v>
      </c>
      <c r="H129" s="13" t="s">
        <v>797</v>
      </c>
      <c r="I129" s="14" t="s">
        <v>113</v>
      </c>
      <c r="J129" s="13" t="s">
        <v>63</v>
      </c>
      <c r="K129" s="15" t="s">
        <v>64</v>
      </c>
      <c r="L129" s="15"/>
      <c r="M129" s="15"/>
      <c r="N129" s="12"/>
      <c r="O129" s="16"/>
      <c r="P129" s="16"/>
      <c r="Q129" s="17"/>
      <c r="R129" s="16"/>
      <c r="S129" s="12"/>
      <c r="T129" s="12" t="s">
        <v>723</v>
      </c>
      <c r="U129" s="12" t="s">
        <v>808</v>
      </c>
    </row>
    <row r="130" spans="1:21" ht="23.4" x14ac:dyDescent="0.3">
      <c r="A130" s="12" t="s">
        <v>559</v>
      </c>
      <c r="B130" s="12" t="s">
        <v>55</v>
      </c>
      <c r="C130" s="12" t="s">
        <v>809</v>
      </c>
      <c r="D130" s="12" t="s">
        <v>804</v>
      </c>
      <c r="E130" s="13" t="s">
        <v>794</v>
      </c>
      <c r="F130" s="13" t="s">
        <v>795</v>
      </c>
      <c r="G130" s="13" t="s">
        <v>805</v>
      </c>
      <c r="H130" s="13" t="s">
        <v>797</v>
      </c>
      <c r="I130" s="14" t="s">
        <v>113</v>
      </c>
      <c r="J130" s="13" t="s">
        <v>63</v>
      </c>
      <c r="K130" s="15" t="s">
        <v>64</v>
      </c>
      <c r="L130" s="15"/>
      <c r="M130" s="15"/>
      <c r="N130" s="12"/>
      <c r="O130" s="16"/>
      <c r="P130" s="16"/>
      <c r="Q130" s="17"/>
      <c r="R130" s="16"/>
      <c r="S130" s="12"/>
      <c r="T130" s="12" t="s">
        <v>723</v>
      </c>
      <c r="U130" s="12" t="s">
        <v>810</v>
      </c>
    </row>
    <row r="131" spans="1:21" ht="23.4" x14ac:dyDescent="0.3">
      <c r="A131" s="12" t="s">
        <v>559</v>
      </c>
      <c r="B131" s="12" t="s">
        <v>55</v>
      </c>
      <c r="C131" s="12" t="s">
        <v>811</v>
      </c>
      <c r="D131" s="12" t="s">
        <v>812</v>
      </c>
      <c r="E131" s="13" t="s">
        <v>794</v>
      </c>
      <c r="F131" s="13" t="s">
        <v>795</v>
      </c>
      <c r="G131" s="13" t="s">
        <v>805</v>
      </c>
      <c r="H131" s="13" t="s">
        <v>813</v>
      </c>
      <c r="I131" s="14" t="s">
        <v>113</v>
      </c>
      <c r="J131" s="13" t="s">
        <v>63</v>
      </c>
      <c r="K131" s="15" t="s">
        <v>64</v>
      </c>
      <c r="L131" s="15"/>
      <c r="M131" s="15"/>
      <c r="N131" s="12"/>
      <c r="O131" s="16"/>
      <c r="P131" s="16"/>
      <c r="Q131" s="17"/>
      <c r="R131" s="16"/>
      <c r="S131" s="12"/>
      <c r="T131" s="12" t="s">
        <v>716</v>
      </c>
      <c r="U131" s="12" t="s">
        <v>814</v>
      </c>
    </row>
    <row r="132" spans="1:21" ht="23.4" x14ac:dyDescent="0.3">
      <c r="A132" s="12" t="s">
        <v>559</v>
      </c>
      <c r="B132" s="12" t="s">
        <v>55</v>
      </c>
      <c r="C132" s="12" t="s">
        <v>815</v>
      </c>
      <c r="D132" s="12" t="s">
        <v>816</v>
      </c>
      <c r="E132" s="13" t="s">
        <v>794</v>
      </c>
      <c r="F132" s="13" t="s">
        <v>795</v>
      </c>
      <c r="G132" s="13" t="s">
        <v>805</v>
      </c>
      <c r="H132" s="13" t="s">
        <v>817</v>
      </c>
      <c r="I132" s="14" t="s">
        <v>113</v>
      </c>
      <c r="J132" s="13" t="s">
        <v>63</v>
      </c>
      <c r="K132" s="15" t="s">
        <v>64</v>
      </c>
      <c r="L132" s="15"/>
      <c r="M132" s="15"/>
      <c r="N132" s="12"/>
      <c r="O132" s="16"/>
      <c r="P132" s="16"/>
      <c r="Q132" s="17"/>
      <c r="R132" s="16"/>
      <c r="S132" s="12"/>
      <c r="T132" s="12" t="s">
        <v>716</v>
      </c>
      <c r="U132" s="12" t="s">
        <v>818</v>
      </c>
    </row>
    <row r="133" spans="1:21" ht="45.6" x14ac:dyDescent="0.3">
      <c r="A133" s="12" t="s">
        <v>559</v>
      </c>
      <c r="B133" s="12" t="s">
        <v>55</v>
      </c>
      <c r="C133" s="12" t="s">
        <v>819</v>
      </c>
      <c r="D133" s="12" t="s">
        <v>820</v>
      </c>
      <c r="E133" s="13" t="s">
        <v>794</v>
      </c>
      <c r="F133" s="13" t="s">
        <v>795</v>
      </c>
      <c r="G133" s="13" t="s">
        <v>821</v>
      </c>
      <c r="H133" s="13" t="s">
        <v>797</v>
      </c>
      <c r="I133" s="14" t="s">
        <v>113</v>
      </c>
      <c r="J133" s="13" t="s">
        <v>63</v>
      </c>
      <c r="K133" s="15" t="s">
        <v>64</v>
      </c>
      <c r="L133" s="15"/>
      <c r="M133" s="15"/>
      <c r="N133" s="12"/>
      <c r="O133" s="16"/>
      <c r="P133" s="16"/>
      <c r="Q133" s="17"/>
      <c r="R133" s="16"/>
      <c r="S133" s="12"/>
      <c r="T133" s="12" t="s">
        <v>723</v>
      </c>
      <c r="U133" s="12" t="s">
        <v>822</v>
      </c>
    </row>
    <row r="134" spans="1:21" ht="23.4" x14ac:dyDescent="0.3">
      <c r="A134" s="12" t="s">
        <v>559</v>
      </c>
      <c r="B134" s="12" t="s">
        <v>55</v>
      </c>
      <c r="C134" s="12" t="s">
        <v>823</v>
      </c>
      <c r="D134" s="12" t="s">
        <v>824</v>
      </c>
      <c r="E134" s="13" t="s">
        <v>794</v>
      </c>
      <c r="F134" s="13" t="s">
        <v>795</v>
      </c>
      <c r="G134" s="13" t="s">
        <v>805</v>
      </c>
      <c r="H134" s="13" t="s">
        <v>825</v>
      </c>
      <c r="I134" s="14" t="s">
        <v>113</v>
      </c>
      <c r="J134" s="13" t="s">
        <v>63</v>
      </c>
      <c r="K134" s="15" t="s">
        <v>64</v>
      </c>
      <c r="L134" s="15"/>
      <c r="M134" s="15"/>
      <c r="N134" s="12"/>
      <c r="O134" s="16"/>
      <c r="P134" s="16"/>
      <c r="Q134" s="17"/>
      <c r="R134" s="16"/>
      <c r="S134" s="12"/>
      <c r="T134" s="12" t="s">
        <v>723</v>
      </c>
      <c r="U134" s="12" t="s">
        <v>826</v>
      </c>
    </row>
    <row r="135" spans="1:21" ht="46.2" x14ac:dyDescent="0.3">
      <c r="A135" s="18" t="s">
        <v>827</v>
      </c>
      <c r="B135" s="18" t="s">
        <v>391</v>
      </c>
      <c r="C135" s="18" t="s">
        <v>828</v>
      </c>
      <c r="D135" s="12" t="s">
        <v>829</v>
      </c>
      <c r="E135" s="12" t="s">
        <v>830</v>
      </c>
      <c r="F135" s="12" t="s">
        <v>831</v>
      </c>
      <c r="G135" s="12"/>
      <c r="H135" s="13"/>
      <c r="I135" s="14" t="s">
        <v>113</v>
      </c>
      <c r="J135" s="13"/>
      <c r="K135" s="15" t="s">
        <v>832</v>
      </c>
      <c r="L135" s="15" t="s">
        <v>833</v>
      </c>
      <c r="M135" s="15" t="s">
        <v>834</v>
      </c>
      <c r="N135" s="12"/>
      <c r="O135" s="16"/>
      <c r="P135" s="16"/>
      <c r="Q135" s="17">
        <v>601341.12</v>
      </c>
      <c r="R135" s="16">
        <f>Q135-SUM(P136,P137,P138)</f>
        <v>54399.960000000079</v>
      </c>
      <c r="S135" s="12" t="s">
        <v>835</v>
      </c>
      <c r="T135" s="12" t="s">
        <v>836</v>
      </c>
      <c r="U135" s="12"/>
    </row>
    <row r="136" spans="1:21" ht="46.2" x14ac:dyDescent="0.3">
      <c r="A136" s="11" t="s">
        <v>837</v>
      </c>
      <c r="B136" s="11" t="s">
        <v>40</v>
      </c>
      <c r="C136" s="11" t="s">
        <v>838</v>
      </c>
      <c r="D136" s="12" t="s">
        <v>839</v>
      </c>
      <c r="E136" s="12" t="s">
        <v>830</v>
      </c>
      <c r="F136" s="12" t="s">
        <v>840</v>
      </c>
      <c r="G136" s="12" t="s">
        <v>841</v>
      </c>
      <c r="H136" s="13" t="s">
        <v>842</v>
      </c>
      <c r="I136" s="14" t="s">
        <v>113</v>
      </c>
      <c r="J136" s="13" t="s">
        <v>843</v>
      </c>
      <c r="K136" s="15" t="s">
        <v>832</v>
      </c>
      <c r="L136" s="15" t="s">
        <v>833</v>
      </c>
      <c r="M136" s="15" t="s">
        <v>834</v>
      </c>
      <c r="N136" s="12">
        <v>2</v>
      </c>
      <c r="O136" s="16">
        <v>124911.76</v>
      </c>
      <c r="P136" s="16">
        <v>249823.52</v>
      </c>
      <c r="Q136" s="17"/>
      <c r="R136" s="16"/>
      <c r="S136" s="12" t="s">
        <v>844</v>
      </c>
      <c r="T136" s="12" t="s">
        <v>845</v>
      </c>
      <c r="U136" s="12" t="s">
        <v>846</v>
      </c>
    </row>
    <row r="137" spans="1:21" ht="46.2" x14ac:dyDescent="0.3">
      <c r="A137" s="11" t="s">
        <v>847</v>
      </c>
      <c r="B137" s="11" t="s">
        <v>40</v>
      </c>
      <c r="C137" s="11" t="s">
        <v>848</v>
      </c>
      <c r="D137" s="12" t="s">
        <v>849</v>
      </c>
      <c r="E137" s="12" t="s">
        <v>830</v>
      </c>
      <c r="F137" s="12" t="s">
        <v>840</v>
      </c>
      <c r="G137" s="12" t="s">
        <v>850</v>
      </c>
      <c r="H137" s="13" t="s">
        <v>842</v>
      </c>
      <c r="I137" s="14" t="s">
        <v>113</v>
      </c>
      <c r="J137" s="13" t="s">
        <v>843</v>
      </c>
      <c r="K137" s="15" t="s">
        <v>832</v>
      </c>
      <c r="L137" s="15" t="s">
        <v>833</v>
      </c>
      <c r="M137" s="15" t="s">
        <v>834</v>
      </c>
      <c r="N137" s="12">
        <v>2</v>
      </c>
      <c r="O137" s="16">
        <v>88529.41</v>
      </c>
      <c r="P137" s="16">
        <v>177058.82</v>
      </c>
      <c r="Q137" s="17"/>
      <c r="R137" s="16"/>
      <c r="S137" s="12" t="s">
        <v>844</v>
      </c>
      <c r="T137" s="12" t="s">
        <v>851</v>
      </c>
      <c r="U137" s="12" t="s">
        <v>846</v>
      </c>
    </row>
    <row r="138" spans="1:21" ht="46.2" x14ac:dyDescent="0.3">
      <c r="A138" s="11" t="s">
        <v>852</v>
      </c>
      <c r="B138" s="11" t="s">
        <v>40</v>
      </c>
      <c r="C138" s="11" t="s">
        <v>853</v>
      </c>
      <c r="D138" s="12" t="s">
        <v>854</v>
      </c>
      <c r="E138" s="12" t="s">
        <v>830</v>
      </c>
      <c r="F138" s="12" t="s">
        <v>840</v>
      </c>
      <c r="G138" s="12" t="s">
        <v>855</v>
      </c>
      <c r="H138" s="13" t="s">
        <v>842</v>
      </c>
      <c r="I138" s="14" t="s">
        <v>113</v>
      </c>
      <c r="J138" s="13" t="s">
        <v>843</v>
      </c>
      <c r="K138" s="15" t="s">
        <v>832</v>
      </c>
      <c r="L138" s="15" t="s">
        <v>833</v>
      </c>
      <c r="M138" s="15" t="s">
        <v>834</v>
      </c>
      <c r="N138" s="12">
        <v>2</v>
      </c>
      <c r="O138" s="16">
        <v>60029.41</v>
      </c>
      <c r="P138" s="16">
        <v>120058.82</v>
      </c>
      <c r="Q138" s="17"/>
      <c r="R138" s="16"/>
      <c r="S138" s="12" t="s">
        <v>844</v>
      </c>
      <c r="T138" s="12" t="s">
        <v>856</v>
      </c>
      <c r="U138" s="12" t="s">
        <v>846</v>
      </c>
    </row>
    <row r="139" spans="1:21" ht="160.19999999999999" x14ac:dyDescent="0.3">
      <c r="A139" s="11" t="s">
        <v>857</v>
      </c>
      <c r="B139" s="11" t="s">
        <v>40</v>
      </c>
      <c r="C139" s="11" t="s">
        <v>858</v>
      </c>
      <c r="D139" s="12" t="s">
        <v>859</v>
      </c>
      <c r="E139" s="13" t="s">
        <v>860</v>
      </c>
      <c r="F139" s="19" t="s">
        <v>861</v>
      </c>
      <c r="G139" s="19" t="s">
        <v>862</v>
      </c>
      <c r="H139" s="13" t="s">
        <v>863</v>
      </c>
      <c r="I139" s="14" t="s">
        <v>864</v>
      </c>
      <c r="J139" s="13" t="s">
        <v>865</v>
      </c>
      <c r="K139" s="15" t="s">
        <v>866</v>
      </c>
      <c r="L139" s="15" t="s">
        <v>867</v>
      </c>
      <c r="M139" s="15" t="s">
        <v>868</v>
      </c>
      <c r="N139" s="12">
        <v>1</v>
      </c>
      <c r="O139" s="16">
        <v>3163087.46</v>
      </c>
      <c r="P139" s="16">
        <v>3163087.46</v>
      </c>
      <c r="Q139" s="17">
        <v>3163087.46</v>
      </c>
      <c r="R139" s="16">
        <f>Q139-P139</f>
        <v>0</v>
      </c>
      <c r="S139" s="12" t="s">
        <v>869</v>
      </c>
      <c r="T139" s="12" t="s">
        <v>870</v>
      </c>
      <c r="U139" s="12" t="s">
        <v>871</v>
      </c>
    </row>
    <row r="140" spans="1:21" ht="69" x14ac:dyDescent="0.3">
      <c r="A140" s="12" t="s">
        <v>857</v>
      </c>
      <c r="B140" s="12" t="s">
        <v>55</v>
      </c>
      <c r="C140" s="12" t="s">
        <v>872</v>
      </c>
      <c r="D140" s="12" t="s">
        <v>873</v>
      </c>
      <c r="E140" s="13" t="s">
        <v>860</v>
      </c>
      <c r="F140" s="19" t="s">
        <v>874</v>
      </c>
      <c r="G140" s="13" t="s">
        <v>875</v>
      </c>
      <c r="H140" s="19" t="s">
        <v>876</v>
      </c>
      <c r="I140" s="14" t="s">
        <v>877</v>
      </c>
      <c r="J140" s="13" t="s">
        <v>135</v>
      </c>
      <c r="K140" s="15" t="s">
        <v>64</v>
      </c>
      <c r="L140" s="15"/>
      <c r="M140" s="15"/>
      <c r="N140" s="12"/>
      <c r="O140" s="16"/>
      <c r="P140" s="16"/>
      <c r="Q140" s="17"/>
      <c r="R140" s="16"/>
      <c r="S140" s="12"/>
      <c r="T140" s="12" t="s">
        <v>878</v>
      </c>
      <c r="U140" s="12" t="s">
        <v>879</v>
      </c>
    </row>
    <row r="141" spans="1:21" ht="34.799999999999997" x14ac:dyDescent="0.3">
      <c r="A141" s="12" t="s">
        <v>857</v>
      </c>
      <c r="B141" s="12" t="s">
        <v>55</v>
      </c>
      <c r="C141" s="12" t="s">
        <v>880</v>
      </c>
      <c r="D141" s="12" t="s">
        <v>881</v>
      </c>
      <c r="E141" s="13" t="s">
        <v>860</v>
      </c>
      <c r="F141" s="19" t="s">
        <v>882</v>
      </c>
      <c r="G141" s="13" t="s">
        <v>883</v>
      </c>
      <c r="H141" s="19" t="s">
        <v>884</v>
      </c>
      <c r="I141" s="14" t="s">
        <v>113</v>
      </c>
      <c r="J141" s="13" t="s">
        <v>135</v>
      </c>
      <c r="K141" s="15" t="s">
        <v>64</v>
      </c>
      <c r="L141" s="15"/>
      <c r="M141" s="15"/>
      <c r="N141" s="12"/>
      <c r="O141" s="16"/>
      <c r="P141" s="16"/>
      <c r="Q141" s="17"/>
      <c r="R141" s="16"/>
      <c r="S141" s="12"/>
      <c r="T141" s="12" t="s">
        <v>885</v>
      </c>
      <c r="U141" s="12" t="s">
        <v>886</v>
      </c>
    </row>
    <row r="142" spans="1:21" ht="34.799999999999997" x14ac:dyDescent="0.3">
      <c r="A142" s="12" t="s">
        <v>857</v>
      </c>
      <c r="B142" s="12" t="s">
        <v>55</v>
      </c>
      <c r="C142" s="12" t="s">
        <v>887</v>
      </c>
      <c r="D142" s="12" t="s">
        <v>888</v>
      </c>
      <c r="E142" s="19" t="s">
        <v>860</v>
      </c>
      <c r="F142" s="19" t="s">
        <v>889</v>
      </c>
      <c r="G142" s="19" t="s">
        <v>890</v>
      </c>
      <c r="H142" s="19" t="s">
        <v>891</v>
      </c>
      <c r="I142" s="14" t="s">
        <v>892</v>
      </c>
      <c r="J142" s="13" t="s">
        <v>63</v>
      </c>
      <c r="K142" s="15" t="s">
        <v>64</v>
      </c>
      <c r="L142" s="15"/>
      <c r="M142" s="15"/>
      <c r="N142" s="12"/>
      <c r="O142" s="16"/>
      <c r="P142" s="16"/>
      <c r="Q142" s="17"/>
      <c r="R142" s="16"/>
      <c r="S142" s="12"/>
      <c r="T142" s="12" t="s">
        <v>893</v>
      </c>
      <c r="U142" s="12"/>
    </row>
    <row r="143" spans="1:21" ht="57.6" x14ac:dyDescent="0.3">
      <c r="A143" s="12" t="s">
        <v>857</v>
      </c>
      <c r="B143" s="12" t="s">
        <v>55</v>
      </c>
      <c r="C143" s="12" t="s">
        <v>894</v>
      </c>
      <c r="D143" s="12" t="s">
        <v>895</v>
      </c>
      <c r="E143" s="13" t="s">
        <v>860</v>
      </c>
      <c r="F143" s="19" t="s">
        <v>896</v>
      </c>
      <c r="G143" s="13" t="s">
        <v>897</v>
      </c>
      <c r="H143" s="19" t="s">
        <v>898</v>
      </c>
      <c r="I143" s="14" t="s">
        <v>899</v>
      </c>
      <c r="J143" s="13" t="s">
        <v>135</v>
      </c>
      <c r="K143" s="15" t="s">
        <v>64</v>
      </c>
      <c r="L143" s="15"/>
      <c r="M143" s="15"/>
      <c r="N143" s="12"/>
      <c r="O143" s="16"/>
      <c r="P143" s="16"/>
      <c r="Q143" s="17"/>
      <c r="R143" s="16"/>
      <c r="S143" s="12"/>
      <c r="T143" s="12" t="s">
        <v>900</v>
      </c>
      <c r="U143" s="12" t="s">
        <v>901</v>
      </c>
    </row>
    <row r="144" spans="1:21" ht="34.799999999999997" x14ac:dyDescent="0.3">
      <c r="A144" s="12" t="s">
        <v>857</v>
      </c>
      <c r="B144" s="12" t="s">
        <v>55</v>
      </c>
      <c r="C144" s="12" t="s">
        <v>902</v>
      </c>
      <c r="D144" s="12" t="s">
        <v>903</v>
      </c>
      <c r="E144" s="19" t="s">
        <v>860</v>
      </c>
      <c r="F144" s="19" t="s">
        <v>904</v>
      </c>
      <c r="G144" s="19" t="s">
        <v>110</v>
      </c>
      <c r="H144" s="19" t="s">
        <v>898</v>
      </c>
      <c r="I144" s="14" t="s">
        <v>899</v>
      </c>
      <c r="J144" s="13" t="s">
        <v>63</v>
      </c>
      <c r="K144" s="15" t="s">
        <v>64</v>
      </c>
      <c r="L144" s="15"/>
      <c r="M144" s="15"/>
      <c r="N144" s="12"/>
      <c r="O144" s="16"/>
      <c r="P144" s="16"/>
      <c r="Q144" s="17"/>
      <c r="R144" s="16"/>
      <c r="S144" s="12"/>
      <c r="T144" s="12" t="s">
        <v>885</v>
      </c>
      <c r="U144" s="12"/>
    </row>
    <row r="145" spans="1:21" ht="46.2" x14ac:dyDescent="0.3">
      <c r="A145" s="12" t="s">
        <v>857</v>
      </c>
      <c r="B145" s="12" t="s">
        <v>55</v>
      </c>
      <c r="C145" s="12" t="s">
        <v>905</v>
      </c>
      <c r="D145" s="12" t="s">
        <v>906</v>
      </c>
      <c r="E145" s="13" t="s">
        <v>860</v>
      </c>
      <c r="F145" s="19" t="s">
        <v>907</v>
      </c>
      <c r="G145" s="13" t="s">
        <v>908</v>
      </c>
      <c r="H145" s="19" t="s">
        <v>909</v>
      </c>
      <c r="I145" s="14" t="s">
        <v>910</v>
      </c>
      <c r="J145" s="13" t="s">
        <v>135</v>
      </c>
      <c r="K145" s="15" t="s">
        <v>64</v>
      </c>
      <c r="L145" s="15"/>
      <c r="M145" s="15"/>
      <c r="N145" s="12"/>
      <c r="O145" s="16"/>
      <c r="P145" s="16"/>
      <c r="Q145" s="17"/>
      <c r="R145" s="16"/>
      <c r="S145" s="12"/>
      <c r="T145" s="12" t="s">
        <v>911</v>
      </c>
      <c r="U145" s="12" t="s">
        <v>912</v>
      </c>
    </row>
    <row r="146" spans="1:21" ht="57.6" x14ac:dyDescent="0.3">
      <c r="A146" s="12" t="s">
        <v>857</v>
      </c>
      <c r="B146" s="12" t="s">
        <v>55</v>
      </c>
      <c r="C146" s="12" t="s">
        <v>913</v>
      </c>
      <c r="D146" s="12" t="s">
        <v>914</v>
      </c>
      <c r="E146" s="13" t="s">
        <v>915</v>
      </c>
      <c r="F146" s="19" t="s">
        <v>916</v>
      </c>
      <c r="G146" s="13" t="s">
        <v>917</v>
      </c>
      <c r="H146" s="19" t="s">
        <v>918</v>
      </c>
      <c r="I146" s="14" t="s">
        <v>919</v>
      </c>
      <c r="J146" s="13" t="s">
        <v>135</v>
      </c>
      <c r="K146" s="15" t="s">
        <v>64</v>
      </c>
      <c r="L146" s="15"/>
      <c r="M146" s="15"/>
      <c r="N146" s="12"/>
      <c r="O146" s="16"/>
      <c r="P146" s="16"/>
      <c r="Q146" s="17"/>
      <c r="R146" s="16"/>
      <c r="S146" s="12"/>
      <c r="T146" s="12" t="s">
        <v>920</v>
      </c>
      <c r="U146" s="12" t="s">
        <v>921</v>
      </c>
    </row>
    <row r="147" spans="1:21" ht="46.2" x14ac:dyDescent="0.3">
      <c r="A147" s="12" t="s">
        <v>857</v>
      </c>
      <c r="B147" s="12" t="s">
        <v>55</v>
      </c>
      <c r="C147" s="12" t="s">
        <v>922</v>
      </c>
      <c r="D147" s="12" t="s">
        <v>923</v>
      </c>
      <c r="E147" s="13" t="s">
        <v>860</v>
      </c>
      <c r="F147" s="19" t="s">
        <v>924</v>
      </c>
      <c r="G147" s="13" t="s">
        <v>925</v>
      </c>
      <c r="H147" s="19" t="s">
        <v>926</v>
      </c>
      <c r="I147" s="14" t="s">
        <v>927</v>
      </c>
      <c r="J147" s="13" t="s">
        <v>135</v>
      </c>
      <c r="K147" s="15" t="s">
        <v>64</v>
      </c>
      <c r="L147" s="15"/>
      <c r="M147" s="15"/>
      <c r="N147" s="12"/>
      <c r="O147" s="16"/>
      <c r="P147" s="16"/>
      <c r="Q147" s="17"/>
      <c r="R147" s="16"/>
      <c r="S147" s="12"/>
      <c r="T147" s="12" t="s">
        <v>928</v>
      </c>
      <c r="U147" s="12" t="s">
        <v>929</v>
      </c>
    </row>
    <row r="148" spans="1:21" ht="34.799999999999997" x14ac:dyDescent="0.3">
      <c r="A148" s="12" t="s">
        <v>857</v>
      </c>
      <c r="B148" s="12" t="s">
        <v>55</v>
      </c>
      <c r="C148" s="12" t="s">
        <v>930</v>
      </c>
      <c r="D148" s="12" t="s">
        <v>931</v>
      </c>
      <c r="E148" s="19" t="s">
        <v>860</v>
      </c>
      <c r="F148" s="19" t="s">
        <v>932</v>
      </c>
      <c r="G148" s="19" t="s">
        <v>933</v>
      </c>
      <c r="H148" s="19" t="s">
        <v>934</v>
      </c>
      <c r="I148" s="14" t="s">
        <v>935</v>
      </c>
      <c r="J148" s="13" t="s">
        <v>63</v>
      </c>
      <c r="K148" s="15" t="s">
        <v>64</v>
      </c>
      <c r="L148" s="15"/>
      <c r="M148" s="15"/>
      <c r="N148" s="12"/>
      <c r="O148" s="16"/>
      <c r="P148" s="16"/>
      <c r="Q148" s="17"/>
      <c r="R148" s="16"/>
      <c r="S148" s="12"/>
      <c r="T148" s="12" t="s">
        <v>936</v>
      </c>
      <c r="U148" s="12"/>
    </row>
    <row r="149" spans="1:21" ht="46.2" x14ac:dyDescent="0.3">
      <c r="A149" s="12" t="s">
        <v>857</v>
      </c>
      <c r="B149" s="12" t="s">
        <v>55</v>
      </c>
      <c r="C149" s="12" t="s">
        <v>937</v>
      </c>
      <c r="D149" s="12" t="s">
        <v>938</v>
      </c>
      <c r="E149" s="13" t="s">
        <v>939</v>
      </c>
      <c r="F149" s="19" t="s">
        <v>940</v>
      </c>
      <c r="G149" s="13" t="s">
        <v>941</v>
      </c>
      <c r="H149" s="19" t="s">
        <v>934</v>
      </c>
      <c r="I149" s="14" t="s">
        <v>942</v>
      </c>
      <c r="J149" s="13" t="s">
        <v>63</v>
      </c>
      <c r="K149" s="15" t="s">
        <v>64</v>
      </c>
      <c r="L149" s="15"/>
      <c r="M149" s="15"/>
      <c r="N149" s="12"/>
      <c r="O149" s="16"/>
      <c r="P149" s="16"/>
      <c r="Q149" s="17"/>
      <c r="R149" s="16"/>
      <c r="S149" s="12"/>
      <c r="T149" s="12" t="s">
        <v>943</v>
      </c>
      <c r="U149" s="12" t="s">
        <v>944</v>
      </c>
    </row>
    <row r="150" spans="1:21" ht="46.2" x14ac:dyDescent="0.3">
      <c r="A150" s="12" t="s">
        <v>857</v>
      </c>
      <c r="B150" s="12" t="s">
        <v>55</v>
      </c>
      <c r="C150" s="12" t="s">
        <v>945</v>
      </c>
      <c r="D150" s="12" t="s">
        <v>946</v>
      </c>
      <c r="E150" s="13" t="s">
        <v>939</v>
      </c>
      <c r="F150" s="19" t="s">
        <v>947</v>
      </c>
      <c r="G150" s="13" t="s">
        <v>948</v>
      </c>
      <c r="H150" s="19" t="s">
        <v>934</v>
      </c>
      <c r="I150" s="14" t="s">
        <v>949</v>
      </c>
      <c r="J150" s="13" t="s">
        <v>63</v>
      </c>
      <c r="K150" s="15" t="s">
        <v>64</v>
      </c>
      <c r="L150" s="15"/>
      <c r="M150" s="15"/>
      <c r="N150" s="12"/>
      <c r="O150" s="16"/>
      <c r="P150" s="16"/>
      <c r="Q150" s="17"/>
      <c r="R150" s="16"/>
      <c r="S150" s="12"/>
      <c r="T150" s="12" t="s">
        <v>885</v>
      </c>
      <c r="U150" s="12" t="s">
        <v>950</v>
      </c>
    </row>
    <row r="151" spans="1:21" ht="34.799999999999997" x14ac:dyDescent="0.3">
      <c r="A151" s="12" t="s">
        <v>857</v>
      </c>
      <c r="B151" s="12" t="s">
        <v>55</v>
      </c>
      <c r="C151" s="12" t="s">
        <v>951</v>
      </c>
      <c r="D151" s="12" t="s">
        <v>952</v>
      </c>
      <c r="E151" s="13" t="s">
        <v>860</v>
      </c>
      <c r="F151" s="19" t="s">
        <v>953</v>
      </c>
      <c r="G151" s="13" t="s">
        <v>954</v>
      </c>
      <c r="H151" s="19" t="s">
        <v>955</v>
      </c>
      <c r="I151" s="14" t="s">
        <v>956</v>
      </c>
      <c r="J151" s="13" t="s">
        <v>135</v>
      </c>
      <c r="K151" s="15" t="s">
        <v>64</v>
      </c>
      <c r="L151" s="15"/>
      <c r="M151" s="15"/>
      <c r="N151" s="12"/>
      <c r="O151" s="16"/>
      <c r="P151" s="16"/>
      <c r="Q151" s="17"/>
      <c r="R151" s="16"/>
      <c r="S151" s="12"/>
      <c r="T151" s="12" t="s">
        <v>885</v>
      </c>
      <c r="U151" s="12" t="s">
        <v>957</v>
      </c>
    </row>
    <row r="152" spans="1:21" ht="34.799999999999997" x14ac:dyDescent="0.3">
      <c r="A152" s="12" t="s">
        <v>857</v>
      </c>
      <c r="B152" s="12" t="s">
        <v>55</v>
      </c>
      <c r="C152" s="12" t="s">
        <v>958</v>
      </c>
      <c r="D152" s="12" t="s">
        <v>959</v>
      </c>
      <c r="E152" s="13" t="s">
        <v>860</v>
      </c>
      <c r="F152" s="19" t="s">
        <v>960</v>
      </c>
      <c r="G152" s="13" t="s">
        <v>110</v>
      </c>
      <c r="H152" s="19" t="s">
        <v>961</v>
      </c>
      <c r="I152" s="14" t="s">
        <v>962</v>
      </c>
      <c r="J152" s="13" t="s">
        <v>135</v>
      </c>
      <c r="K152" s="15" t="s">
        <v>64</v>
      </c>
      <c r="L152" s="15"/>
      <c r="M152" s="15"/>
      <c r="N152" s="12"/>
      <c r="O152" s="16"/>
      <c r="P152" s="16"/>
      <c r="Q152" s="17"/>
      <c r="R152" s="16"/>
      <c r="S152" s="12"/>
      <c r="T152" s="12" t="s">
        <v>885</v>
      </c>
      <c r="U152" s="12" t="s">
        <v>963</v>
      </c>
    </row>
    <row r="153" spans="1:21" ht="22.8" x14ac:dyDescent="0.3">
      <c r="A153" s="12" t="s">
        <v>857</v>
      </c>
      <c r="B153" s="12" t="s">
        <v>55</v>
      </c>
      <c r="C153" s="12" t="s">
        <v>964</v>
      </c>
      <c r="D153" s="12" t="s">
        <v>965</v>
      </c>
      <c r="E153" s="19" t="s">
        <v>860</v>
      </c>
      <c r="F153" s="19" t="s">
        <v>966</v>
      </c>
      <c r="G153" s="19" t="s">
        <v>110</v>
      </c>
      <c r="H153" s="19" t="s">
        <v>110</v>
      </c>
      <c r="I153" s="14" t="s">
        <v>113</v>
      </c>
      <c r="J153" s="13" t="s">
        <v>63</v>
      </c>
      <c r="K153" s="15" t="s">
        <v>64</v>
      </c>
      <c r="L153" s="15"/>
      <c r="M153" s="15"/>
      <c r="N153" s="12"/>
      <c r="O153" s="16"/>
      <c r="P153" s="16"/>
      <c r="Q153" s="17"/>
      <c r="R153" s="16"/>
      <c r="S153" s="12"/>
      <c r="T153" s="12" t="s">
        <v>967</v>
      </c>
      <c r="U153" s="12"/>
    </row>
    <row r="154" spans="1:21" ht="46.2" x14ac:dyDescent="0.3">
      <c r="A154" s="12" t="s">
        <v>857</v>
      </c>
      <c r="B154" s="12" t="s">
        <v>55</v>
      </c>
      <c r="C154" s="12" t="s">
        <v>968</v>
      </c>
      <c r="D154" s="12" t="s">
        <v>969</v>
      </c>
      <c r="E154" s="13" t="s">
        <v>970</v>
      </c>
      <c r="F154" s="19" t="s">
        <v>971</v>
      </c>
      <c r="G154" s="13" t="s">
        <v>972</v>
      </c>
      <c r="H154" s="19" t="s">
        <v>973</v>
      </c>
      <c r="I154" s="14" t="s">
        <v>974</v>
      </c>
      <c r="J154" s="13" t="s">
        <v>63</v>
      </c>
      <c r="K154" s="15" t="s">
        <v>64</v>
      </c>
      <c r="L154" s="15"/>
      <c r="M154" s="15"/>
      <c r="N154" s="12"/>
      <c r="O154" s="16"/>
      <c r="P154" s="16"/>
      <c r="Q154" s="17"/>
      <c r="R154" s="16"/>
      <c r="S154" s="12"/>
      <c r="T154" s="12" t="s">
        <v>885</v>
      </c>
      <c r="U154" s="12" t="s">
        <v>975</v>
      </c>
    </row>
    <row r="155" spans="1:21" ht="22.8" x14ac:dyDescent="0.3">
      <c r="A155" s="12" t="s">
        <v>857</v>
      </c>
      <c r="B155" s="12" t="s">
        <v>55</v>
      </c>
      <c r="C155" s="12" t="s">
        <v>976</v>
      </c>
      <c r="D155" s="12" t="s">
        <v>977</v>
      </c>
      <c r="E155" s="19" t="s">
        <v>860</v>
      </c>
      <c r="F155" s="19" t="s">
        <v>978</v>
      </c>
      <c r="G155" s="19" t="s">
        <v>110</v>
      </c>
      <c r="H155" s="19" t="s">
        <v>973</v>
      </c>
      <c r="I155" s="14" t="s">
        <v>113</v>
      </c>
      <c r="J155" s="13" t="s">
        <v>63</v>
      </c>
      <c r="K155" s="15" t="s">
        <v>64</v>
      </c>
      <c r="L155" s="15"/>
      <c r="M155" s="15"/>
      <c r="N155" s="12"/>
      <c r="O155" s="16"/>
      <c r="P155" s="16"/>
      <c r="Q155" s="17"/>
      <c r="R155" s="16"/>
      <c r="S155" s="12"/>
      <c r="T155" s="12" t="s">
        <v>979</v>
      </c>
      <c r="U155" s="12"/>
    </row>
    <row r="156" spans="1:21" ht="23.4" x14ac:dyDescent="0.3">
      <c r="A156" s="12" t="s">
        <v>857</v>
      </c>
      <c r="B156" s="12" t="s">
        <v>55</v>
      </c>
      <c r="C156" s="12" t="s">
        <v>980</v>
      </c>
      <c r="D156" s="12" t="s">
        <v>981</v>
      </c>
      <c r="E156" s="19" t="s">
        <v>860</v>
      </c>
      <c r="F156" s="19" t="s">
        <v>982</v>
      </c>
      <c r="G156" s="19" t="s">
        <v>110</v>
      </c>
      <c r="H156" s="19" t="s">
        <v>983</v>
      </c>
      <c r="I156" s="14" t="s">
        <v>113</v>
      </c>
      <c r="J156" s="13" t="s">
        <v>63</v>
      </c>
      <c r="K156" s="15" t="s">
        <v>64</v>
      </c>
      <c r="L156" s="15"/>
      <c r="M156" s="15"/>
      <c r="N156" s="12"/>
      <c r="O156" s="16"/>
      <c r="P156" s="16"/>
      <c r="Q156" s="17"/>
      <c r="R156" s="16"/>
      <c r="S156" s="12"/>
      <c r="T156" s="12" t="s">
        <v>984</v>
      </c>
      <c r="U156" s="12"/>
    </row>
    <row r="157" spans="1:21" ht="22.8" x14ac:dyDescent="0.3">
      <c r="A157" s="12" t="s">
        <v>857</v>
      </c>
      <c r="B157" s="12" t="s">
        <v>55</v>
      </c>
      <c r="C157" s="12" t="s">
        <v>985</v>
      </c>
      <c r="D157" s="12" t="s">
        <v>986</v>
      </c>
      <c r="E157" s="19" t="s">
        <v>860</v>
      </c>
      <c r="F157" s="19" t="s">
        <v>987</v>
      </c>
      <c r="G157" s="19" t="s">
        <v>110</v>
      </c>
      <c r="H157" s="19" t="s">
        <v>988</v>
      </c>
      <c r="I157" s="14" t="s">
        <v>113</v>
      </c>
      <c r="J157" s="13" t="s">
        <v>63</v>
      </c>
      <c r="K157" s="15" t="s">
        <v>64</v>
      </c>
      <c r="L157" s="15"/>
      <c r="M157" s="15"/>
      <c r="N157" s="12"/>
      <c r="O157" s="16"/>
      <c r="P157" s="16"/>
      <c r="Q157" s="17"/>
      <c r="R157" s="16"/>
      <c r="S157" s="12"/>
      <c r="T157" s="12" t="s">
        <v>979</v>
      </c>
      <c r="U157" s="12"/>
    </row>
    <row r="158" spans="1:21" ht="46.2" x14ac:dyDescent="0.3">
      <c r="A158" s="12" t="s">
        <v>857</v>
      </c>
      <c r="B158" s="12" t="s">
        <v>55</v>
      </c>
      <c r="C158" s="12" t="s">
        <v>989</v>
      </c>
      <c r="D158" s="12" t="s">
        <v>990</v>
      </c>
      <c r="E158" s="13" t="s">
        <v>991</v>
      </c>
      <c r="F158" s="19" t="s">
        <v>992</v>
      </c>
      <c r="G158" s="13" t="s">
        <v>993</v>
      </c>
      <c r="H158" s="19" t="s">
        <v>994</v>
      </c>
      <c r="I158" s="14" t="s">
        <v>995</v>
      </c>
      <c r="J158" s="13" t="s">
        <v>135</v>
      </c>
      <c r="K158" s="15" t="s">
        <v>64</v>
      </c>
      <c r="L158" s="15"/>
      <c r="M158" s="15"/>
      <c r="N158" s="12"/>
      <c r="O158" s="16"/>
      <c r="P158" s="16"/>
      <c r="Q158" s="17"/>
      <c r="R158" s="16"/>
      <c r="S158" s="12"/>
      <c r="T158" s="12" t="s">
        <v>996</v>
      </c>
      <c r="U158" s="12" t="s">
        <v>997</v>
      </c>
    </row>
    <row r="159" spans="1:21" ht="22.8" x14ac:dyDescent="0.3">
      <c r="A159" s="12" t="s">
        <v>857</v>
      </c>
      <c r="B159" s="12" t="s">
        <v>55</v>
      </c>
      <c r="C159" s="12" t="s">
        <v>998</v>
      </c>
      <c r="D159" s="12" t="s">
        <v>999</v>
      </c>
      <c r="E159" s="19" t="s">
        <v>860</v>
      </c>
      <c r="F159" s="19" t="s">
        <v>1000</v>
      </c>
      <c r="G159" s="19" t="s">
        <v>110</v>
      </c>
      <c r="H159" s="19" t="s">
        <v>110</v>
      </c>
      <c r="I159" s="14" t="s">
        <v>113</v>
      </c>
      <c r="J159" s="13" t="s">
        <v>63</v>
      </c>
      <c r="K159" s="15" t="s">
        <v>64</v>
      </c>
      <c r="L159" s="15"/>
      <c r="M159" s="15"/>
      <c r="N159" s="12"/>
      <c r="O159" s="16"/>
      <c r="P159" s="16"/>
      <c r="Q159" s="17"/>
      <c r="R159" s="16"/>
      <c r="S159" s="12"/>
      <c r="T159" s="12" t="s">
        <v>1001</v>
      </c>
      <c r="U159" s="12"/>
    </row>
    <row r="160" spans="1:21" ht="46.2" x14ac:dyDescent="0.3">
      <c r="A160" s="12" t="s">
        <v>857</v>
      </c>
      <c r="B160" s="12" t="s">
        <v>55</v>
      </c>
      <c r="C160" s="12" t="s">
        <v>1002</v>
      </c>
      <c r="D160" s="12" t="s">
        <v>1003</v>
      </c>
      <c r="E160" s="13" t="s">
        <v>860</v>
      </c>
      <c r="F160" s="13" t="s">
        <v>110</v>
      </c>
      <c r="G160" s="13" t="s">
        <v>63</v>
      </c>
      <c r="H160" s="13" t="s">
        <v>1004</v>
      </c>
      <c r="I160" s="14" t="s">
        <v>1005</v>
      </c>
      <c r="J160" s="13" t="s">
        <v>135</v>
      </c>
      <c r="K160" s="15" t="s">
        <v>64</v>
      </c>
      <c r="L160" s="15"/>
      <c r="M160" s="15"/>
      <c r="N160" s="12"/>
      <c r="O160" s="16"/>
      <c r="P160" s="16"/>
      <c r="Q160" s="17"/>
      <c r="R160" s="16"/>
      <c r="S160" s="12"/>
      <c r="T160" s="12" t="s">
        <v>1006</v>
      </c>
      <c r="U160" s="12" t="s">
        <v>1007</v>
      </c>
    </row>
    <row r="161" spans="1:21" ht="22.8" x14ac:dyDescent="0.3">
      <c r="A161" s="12" t="s">
        <v>857</v>
      </c>
      <c r="B161" s="12" t="s">
        <v>55</v>
      </c>
      <c r="C161" s="12" t="s">
        <v>1008</v>
      </c>
      <c r="D161" s="12" t="s">
        <v>1009</v>
      </c>
      <c r="E161" s="13" t="s">
        <v>860</v>
      </c>
      <c r="F161" s="13" t="s">
        <v>110</v>
      </c>
      <c r="G161" s="13" t="s">
        <v>63</v>
      </c>
      <c r="H161" s="13" t="s">
        <v>63</v>
      </c>
      <c r="I161" s="14" t="s">
        <v>520</v>
      </c>
      <c r="J161" s="13" t="s">
        <v>63</v>
      </c>
      <c r="K161" s="15" t="s">
        <v>64</v>
      </c>
      <c r="L161" s="15"/>
      <c r="M161" s="15"/>
      <c r="N161" s="12"/>
      <c r="O161" s="16"/>
      <c r="P161" s="16"/>
      <c r="Q161" s="17"/>
      <c r="R161" s="16"/>
      <c r="S161" s="12"/>
      <c r="T161" s="12" t="s">
        <v>1010</v>
      </c>
      <c r="U161" s="12" t="s">
        <v>1011</v>
      </c>
    </row>
    <row r="163" spans="1:21" ht="36.6" x14ac:dyDescent="0.3">
      <c r="C163" s="20" t="s">
        <v>1012</v>
      </c>
      <c r="P163" s="21">
        <f>SUMIFS(P4:P161,B4:B161,"CONJUNTO")</f>
        <v>16576852.440000001</v>
      </c>
      <c r="Q163" s="21">
        <f>SUMIFS(Q4:Q161,B4:B161,"CONJUNTO")+SUMIFS(Q4:Q161,B4:B161,"GRUPO")</f>
        <v>16782799.460000001</v>
      </c>
      <c r="R163" s="21">
        <f>Q163-P163</f>
        <v>205947.01999999955</v>
      </c>
      <c r="S163" s="27" t="s">
        <v>1013</v>
      </c>
    </row>
  </sheetData>
  <autoFilter ref="A3:U161" xr:uid="{00000000-0009-0000-0000-000001000000}"/>
  <mergeCells count="18">
    <mergeCell ref="S7:S11"/>
    <mergeCell ref="R7:R10"/>
    <mergeCell ref="S4:S6"/>
    <mergeCell ref="Q4:Q6"/>
    <mergeCell ref="R4:R6"/>
    <mergeCell ref="K7:K10"/>
    <mergeCell ref="L7:L10"/>
    <mergeCell ref="M7:M10"/>
    <mergeCell ref="N7:N10"/>
    <mergeCell ref="O7:O10"/>
    <mergeCell ref="P7:P10"/>
    <mergeCell ref="Q7:Q10"/>
    <mergeCell ref="K4:K6"/>
    <mergeCell ref="L4:L6"/>
    <mergeCell ref="M4:M6"/>
    <mergeCell ref="N4:N6"/>
    <mergeCell ref="O4:O6"/>
    <mergeCell ref="P4:P6"/>
  </mergeCells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pane ySplit="2" topLeftCell="A3" activePane="bottomLeft" state="frozen"/>
      <selection pane="bottomLeft" activeCell="G32" sqref="G32"/>
    </sheetView>
  </sheetViews>
  <sheetFormatPr defaultRowHeight="14.4" x14ac:dyDescent="0.3"/>
  <cols>
    <col min="1" max="1" width="9" customWidth="1"/>
    <col min="2" max="2" width="11" customWidth="1"/>
    <col min="3" max="3" width="34" customWidth="1"/>
    <col min="4" max="4" width="20" customWidth="1"/>
    <col min="5" max="5" width="53.109375" customWidth="1"/>
    <col min="6" max="6" width="15" customWidth="1"/>
    <col min="7" max="7" width="22" customWidth="1"/>
    <col min="8" max="8" width="60" customWidth="1"/>
  </cols>
  <sheetData>
    <row r="1" spans="1:8" x14ac:dyDescent="0.3">
      <c r="A1" s="22" t="s">
        <v>1014</v>
      </c>
    </row>
    <row r="2" spans="1:8" x14ac:dyDescent="0.3">
      <c r="A2" s="23" t="s">
        <v>28</v>
      </c>
      <c r="B2" s="23" t="s">
        <v>1015</v>
      </c>
      <c r="C2" s="23" t="s">
        <v>1016</v>
      </c>
      <c r="D2" s="23" t="s">
        <v>1017</v>
      </c>
      <c r="E2" s="23" t="s">
        <v>1018</v>
      </c>
      <c r="F2" s="23" t="s">
        <v>1019</v>
      </c>
      <c r="G2" s="23" t="s">
        <v>1020</v>
      </c>
      <c r="H2" s="23" t="s">
        <v>1021</v>
      </c>
    </row>
    <row r="3" spans="1:8" x14ac:dyDescent="0.3">
      <c r="A3" s="24" t="s">
        <v>49</v>
      </c>
      <c r="B3" s="24" t="s">
        <v>50</v>
      </c>
      <c r="C3" s="24" t="s">
        <v>1022</v>
      </c>
      <c r="D3" s="24" t="s">
        <v>1023</v>
      </c>
      <c r="E3" s="24" t="s">
        <v>1024</v>
      </c>
      <c r="F3" s="25">
        <v>393500</v>
      </c>
      <c r="G3" s="24" t="s">
        <v>39</v>
      </c>
      <c r="H3" s="24" t="s">
        <v>1025</v>
      </c>
    </row>
    <row r="4" spans="1:8" x14ac:dyDescent="0.3">
      <c r="A4" s="24" t="s">
        <v>85</v>
      </c>
      <c r="B4" s="24" t="s">
        <v>86</v>
      </c>
      <c r="C4" s="24" t="s">
        <v>1026</v>
      </c>
      <c r="D4" s="24" t="s">
        <v>1027</v>
      </c>
      <c r="E4" s="24" t="s">
        <v>1028</v>
      </c>
      <c r="F4" s="25">
        <v>850000</v>
      </c>
      <c r="G4" s="24" t="s">
        <v>1029</v>
      </c>
      <c r="H4" s="24" t="s">
        <v>1030</v>
      </c>
    </row>
    <row r="5" spans="1:8" x14ac:dyDescent="0.3">
      <c r="A5" s="24" t="s">
        <v>229</v>
      </c>
      <c r="B5" s="24" t="s">
        <v>230</v>
      </c>
      <c r="C5" s="24" t="s">
        <v>1026</v>
      </c>
      <c r="D5" s="24" t="s">
        <v>1031</v>
      </c>
      <c r="E5" s="24" t="s">
        <v>1032</v>
      </c>
      <c r="F5" s="25">
        <v>1328703.93</v>
      </c>
      <c r="G5" s="24" t="s">
        <v>1033</v>
      </c>
      <c r="H5" s="24" t="s">
        <v>1034</v>
      </c>
    </row>
    <row r="6" spans="1:8" x14ac:dyDescent="0.3">
      <c r="A6" s="24" t="s">
        <v>247</v>
      </c>
      <c r="B6" s="24" t="s">
        <v>248</v>
      </c>
      <c r="C6" s="24" t="s">
        <v>1026</v>
      </c>
      <c r="D6" s="24" t="s">
        <v>1031</v>
      </c>
      <c r="E6" s="24" t="s">
        <v>1028</v>
      </c>
      <c r="F6" s="25">
        <v>1139300.8700000001</v>
      </c>
      <c r="G6" s="24" t="s">
        <v>1035</v>
      </c>
      <c r="H6" s="24" t="s">
        <v>1034</v>
      </c>
    </row>
    <row r="7" spans="1:8" x14ac:dyDescent="0.3">
      <c r="A7" s="24" t="s">
        <v>344</v>
      </c>
      <c r="B7" s="24" t="s">
        <v>345</v>
      </c>
      <c r="C7" s="24" t="s">
        <v>1026</v>
      </c>
      <c r="D7" s="24" t="s">
        <v>1027</v>
      </c>
      <c r="E7" s="24" t="s">
        <v>1036</v>
      </c>
      <c r="F7" s="25">
        <v>233546.68</v>
      </c>
      <c r="G7" s="24" t="s">
        <v>340</v>
      </c>
      <c r="H7" s="24" t="s">
        <v>1037</v>
      </c>
    </row>
    <row r="8" spans="1:8" ht="22.8" x14ac:dyDescent="0.3">
      <c r="A8" s="24" t="s">
        <v>1038</v>
      </c>
      <c r="B8" s="24" t="s">
        <v>1039</v>
      </c>
      <c r="C8" s="24" t="s">
        <v>1040</v>
      </c>
      <c r="D8" s="24" t="s">
        <v>1041</v>
      </c>
      <c r="E8" s="24" t="s">
        <v>1042</v>
      </c>
      <c r="F8" s="25">
        <v>4881799.51</v>
      </c>
      <c r="G8" s="24" t="s">
        <v>1043</v>
      </c>
      <c r="H8" s="24" t="s">
        <v>1044</v>
      </c>
    </row>
    <row r="9" spans="1:8" x14ac:dyDescent="0.3">
      <c r="A9" s="24" t="s">
        <v>522</v>
      </c>
      <c r="B9" s="24" t="s">
        <v>523</v>
      </c>
      <c r="C9" s="24" t="s">
        <v>1045</v>
      </c>
      <c r="D9" s="24" t="s">
        <v>1046</v>
      </c>
      <c r="E9" s="24" t="s">
        <v>1047</v>
      </c>
      <c r="F9" s="25">
        <v>1728513.25</v>
      </c>
      <c r="G9" s="24" t="s">
        <v>516</v>
      </c>
      <c r="H9" s="24" t="s">
        <v>1048</v>
      </c>
    </row>
    <row r="10" spans="1:8" x14ac:dyDescent="0.3">
      <c r="A10" s="24" t="s">
        <v>1049</v>
      </c>
      <c r="B10" s="24" t="s">
        <v>1050</v>
      </c>
      <c r="C10" s="24" t="s">
        <v>1040</v>
      </c>
      <c r="D10" s="24" t="s">
        <v>1041</v>
      </c>
      <c r="E10" s="24" t="s">
        <v>1051</v>
      </c>
      <c r="F10" s="25">
        <v>260000.03</v>
      </c>
      <c r="G10" s="24" t="s">
        <v>1052</v>
      </c>
      <c r="H10" s="24" t="s">
        <v>1053</v>
      </c>
    </row>
    <row r="11" spans="1:8" ht="22.8" x14ac:dyDescent="0.3">
      <c r="A11" s="24" t="s">
        <v>1054</v>
      </c>
      <c r="B11" s="24" t="s">
        <v>1055</v>
      </c>
      <c r="C11" s="24" t="s">
        <v>1056</v>
      </c>
      <c r="D11" s="24" t="s">
        <v>1057</v>
      </c>
      <c r="E11" s="24" t="s">
        <v>1058</v>
      </c>
      <c r="F11" s="25">
        <v>87357.24</v>
      </c>
      <c r="G11" s="24" t="s">
        <v>1052</v>
      </c>
      <c r="H11" s="24" t="s">
        <v>1059</v>
      </c>
    </row>
    <row r="12" spans="1:8" ht="22.8" x14ac:dyDescent="0.3">
      <c r="A12" s="24" t="s">
        <v>1060</v>
      </c>
      <c r="B12" s="24" t="s">
        <v>1061</v>
      </c>
      <c r="C12" s="24" t="s">
        <v>1056</v>
      </c>
      <c r="D12" s="24" t="s">
        <v>1057</v>
      </c>
      <c r="E12" s="24" t="s">
        <v>1062</v>
      </c>
      <c r="F12" s="25">
        <v>218393.1</v>
      </c>
      <c r="G12" s="24" t="s">
        <v>1052</v>
      </c>
      <c r="H12" s="24" t="s">
        <v>1059</v>
      </c>
    </row>
    <row r="13" spans="1:8" x14ac:dyDescent="0.3">
      <c r="A13" s="24" t="s">
        <v>1063</v>
      </c>
      <c r="B13" s="24" t="s">
        <v>1064</v>
      </c>
      <c r="C13" s="24" t="s">
        <v>1065</v>
      </c>
      <c r="D13" s="24" t="s">
        <v>1066</v>
      </c>
      <c r="E13" s="24" t="s">
        <v>1067</v>
      </c>
      <c r="F13" s="25">
        <v>241395</v>
      </c>
      <c r="G13" s="24" t="s">
        <v>1068</v>
      </c>
      <c r="H13" s="24" t="s">
        <v>1069</v>
      </c>
    </row>
    <row r="14" spans="1:8" x14ac:dyDescent="0.3">
      <c r="A14" s="24" t="s">
        <v>1070</v>
      </c>
      <c r="B14" s="24" t="s">
        <v>1071</v>
      </c>
      <c r="C14" s="24" t="s">
        <v>1065</v>
      </c>
      <c r="D14" s="24" t="s">
        <v>1066</v>
      </c>
      <c r="E14" s="24" t="s">
        <v>1047</v>
      </c>
      <c r="F14" s="25">
        <v>49425</v>
      </c>
      <c r="G14" s="24" t="s">
        <v>1068</v>
      </c>
      <c r="H14" s="24" t="s">
        <v>1072</v>
      </c>
    </row>
    <row r="15" spans="1:8" x14ac:dyDescent="0.3">
      <c r="A15" s="24" t="s">
        <v>1073</v>
      </c>
      <c r="B15" s="24" t="s">
        <v>1074</v>
      </c>
      <c r="C15" s="24" t="s">
        <v>1045</v>
      </c>
      <c r="D15" s="24" t="s">
        <v>1046</v>
      </c>
      <c r="E15" s="24" t="s">
        <v>1047</v>
      </c>
      <c r="F15" s="25">
        <v>591154.24</v>
      </c>
      <c r="G15" s="24" t="s">
        <v>1068</v>
      </c>
      <c r="H15" s="24" t="s">
        <v>1072</v>
      </c>
    </row>
    <row r="16" spans="1:8" x14ac:dyDescent="0.3">
      <c r="A16" s="24" t="s">
        <v>1075</v>
      </c>
      <c r="B16" s="24" t="s">
        <v>523</v>
      </c>
      <c r="C16" s="24" t="s">
        <v>1076</v>
      </c>
      <c r="D16" s="24" t="s">
        <v>1077</v>
      </c>
      <c r="E16" s="24" t="s">
        <v>1047</v>
      </c>
      <c r="F16" s="25">
        <v>182000</v>
      </c>
      <c r="G16" s="24" t="s">
        <v>1068</v>
      </c>
      <c r="H16" s="24" t="s">
        <v>1072</v>
      </c>
    </row>
    <row r="17" spans="1:8" x14ac:dyDescent="0.3">
      <c r="A17" s="24" t="s">
        <v>1078</v>
      </c>
      <c r="B17" s="24" t="s">
        <v>1079</v>
      </c>
      <c r="C17" s="24" t="s">
        <v>1076</v>
      </c>
      <c r="D17" s="24" t="s">
        <v>1077</v>
      </c>
      <c r="E17" s="24" t="s">
        <v>1080</v>
      </c>
      <c r="F17" s="25">
        <v>386880</v>
      </c>
      <c r="G17" s="24" t="s">
        <v>1068</v>
      </c>
      <c r="H17" s="24" t="s">
        <v>1081</v>
      </c>
    </row>
    <row r="18" spans="1:8" x14ac:dyDescent="0.3">
      <c r="A18" s="24" t="s">
        <v>1082</v>
      </c>
      <c r="B18" s="24" t="s">
        <v>1083</v>
      </c>
      <c r="C18" s="24" t="s">
        <v>1076</v>
      </c>
      <c r="D18" s="24" t="s">
        <v>1077</v>
      </c>
      <c r="E18" s="24" t="s">
        <v>1084</v>
      </c>
      <c r="F18" s="25">
        <v>100000</v>
      </c>
      <c r="G18" s="24" t="s">
        <v>1068</v>
      </c>
      <c r="H18" s="24" t="s">
        <v>1085</v>
      </c>
    </row>
    <row r="19" spans="1:8" x14ac:dyDescent="0.3">
      <c r="A19" s="24" t="s">
        <v>1086</v>
      </c>
      <c r="B19" s="24" t="s">
        <v>1087</v>
      </c>
      <c r="C19" s="24" t="s">
        <v>1076</v>
      </c>
      <c r="D19" s="24" t="s">
        <v>1077</v>
      </c>
      <c r="E19" s="24" t="s">
        <v>1047</v>
      </c>
      <c r="F19" s="25">
        <v>110000</v>
      </c>
      <c r="G19" s="24" t="s">
        <v>1068</v>
      </c>
      <c r="H19" s="24" t="s">
        <v>1072</v>
      </c>
    </row>
    <row r="20" spans="1:8" ht="22.8" x14ac:dyDescent="0.3">
      <c r="A20" s="24" t="s">
        <v>1088</v>
      </c>
      <c r="B20" s="24" t="s">
        <v>1089</v>
      </c>
      <c r="C20" s="24" t="s">
        <v>1090</v>
      </c>
      <c r="D20" s="24" t="s">
        <v>1091</v>
      </c>
      <c r="E20" s="24" t="s">
        <v>1047</v>
      </c>
      <c r="F20" s="25">
        <v>193140</v>
      </c>
      <c r="G20" s="24" t="s">
        <v>1068</v>
      </c>
      <c r="H20" s="24" t="s">
        <v>1092</v>
      </c>
    </row>
    <row r="21" spans="1:8" x14ac:dyDescent="0.3">
      <c r="A21" s="24" t="s">
        <v>1093</v>
      </c>
      <c r="B21" s="24" t="s">
        <v>1094</v>
      </c>
      <c r="C21" s="24" t="s">
        <v>1040</v>
      </c>
      <c r="D21" s="24" t="s">
        <v>1041</v>
      </c>
      <c r="E21" s="24" t="s">
        <v>1095</v>
      </c>
      <c r="F21" s="25">
        <v>43262.03</v>
      </c>
      <c r="G21" s="24" t="s">
        <v>1068</v>
      </c>
      <c r="H21" s="24" t="s">
        <v>1096</v>
      </c>
    </row>
    <row r="22" spans="1:8" x14ac:dyDescent="0.3">
      <c r="A22" s="24" t="s">
        <v>832</v>
      </c>
      <c r="B22" s="24" t="s">
        <v>833</v>
      </c>
      <c r="C22" s="24" t="s">
        <v>1097</v>
      </c>
      <c r="D22" s="24" t="s">
        <v>1098</v>
      </c>
      <c r="E22" s="24" t="s">
        <v>1099</v>
      </c>
      <c r="F22" s="25">
        <v>601341.12</v>
      </c>
      <c r="G22" s="24" t="s">
        <v>1100</v>
      </c>
      <c r="H22" s="24" t="s">
        <v>1101</v>
      </c>
    </row>
    <row r="23" spans="1:8" x14ac:dyDescent="0.3">
      <c r="A23" s="24" t="s">
        <v>1102</v>
      </c>
      <c r="B23" s="24" t="s">
        <v>1103</v>
      </c>
      <c r="C23" s="24" t="s">
        <v>1104</v>
      </c>
      <c r="D23" s="24" t="s">
        <v>1105</v>
      </c>
      <c r="E23" s="24" t="s">
        <v>1106</v>
      </c>
      <c r="F23" s="25">
        <v>249883.91</v>
      </c>
      <c r="G23" s="24" t="s">
        <v>857</v>
      </c>
      <c r="H23" s="24" t="s">
        <v>1107</v>
      </c>
    </row>
    <row r="24" spans="1:8" x14ac:dyDescent="0.3">
      <c r="A24" s="24" t="s">
        <v>1108</v>
      </c>
      <c r="B24" s="24" t="s">
        <v>1109</v>
      </c>
      <c r="C24" s="24" t="s">
        <v>1104</v>
      </c>
      <c r="D24" s="24" t="s">
        <v>1105</v>
      </c>
      <c r="E24" s="24" t="s">
        <v>1106</v>
      </c>
      <c r="F24" s="25">
        <v>2154062.56</v>
      </c>
      <c r="G24" s="24" t="s">
        <v>857</v>
      </c>
      <c r="H24" s="24" t="s">
        <v>1107</v>
      </c>
    </row>
    <row r="25" spans="1:8" x14ac:dyDescent="0.3">
      <c r="A25" s="24" t="s">
        <v>1110</v>
      </c>
      <c r="B25" s="24" t="s">
        <v>1109</v>
      </c>
      <c r="C25" s="24" t="s">
        <v>1104</v>
      </c>
      <c r="D25" s="24" t="s">
        <v>1105</v>
      </c>
      <c r="E25" s="24" t="s">
        <v>1106</v>
      </c>
      <c r="F25" s="25">
        <v>759140.99</v>
      </c>
      <c r="G25" s="24" t="s">
        <v>857</v>
      </c>
      <c r="H25" s="24" t="s">
        <v>1107</v>
      </c>
    </row>
    <row r="27" spans="1:8" x14ac:dyDescent="0.3">
      <c r="A27" s="26"/>
      <c r="E27" s="26" t="s">
        <v>1111</v>
      </c>
      <c r="F27" s="26">
        <f>SUM(F3:F25)</f>
        <v>16782799.459999997</v>
      </c>
    </row>
    <row r="28" spans="1:8" x14ac:dyDescent="0.3">
      <c r="A28" s="26"/>
      <c r="E28" s="26" t="s">
        <v>1112</v>
      </c>
      <c r="F28" s="26">
        <v>16576852.439999999</v>
      </c>
    </row>
    <row r="29" spans="1:8" x14ac:dyDescent="0.3">
      <c r="A29" s="26"/>
      <c r="E29" s="26" t="s">
        <v>1113</v>
      </c>
      <c r="F29" s="26">
        <f>F27-F28</f>
        <v>205947.01999999769</v>
      </c>
    </row>
    <row r="30" spans="1:8" x14ac:dyDescent="0.3">
      <c r="A30" s="26"/>
      <c r="E30" s="26" t="s">
        <v>1114</v>
      </c>
      <c r="F30" s="26">
        <f>F27-CARACTERIZACAO!Q163</f>
        <v>0</v>
      </c>
    </row>
    <row r="31" spans="1:8" x14ac:dyDescent="0.3">
      <c r="A31" s="26"/>
      <c r="E31" s="26"/>
      <c r="F31" s="26"/>
    </row>
    <row r="32" spans="1:8" x14ac:dyDescent="0.3">
      <c r="A32" s="28" t="s">
        <v>1115</v>
      </c>
      <c r="B32" s="28"/>
      <c r="C32" s="28"/>
      <c r="D32" s="28"/>
      <c r="E32" s="28"/>
      <c r="F32" s="26"/>
    </row>
  </sheetData>
  <mergeCells count="1"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LEIA-ME</vt:lpstr>
      <vt:lpstr>CARACTERIZACAO</vt:lpstr>
      <vt:lpstr>NF_ME</vt:lpstr>
      <vt:lpstr>CARACTERIZACAO!Titulos_de_impressao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batista de paula</cp:lastModifiedBy>
  <dcterms:created xsi:type="dcterms:W3CDTF">2026-10-07T19:39:57Z</dcterms:created>
  <dcterms:modified xsi:type="dcterms:W3CDTF">2026-10-12T19:09:53Z</dcterms:modified>
</cp:coreProperties>
</file>