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SINTESE" sheetId="2" state="visible" r:id="rId4"/>
    <sheet name="CARACTERIZACAO" sheetId="3" state="visible" r:id="rId5"/>
    <sheet name="CONDENSADO" sheetId="4" state="visible" r:id="rId6"/>
    <sheet name="NF_ME" sheetId="5" state="visible" r:id="rId7"/>
    <sheet name="COTACOES_OPE154" sheetId="6" state="visible" r:id="rId8"/>
    <sheet name="ACHADOS_v2" sheetId="7" state="visible" r:id="rId9"/>
  </sheets>
  <definedNames>
    <definedName function="false" hidden="false" localSheetId="2" name="_xlnm.Print_Titles" vbProcedure="false">CARACTERIZACAO!$3:$3</definedName>
    <definedName function="false" hidden="true" localSheetId="2" name="_xlnm._FilterDatabase" vbProcedure="false">CARACTERIZACAO!$A$3:$X$161</definedName>
    <definedName function="false" hidden="true" localSheetId="5" name="_xlnm._FilterDatabase" vbProcedure="false">COTACOES_OPE154!$A$3:$I$52</definedName>
    <definedName function="false" hidden="true" localSheetId="1" name="_xlnm._FilterDatabase" vbProcedure="false">SINTESE!$A$4:$K$29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<sst xmlns="http://schemas.openxmlformats.org/spreadsheetml/2006/main" count="3433" uniqueCount="1885">
  <si>
    <t xml:space="preserve">Caracterização consolidada de M&amp;E – Ultracargo Palmeirante-TO (base 07/10/2026; v2 12/10 com cotações OPE154; v3 13/10 com aba SINTESE)</t>
  </si>
  <si>
    <t xml:space="preserve">Cores do texto (descrição e colunas de dados):</t>
  </si>
  <si>
    <t xml:space="preserve">Preto – crítica de orçamento M&amp;E de 05/11/2024 (RT GEREN/COSAN 2024/189): descrição, quantidade, preços, fornecedor, Finame.</t>
  </si>
  <si>
    <t xml:space="preserve">Vermelho – relação de notas fiscais de M&amp;E do relatório de comprovação RT0538/2025 (nº, data, emitente, CNPJ, descrição resumida, valor).</t>
  </si>
  <si>
    <t xml:space="preserve">Verde – inventário Ultracargo: Base de Ativos Palmeirante (seleção SAP) – local de instalação, descrição, nº do equipamento, código ABC.</t>
  </si>
  <si>
    <t xml:space="preserve">Amarelo – listas de projeto: LI-3100-6105 (lista de linhas), LI-3100-6107 (itens especiais), LI-3100-7700 (equipamentos de segurança), DE-3100-5100 (arranjo), as-built do eletrocentro DE-3100-4300-014 e proposta VOLGA 20230138 rev. 6A.</t>
  </si>
  <si>
    <t xml:space="preserve">Azul – leitura de placa em campo (vistorias de 15, 17 e 18/09/2026 e fotos de terceiros) e relatório fotográfico da ANP de 11/04/2025.</t>
  </si>
  <si>
    <t xml:space="preserve">Estrutura: uma linha CONJUNTO por linha da crítica (22 linhas, total R$ 16.576.852,44) e, abaixo, uma linha COMPONENTE por equipamento ou parte identificada. GRUPO = NF que cobre várias linhas (14 e 15-17). As somas usam só CONJUNTO e GRUPO.</t>
  </si>
  <si>
    <t xml:space="preserve">NF por linha: a NF descreve o conjunto; as linhas de componente apontam para a NF do conjunto. Onde uma NF cobre várias linhas, a coluna "Base da atribuição" diz como foi feita (exata, decomposição aritmética, indício por descrição).</t>
  </si>
  <si>
    <t xml:space="preserve">Achado novo: as NFs KSB 34370 e 34511 decompõem-se de forma única pelos preços unitários da crítica – 34370 = 10 un. da linha 4 + linhas 5, 12 e 13; 34511 = 2 un. da linha 4 + linhas 6, 7, 8, 9 e 10. A NF 543048 fica como a linha 11.</t>
  </si>
  <si>
    <t xml:space="preserve">Achado novo: a placa KSB da B-3101 A (ANP Fig. 184) traz "Ano 07/02/2025", "RC30376" e rotor Ø465 mm – posterior à NF de 05/04/2024.</t>
  </si>
  <si>
    <t xml:space="preserve">Achado novo: as dimensões dos selos batem com as placas dos tanques – linha 15 = TQ-3103/3104; linha 16 = TQ-3109/3110; linha 17 = 2 dos 3 tanques TQ-3111/3112/3113.</t>
  </si>
  <si>
    <t xml:space="preserve">Achado novo: B-31100 = sistema de pressurização dos chuveiros de emergência (LI-3100-6107: Q 10 m³/h, AMT 57 mca, 7,5 cv), igual à placa.</t>
  </si>
  <si>
    <t xml:space="preserve">Achado novo: projeto (HC, descarga), SAP ("DESCARREG", PTM-10) e ANP Fig. 175-178 indicam que as duas bombas do skid de descarga 14d são as B-3124/B-3125 da linha 13 – possível dupla contagem (NF KSB 34370 × NF PHD 1551).</t>
  </si>
  <si>
    <t xml:space="preserve">Limites: a relação de NFs do RT0538 traz só descrição resumida (sem itens, NCM e quantidades); o detalhamento depende dos XMLs. A base SAP é a seleção enviada (não tem skids, instrumentos, selos, Megaflow nem B-31100). Não há lista de equipamentos Metroval no dossiê.</t>
  </si>
  <si>
    <t xml:space="preserve">Ilegível ou não lido fica registrado como "não lido"; nenhuma leitura de campo foi ajustada para bater com documento – divergências estão na coluna de observação.</t>
  </si>
  <si>
    <t xml:space="preserve">v2 – 12/10/2026 – o que mudou (base de 07/10 preservada nas colunas A-U; tudo que é novo está em colunas e abas à parte):</t>
  </si>
  <si>
    <t xml:space="preserve">Azul escuro (002060) – dados das propostas comerciais do OPE154_48.zip (49 PDFs: STEMAC, KSB ×2, Metroval, Romão, VOLGA, Chronus, Ecoserv, Redlands, Kidde, Endress, Solo, RI, Protego, Tecnofluid etc.). Coluna V da CARACTERIZACAO, coluna I da NF_ME e aba COTACOES_OPE154.</t>
  </si>
  <si>
    <t xml:space="preserve">Roxo (7030A0) – achados, correções e proposições do avaliador: combinação das fontes, contexto técnico ou de mercado e decisões propostas. Coluna W da CARACTERIZACAO, coluna J da NF_ME, aba ACHADOS_v2 e trechos "Novo v2" das células únicas. "CORREÇÃO v2:" marca texto que substitui o que está escrito na base (o texto da base fica, sem tachado, para rastreabilidade).</t>
  </si>
  <si>
    <t xml:space="preserve">Coluna X (CARACTERIZACAO) e aba CONDENSADO – CÉLULA ÚNICA por conjunto: reúne crítica, NF, SAP, projeto, placa/campo, observação e fotos do conjunto e de todos os seus componentes, cada trecho na cor da fonte de origem, seguidos da cotação (azul escuro) e do novo (roxo). Texto tachado = redundância (2ª ocorrência em diante de modelo, TAG, documento de projeto, frase-padrão etc. dentro da mesma célula); a 1ª ocorrência fica normal. Texto novo (roxo/azul escuro) nunca é tachado. Para os componentes não se repetem as colunas E-J (já contidas na descrição D); para o conjunto elas entram na "Ficha".</t>
  </si>
  <si>
    <t xml:space="preserve">Correção de formato na célula única: na base a coluna D estava toda na cor do 1º rótulo (NF e SAP apareciam em preto dentro de "Crítica"); na célula única cada rótulo tem a cor da legenda (NF vermelho, SAP verde, Projeto amarelo, Placa/campo azul). A coluna D original não foi alterada.</t>
  </si>
  <si>
    <t xml:space="preserve">Correções de vínculo TAG × linha pela planilha de preços KSB RAS0051138 Rev. 10 (ver ACHADOS_v2 A01/A02): linha 4 = B-3103, 3104, 3105, 3106, 3107, 3108, 3110, 3111, 3112, 3113, 3114, 3115; linha 6 = B-3116, B-3117; linha 8 = B-3120, B-3122, B-3123; linha 9 = B-3121. As linhas da base não foram movidas; a célula única já agrupa os componentes pelo vínculo corrigido e marca "[CORREÇÃO v2]" nos seis TAGs afetados.</t>
  </si>
  <si>
    <t xml:space="preserve">Limite de exibição: a célula única tem até ~25 mil caracteres; no Excel a linha mostra no máximo 409 pt de altura (aba CONDENSADO já está nessa altura, coluna de 230 de largura). Para ler tudo, use a barra de fórmulas ou copie a célula para o Word.</t>
  </si>
  <si>
    <t xml:space="preserve">Painel de congelamento da CARACTERIZACAO ajustado para D4 (na base estava em D122) e autofiltro estendido até a coluna X.</t>
  </si>
  <si>
    <t xml:space="preserve">Anexo não usado: 2026-10-11_PRE_ANALISE_UNICA_v3.zip trata da documentação das Fazendas Paloma (Paulo Roberto de Paula) e não contém nada da Ultracargo – nenhum dado dele entrou nesta planilha (ACHADOS_v2 A19).</t>
  </si>
  <si>
    <t xml:space="preserve">v3 – 13/10/2026 – aba SINTESE: uma célula sintética por conjunto, redigida de novo (sem repetições e sem tachado), na ordem descrição do conjunto → componentes → NF e cotação; coluna própria de Observações/divergências; colunas de valor da crítica, das NFs e da cotação com as diferenças. A síntese privilegia a crítica de orçamento e as leituras de campo; projeto, SAP, NF e cotação entram só no que acrescentam. A aba CONDENSADO (v2, com tudo e tachado) foi mantida para rastreabilidade.</t>
  </si>
  <si>
    <t xml:space="preserve">SÍNTESE por conjunto (v3 – 13/10/2026): descrição do conjunto (crítica + placa), componentes (função, marca, modelo, capacidade, série), notas fiscais e cotação; divergências na coluna Observações; valores da crítica, das NFs e da cotação para comparação.</t>
  </si>
  <si>
    <t xml:space="preserve">Cores: preto = crítica de orçamento | azul = placa/campo/ANP | vermelho = NF (RT0538) | verde = SAP | amarelo = projeto | azul escuro = cotação OPE154 | roxo = avaliador (divergências, correções, proposições). Sem texto tachado: as redundâncias foram eliminadas na redação. Valores em branco = não atribuível ao subitem.</t>
  </si>
  <si>
    <t xml:space="preserve">Linha</t>
  </si>
  <si>
    <t xml:space="preserve">Nível</t>
  </si>
  <si>
    <t xml:space="preserve">Conjunto</t>
  </si>
  <si>
    <t xml:space="preserve">Síntese (descrição, componentes, NF e cotação)</t>
  </si>
  <si>
    <t xml:space="preserve">Observações / divergências</t>
  </si>
  <si>
    <t xml:space="preserve">Valor crítica (R$)</t>
  </si>
  <si>
    <t xml:space="preserve">Valor NF (R$)</t>
  </si>
  <si>
    <t xml:space="preserve">Valor cotação (R$)</t>
  </si>
  <si>
    <t xml:space="preserve">NF − crítica (R$)</t>
  </si>
  <si>
    <t xml:space="preserve">Cotação − crítica (R$)</t>
  </si>
  <si>
    <t xml:space="preserve">Fotos / fontes de campo</t>
  </si>
  <si>
    <t xml:space="preserve">1</t>
  </si>
  <si>
    <t xml:space="preserve">CONJUNTO</t>
  </si>
  <si>
    <t xml:space="preserve">Grupo gerador diesel GD-3101 (STEMAC)</t>
  </si>
  <si>
    <r>
      <rPr>
        <b val="true"/>
        <sz val="9"/>
        <color rgb="FF000000"/>
        <rFont val="Arial"/>
        <family val="0"/>
        <charset val="1"/>
      </rPr>
      <t xml:space="preserve">GRUPO GERADOR DIESEL GD-3101
</t>
    </r>
    <r>
      <rPr>
        <sz val="9"/>
        <color rgb="FF000000"/>
        <rFont val="Arial"/>
        <family val="0"/>
        <charset val="1"/>
      </rPr>
      <t xml:space="preserve">Grupo gerador diesel STEMAC, linha Global Lite, montado em contêiner silenciado leve (85 dB(A) a 1,5 m), potência 575/506 kVA – 460/405 kWe (emergência/principal), trifásico, FP 0,8, 440/254 Vca, 60 Hz, funcionamento singelo e automático, com quadro de comando e disjuntor de proteção; </t>
    </r>
    <r>
      <rPr>
        <sz val="9"/>
        <color rgb="FF002060"/>
        <rFont val="Arial"/>
        <family val="0"/>
        <charset val="1"/>
      </rPr>
      <t xml:space="preserve">tanque de 650 L na base, IP23 no gerador, porta Modbus-TCP, regime stand-by (300 h/ano). </t>
    </r>
    <r>
      <rPr>
        <sz val="9"/>
        <color rgb="FF1F4E9A"/>
        <rFont val="Arial"/>
        <family val="0"/>
        <charset val="1"/>
      </rPr>
      <t xml:space="preserve">Placa STEMAC do conjunto: GMG nº 0575002423, 506 kVA, 440 V, 754 A, 60 Hz, 1800 rpm, 4.730 kg, fabricação DEZ/2023. </t>
    </r>
    <r>
      <rPr>
        <sz val="9"/>
        <color rgb="FF00703C"/>
        <rFont val="Arial"/>
        <family val="0"/>
        <charset val="1"/>
      </rPr>
      <t xml:space="preserve">SAP: GD-3101 GERADOR 01, equip. 000000123511, local BPAM-SELE-GER-01-01, ABC A.
</t>
    </r>
    <r>
      <rPr>
        <b val="true"/>
        <sz val="9"/>
        <color rgb="FF000000"/>
        <rFont val="Arial"/>
        <family val="0"/>
        <charset val="1"/>
      </rPr>
      <t xml:space="preserve">Componentes
</t>
    </r>
    <r>
      <rPr>
        <sz val="9"/>
        <color rgb="FF1F4E9A"/>
        <rFont val="Arial"/>
        <family val="0"/>
        <charset val="1"/>
      </rPr>
      <t xml:space="preserve">• Motor diesel: Moteurs Baudouin (Weifang Power) 6M21G460/6, 683 HP / 510 kW, 1800 rpm, s/n 5123S001673, ordem DHM21D0052*01.
• Alternador: WEG AG10 280M(30Z) B15T, nº 1091387382, MAT 17548900, 11/2023, IP23, forma B15T.
</t>
    </r>
    <r>
      <rPr>
        <sz val="9"/>
        <color rgb="FF000000"/>
        <rFont val="Arial"/>
        <family val="0"/>
        <charset val="1"/>
      </rPr>
      <t xml:space="preserve">• Quadro de comando automático com disjuntor (USCA), no contêiner.
</t>
    </r>
    <r>
      <rPr>
        <b val="true"/>
        <sz val="9"/>
        <color rgb="FF000000"/>
        <rFont val="Arial"/>
        <family val="0"/>
        <charset val="1"/>
      </rPr>
      <t xml:space="preserve">Nota fiscal e cotação
</t>
    </r>
    <r>
      <rPr>
        <sz val="9"/>
        <color rgb="FFC00000"/>
        <rFont val="Arial"/>
        <family val="0"/>
        <charset val="1"/>
      </rPr>
      <t xml:space="preserve">NF 149420 de 15/12/2023 – STEMAC S.A. Grupos Geradores (CNPJ 92.753.269/0052-02): "GMG 0575KVA 440V 60HZ", R$ 393.500,00 (valor exato da linha). </t>
    </r>
    <r>
      <rPr>
        <sz val="9"/>
        <color rgb="FF002060"/>
        <rFont val="Arial"/>
        <family val="0"/>
        <charset val="1"/>
      </rPr>
      <t xml:space="preserve">Cotação STEMAC 13107/2023 REV01 de 29/08/2023: R$ 393.500,00, Finame 04105372, frete CIF, prazo 120 dias, garantia 12 meses da entrega técnica.</t>
    </r>
  </si>
  <si>
    <t xml:space="preserve">TAG GD-3101 não pintada em campo (só no SAP). Placa do conjunto grava o motor como s/n 123S001673 e a placa do motor 5123S001673 – mesma unidade. Placa do conjunto com os primeiros dígitos da potência cortados ("...506 kVA"). CNPJ de faturamento da proposta (92.753.268/0052-62, Itumbiara) difere do CNPJ da NF – conferir no XML. Catálogo Perkins 125 kVA do dossiê não é deste bem. Sem imagem da ANP.</t>
  </si>
  <si>
    <t xml:space="preserve">0052-0060 (placas 0052-0058)</t>
  </si>
  <si>
    <t xml:space="preserve">2</t>
  </si>
  <si>
    <t xml:space="preserve">Motobombas diesel do SCI B-3101A e B-3101B (KSB)</t>
  </si>
  <si>
    <r>
      <rPr>
        <b val="true"/>
        <sz val="9"/>
        <color rgb="FF000000"/>
        <rFont val="Arial"/>
        <family val="0"/>
        <charset val="1"/>
      </rPr>
      <t xml:space="preserve">BOMBAS PRINCIPAIS DO SISTEMA DE COMBATE A INCÊNDIO – B-3101A / B-3101B
</t>
    </r>
    <r>
      <rPr>
        <sz val="9"/>
        <color rgb="FF000000"/>
        <rFont val="Arial"/>
        <family val="0"/>
        <charset val="1"/>
      </rPr>
      <t xml:space="preserve">2 conjuntos motobomba KSB Megacpk 250-200-500, </t>
    </r>
    <r>
      <rPr>
        <sz val="9"/>
        <color rgb="FF1F4E9A"/>
        <rFont val="Arial"/>
        <family val="0"/>
        <charset val="1"/>
      </rPr>
      <t xml:space="preserve">Q 650,12 m³/h, H 100,04 mca, 1800 rpm, rotor Ø465 mm (placa KSB, ANP Fig. 184), </t>
    </r>
    <r>
      <rPr>
        <sz val="9"/>
        <color rgb="FF002060"/>
        <rFont val="Arial"/>
        <family val="0"/>
        <charset val="1"/>
      </rPr>
      <t xml:space="preserve">bomba centrífuga horizontal back-pull-out acionada por motor diesel estacionário MWM 6.12TCE de 275 kW a 1800 rpm, conforme NFPA 20 / NBR 16.704, com painel de partida automática 220 V, painel local de instrumentos, baterias 2 × 150 Ah, válvula de alívio 6" e waste cone por bomba. </t>
    </r>
    <r>
      <rPr>
        <sz val="9"/>
        <color rgb="FFB38600"/>
        <rFont val="Arial"/>
        <family val="0"/>
        <charset val="1"/>
      </rPr>
      <t xml:space="preserve">Função: bombas principais do SCI na casa de bombas (CBI); sucção 14" do tanque de água TQ-3120, recalque 12"; diesel dos tanques TQ-3122/3123 (LI-3100-7700 e LI-3100-6105). </t>
    </r>
    <r>
      <rPr>
        <sz val="9"/>
        <color rgb="FF1F4E9A"/>
        <rFont val="Arial"/>
        <family val="0"/>
        <charset val="1"/>
      </rPr>
      <t xml:space="preserve">Montagem dos conjuntos: REVIMAQ, 03/2024, 220 Vca / 12 Vcc. </t>
    </r>
    <r>
      <rPr>
        <sz val="9"/>
        <color rgb="FF00703C"/>
        <rFont val="Arial"/>
        <family val="0"/>
        <charset val="1"/>
      </rPr>
      <t xml:space="preserve">SAP: B-3101A equip. 000000123885 (BPAM-SSCI-RDA-01-01) e B-3101B equip. 000000123899 (RDA-04-01), ABC B.
</t>
    </r>
    <r>
      <rPr>
        <b val="true"/>
        <sz val="9"/>
        <color rgb="FF000000"/>
        <rFont val="Arial"/>
        <family val="0"/>
        <charset val="1"/>
      </rPr>
      <t xml:space="preserve">Componentes
</t>
    </r>
    <r>
      <rPr>
        <sz val="9"/>
        <color rgb="FF1F4E9A"/>
        <rFont val="Arial"/>
        <family val="0"/>
        <charset val="1"/>
      </rPr>
      <t xml:space="preserve">• B-3101A – KSB MCPK 250-200-500 GG, OP M482301143, placa KSB com ano 07/02/2025 e RC30376; plaqueta REVIMAQ ORC 77532 / OS 63419 / OV 9975318361-000100.
• B-3101B – KSB MCPK 250-200-500 GG, OP M482301144, 470 kg, 2024; plaqueta REVIMAQ ORC 77533 / OS 63420 / OV 9975318361-100.
• Tanques de diesel TQ-3122 / TQ-3123 – 1.000 L cada, adesivo KSB, etiquetas B-3101 A/B, sem plaqueta </t>
    </r>
    <r>
      <rPr>
        <sz val="9"/>
        <color rgb="FF002060"/>
        <rFont val="Arial"/>
        <family val="0"/>
        <charset val="1"/>
      </rPr>
      <t xml:space="preserve">(em aço carbono com visor e chave de nível, inclusos no fornecimento KSB).
</t>
    </r>
    <r>
      <rPr>
        <sz val="9"/>
        <color rgb="FF1F4E9A"/>
        <rFont val="Arial"/>
        <family val="0"/>
        <charset val="1"/>
      </rPr>
      <t xml:space="preserve">• Motores diesel – placas não fotografadas legíveis (foto 0018). </t>
    </r>
    <r>
      <rPr>
        <sz val="9"/>
        <color rgb="FF002060"/>
        <rFont val="Arial"/>
        <family val="0"/>
        <charset val="1"/>
      </rPr>
      <t xml:space="preserve">Pela cotação: MWM 6.12TCE, 275 kW, 1800 rpm.
</t>
    </r>
    <r>
      <rPr>
        <b val="true"/>
        <sz val="9"/>
        <color rgb="FF000000"/>
        <rFont val="Arial"/>
        <family val="0"/>
        <charset val="1"/>
      </rPr>
      <t xml:space="preserve">Nota fiscal e cotação
</t>
    </r>
    <r>
      <rPr>
        <sz val="9"/>
        <color rgb="FFC00000"/>
        <rFont val="Arial"/>
        <family val="0"/>
        <charset val="1"/>
      </rPr>
      <t xml:space="preserve">NF 526572 de 05/04/2024 – KSB Brasil Ltda (CNPJ 60.680.873/0001-14): "Conjunto bomba KSB", R$ 850.000,00, cobre as linhas 2 e 3 (815.201,04 + 34.798,96); parcela desta linha R$ 815.201,04. </t>
    </r>
    <r>
      <rPr>
        <sz val="9"/>
        <color rgb="FF002060"/>
        <rFont val="Arial"/>
        <family val="0"/>
        <charset val="1"/>
      </rPr>
      <t xml:space="preserve">Cotação KSB RAS0045265 Rev. 7 de 19/09/2023, item 1: 2 × R$ 407.600,52 = R$ 815.201,04, Finame 03279333, prazo 150 dias, CIF, garantia 8.000 h / 12 / 18 meses.</t>
    </r>
  </si>
  <si>
    <t xml:space="preserve">Placa KSB da B-3101A traz "Ano 07/02/2025", posterior à NF (04/2024) e à cotação (09/2023): indica placa refeita ou intervenção (rotor Ø465 mm rebaixado?) – pedir explicação à KSB/Ultracargo. Em campo só foram lidas as plaquetas REVIMAQ; dados KSB vêm da ANP (Fig. 184). Motores diesel sem placa lida. Tanques TQ-3122/3123 não são bem à parte (inclusos no preço KSB).</t>
  </si>
  <si>
    <t xml:space="preserve">0041-0043, 1003-1010 | ANP Fig. 183, 184, 199</t>
  </si>
  <si>
    <t xml:space="preserve">3</t>
  </si>
  <si>
    <t xml:space="preserve">Bomba jockey B-3102 (KSB Hydrobloc)</t>
  </si>
  <si>
    <r>
      <rPr>
        <b val="true"/>
        <sz val="9"/>
        <color rgb="FF000000"/>
        <rFont val="Arial"/>
        <family val="0"/>
        <charset val="1"/>
      </rPr>
      <t xml:space="preserve">BOMBA JOCKEY B-3102
</t>
    </r>
    <r>
      <rPr>
        <sz val="9"/>
        <color rgb="FF000000"/>
        <rFont val="Arial"/>
        <family val="0"/>
        <charset val="1"/>
      </rPr>
      <t xml:space="preserve">Bomba KSB Hydrobloc M A 604, </t>
    </r>
    <r>
      <rPr>
        <sz val="9"/>
        <color rgb="FF002060"/>
        <rFont val="Arial"/>
        <family val="0"/>
        <charset val="1"/>
      </rPr>
      <t xml:space="preserve">centrífuga horizontal monobloco, selo mecânico, conexões rosqueadas, motor elétrico WEG 220/380/440 V IP55 isolação F, painel de partida automática NFPA 20 em 440 V trifásico, partida direta. </t>
    </r>
    <r>
      <rPr>
        <sz val="9"/>
        <color rgb="FFB38600"/>
        <rFont val="Arial"/>
        <family val="0"/>
        <charset val="1"/>
      </rPr>
      <t xml:space="preserve">Função: pressurização da rede de água de combate a incêndio (CBI); sucção 2½", recalque 2" (LI-3100-7700 / LI-3100-6105). </t>
    </r>
    <r>
      <rPr>
        <sz val="9"/>
        <color rgb="FF1F4E9A"/>
        <rFont val="Arial"/>
        <family val="0"/>
        <charset val="1"/>
      </rPr>
      <t xml:space="preserve">Campo: só a plaqueta REVIMAQ ORC 77426 / OS 63336 / OV 9975318361-000200, 03/2024, 440/220 Vca / 24 Vcc; vazão, altura e potência ilegíveis. </t>
    </r>
    <r>
      <rPr>
        <sz val="9"/>
        <color rgb="FF00703C"/>
        <rFont val="Arial"/>
        <family val="0"/>
        <charset val="1"/>
      </rPr>
      <t xml:space="preserve">SAP: B-3102 BOMBA JOCKEY, equip. 000000123913, BPAM-SSCI-RDA-07-01, ABC B.
</t>
    </r>
    <r>
      <rPr>
        <b val="true"/>
        <sz val="9"/>
        <color rgb="FF000000"/>
        <rFont val="Arial"/>
        <family val="0"/>
        <charset val="1"/>
      </rPr>
      <t xml:space="preserve">Nota fiscal e cotação
</t>
    </r>
    <r>
      <rPr>
        <sz val="9"/>
        <color rgb="FFC00000"/>
        <rFont val="Arial"/>
        <family val="0"/>
        <charset val="1"/>
      </rPr>
      <t xml:space="preserve">NF 526572 de 05/04/2024 – KSB Brasil Ltda: parcela desta linha R$ 34.798,96 (mesma NF da linha 2). </t>
    </r>
    <r>
      <rPr>
        <sz val="9"/>
        <color rgb="FF002060"/>
        <rFont val="Arial"/>
        <family val="0"/>
        <charset val="1"/>
      </rPr>
      <t xml:space="preserve">Cotação KSB RAS0045265 Rev. 7, item 2: R$ 33.703,60 + IPI 3,25 % = R$ 34.798,96, Finame 02171421.</t>
    </r>
  </si>
  <si>
    <t xml:space="preserve">Placa KSB do Hydrobloc e placa do motor WEG não fotografadas – pendência para a próxima visita. Planilha de preços KSB grafa a TAG como "B-1002" (erro de digitação). Crítica, projeto e SAP concordam na função.</t>
  </si>
  <si>
    <t xml:space="preserve">0041</t>
  </si>
  <si>
    <t xml:space="preserve">4</t>
  </si>
  <si>
    <t xml:space="preserve">12 bombas de produto CETRAN 01 – Megacpk 125-080-315 (KSB)</t>
  </si>
  <si>
    <r>
      <rPr>
        <b val="true"/>
        <sz val="9"/>
        <color rgb="FF000000"/>
        <rFont val="Arial"/>
        <family val="0"/>
        <charset val="1"/>
      </rPr>
      <t xml:space="preserve">BOMBAS DE PRODUTO – CETRAN 01 (12 un.)
</t>
    </r>
    <r>
      <rPr>
        <sz val="9"/>
        <color rgb="FF000000"/>
        <rFont val="Arial"/>
        <family val="0"/>
        <charset val="1"/>
      </rPr>
      <t xml:space="preserve">12 bombas centrífugas KSB Megacpk 125-080-315, </t>
    </r>
    <r>
      <rPr>
        <sz val="9"/>
        <color rgb="FF1F4E9A"/>
        <rFont val="Arial"/>
        <family val="0"/>
        <charset val="1"/>
      </rPr>
      <t xml:space="preserve">placas MCPK 125-80-315 EE, Q 120 m³/h, H 50 a 54 mca, 1775 rpm, 158–163 kg, ano 2024, OPs sequenciais M4823016xx, </t>
    </r>
    <r>
      <rPr>
        <sz val="9"/>
        <color rgb="FF002060"/>
        <rFont val="Arial"/>
        <family val="0"/>
        <charset val="1"/>
      </rPr>
      <t xml:space="preserve">back-pull-out, selo mecânico cartucho (plano API 11), motor à prova de explosão WEG W22Xdb IR2 220/380/440 V Ex db IIA/IIB/IIC T4. </t>
    </r>
    <r>
      <rPr>
        <sz val="9"/>
        <color rgb="FFB38600"/>
        <rFont val="Arial"/>
        <family val="0"/>
        <charset val="1"/>
      </rPr>
      <t xml:space="preserve">Função: transferência de produtos (gasolina, diesel S10, diesel S500, etanol hidratado, biodiesel) para o carregamento rodoviário e ferroviário; sucção 8" ou 6", recalque 6" ou 4" (LI-3100-6105, fluxograma DE-3100-1300-002). </t>
    </r>
    <r>
      <rPr>
        <sz val="9"/>
        <color rgb="FF00703C"/>
        <rFont val="Arial"/>
        <family val="0"/>
        <charset val="1"/>
      </rPr>
      <t xml:space="preserve">SAP: 12 TAGs cadastradas como BOMBA CENTRIFUGA, local BPAM-SCAR-CET-01-xx, ABC B.
</t>
    </r>
    <r>
      <rPr>
        <b val="true"/>
        <sz val="9"/>
        <color rgb="FF000000"/>
        <rFont val="Arial"/>
        <family val="0"/>
        <charset val="1"/>
      </rPr>
      <t xml:space="preserve">Componentes (TAG – serviço de campo – OP – H – nº SAP)
</t>
    </r>
    <r>
      <rPr>
        <sz val="9"/>
        <color rgb="FF1F4E9A"/>
        <rFont val="Arial"/>
        <family val="0"/>
        <charset val="1"/>
      </rPr>
      <t xml:space="preserve">• B-3103 – gasolina A, carreg. rodoviário – OP M482301611 – H 52 mca – </t>
    </r>
    <r>
      <rPr>
        <sz val="9"/>
        <color rgb="FF00703C"/>
        <rFont val="Arial"/>
        <family val="0"/>
        <charset val="1"/>
      </rPr>
      <t xml:space="preserve">121798
</t>
    </r>
    <r>
      <rPr>
        <sz val="9"/>
        <color rgb="FF1F4E9A"/>
        <rFont val="Arial"/>
        <family val="0"/>
        <charset val="1"/>
      </rPr>
      <t xml:space="preserve">• B-3104 – gasolina A, carreg. rodoviário – OP M482301612 – H 52 mca – </t>
    </r>
    <r>
      <rPr>
        <sz val="9"/>
        <color rgb="FF00703C"/>
        <rFont val="Arial"/>
        <family val="0"/>
        <charset val="1"/>
      </rPr>
      <t xml:space="preserve">121816
</t>
    </r>
    <r>
      <rPr>
        <sz val="9"/>
        <color rgb="FF1F4E9A"/>
        <rFont val="Arial"/>
        <family val="0"/>
        <charset val="1"/>
      </rPr>
      <t xml:space="preserve">• B-3105 – diesel S10, carreg. rodoviário – OP M482301613 – H 54 mca – </t>
    </r>
    <r>
      <rPr>
        <sz val="9"/>
        <color rgb="FF00703C"/>
        <rFont val="Arial"/>
        <family val="0"/>
        <charset val="1"/>
      </rPr>
      <t xml:space="preserve">121831
</t>
    </r>
    <r>
      <rPr>
        <sz val="9"/>
        <color rgb="FF1F4E9A"/>
        <rFont val="Arial"/>
        <family val="0"/>
        <charset val="1"/>
      </rPr>
      <t xml:space="preserve">• B-3106 – diesel S10, carreg. rodoviário – OP M482301614 – H 54 mca – </t>
    </r>
    <r>
      <rPr>
        <sz val="9"/>
        <color rgb="FF00703C"/>
        <rFont val="Arial"/>
        <family val="0"/>
        <charset val="1"/>
      </rPr>
      <t xml:space="preserve">121849
</t>
    </r>
    <r>
      <rPr>
        <sz val="9"/>
        <color rgb="FF1F4E9A"/>
        <rFont val="Arial"/>
        <family val="0"/>
        <charset val="1"/>
      </rPr>
      <t xml:space="preserve">• B-3107 – diesel S500, carreg. rodoviário – OP M482301616 – H 51 mca – </t>
    </r>
    <r>
      <rPr>
        <sz val="9"/>
        <color rgb="FF00703C"/>
        <rFont val="Arial"/>
        <family val="0"/>
        <charset val="1"/>
      </rPr>
      <t xml:space="preserve">121746
</t>
    </r>
    <r>
      <rPr>
        <sz val="9"/>
        <color rgb="FF1F4E9A"/>
        <rFont val="Arial"/>
        <family val="0"/>
        <charset val="1"/>
      </rPr>
      <t xml:space="preserve">• B-3108 – diesel S500, carreg. rodoviário – OP M482301617 – H 51 mca – </t>
    </r>
    <r>
      <rPr>
        <sz val="9"/>
        <color rgb="FF00703C"/>
        <rFont val="Arial"/>
        <family val="0"/>
        <charset val="1"/>
      </rPr>
      <t xml:space="preserve">121764
</t>
    </r>
    <r>
      <rPr>
        <sz val="9"/>
        <color rgb="FF1F4E9A"/>
        <rFont val="Arial"/>
        <family val="0"/>
        <charset val="1"/>
      </rPr>
      <t xml:space="preserve">• B-3110 – etanol hidratado, reserva da B-3109 – OP M482301619 – H 52 mca – </t>
    </r>
    <r>
      <rPr>
        <sz val="9"/>
        <color rgb="FF00703C"/>
        <rFont val="Arial"/>
        <family val="0"/>
        <charset val="1"/>
      </rPr>
      <t xml:space="preserve">121724
</t>
    </r>
    <r>
      <rPr>
        <sz val="9"/>
        <color rgb="FF1F4E9A"/>
        <rFont val="Arial"/>
        <family val="0"/>
        <charset val="1"/>
      </rPr>
      <t xml:space="preserve">• B-3111 – biodiesel, carreg. rodoviário – OP M482301620 – Q 72 m³/h, H 53 mca – </t>
    </r>
    <r>
      <rPr>
        <sz val="9"/>
        <color rgb="FF00703C"/>
        <rFont val="Arial"/>
        <family val="0"/>
        <charset val="1"/>
      </rPr>
      <t xml:space="preserve">121636
</t>
    </r>
    <r>
      <rPr>
        <sz val="9"/>
        <color rgb="FF1F4E9A"/>
        <rFont val="Arial"/>
        <family val="0"/>
        <charset val="1"/>
      </rPr>
      <t xml:space="preserve">• B-3112 – biodiesel, reserva – OP M482301621 – Q 72 m³/h, H 53 mca – </t>
    </r>
    <r>
      <rPr>
        <sz val="9"/>
        <color rgb="FF00703C"/>
        <rFont val="Arial"/>
        <family val="0"/>
        <charset val="1"/>
      </rPr>
      <t xml:space="preserve">121656
</t>
    </r>
    <r>
      <rPr>
        <sz val="9"/>
        <color rgb="FF1F4E9A"/>
        <rFont val="Arial"/>
        <family val="0"/>
        <charset val="1"/>
      </rPr>
      <t xml:space="preserve">• B-3113 – diesel S10/S500, reserva rodoviária – OP M482301615 – H 54 mca – </t>
    </r>
    <r>
      <rPr>
        <sz val="9"/>
        <color rgb="FF00703C"/>
        <rFont val="Arial"/>
        <family val="0"/>
        <charset val="1"/>
      </rPr>
      <t xml:space="preserve">121779
</t>
    </r>
    <r>
      <rPr>
        <sz val="9"/>
        <color rgb="FF1F4E9A"/>
        <rFont val="Arial"/>
        <family val="0"/>
        <charset val="1"/>
      </rPr>
      <t xml:space="preserve">• B-3114 – biodiesel, carreg. ferroviário – OP M482301622 – H 50 mca, 158 kg – </t>
    </r>
    <r>
      <rPr>
        <sz val="9"/>
        <color rgb="FF00703C"/>
        <rFont val="Arial"/>
        <family val="0"/>
        <charset val="1"/>
      </rPr>
      <t xml:space="preserve">121603
</t>
    </r>
    <r>
      <rPr>
        <sz val="9"/>
        <color rgb="FF1F4E9A"/>
        <rFont val="Arial"/>
        <family val="0"/>
        <charset val="1"/>
      </rPr>
      <t xml:space="preserve">• B-3115 – biodiesel, reserva ferroviária – OP M482301623 – H 50 mca, 158 kg – </t>
    </r>
    <r>
      <rPr>
        <sz val="9"/>
        <color rgb="FF00703C"/>
        <rFont val="Arial"/>
        <family val="0"/>
        <charset val="1"/>
      </rPr>
      <t xml:space="preserve">121621
</t>
    </r>
    <r>
      <rPr>
        <b val="true"/>
        <sz val="9"/>
        <color rgb="FF000000"/>
        <rFont val="Arial"/>
        <family val="0"/>
        <charset val="1"/>
      </rPr>
      <t xml:space="preserve">Notas fiscais e cotação
</t>
    </r>
    <r>
      <rPr>
        <sz val="9"/>
        <color rgb="FFC00000"/>
        <rFont val="Arial"/>
        <family val="0"/>
        <charset val="1"/>
      </rPr>
      <t xml:space="preserve">NF 34370 de 15/08/2024 – KSB Brasil Ltda (CNPJ 60.680.873/0009-71): "Bomba KSB", R$ 1.328.703,93 (10 un. desta linha + linhas 5, 12 e 13); NF 34511 de 10/09/2024 – KSB Brasil Ltda: "Conjunto bomba KSB", R$ 1.139.300,87 (2 un. desta linha + linhas 6 a 10). Parcela desta linha: R$ 1.223.780,04. </t>
    </r>
    <r>
      <rPr>
        <sz val="9"/>
        <color rgb="FF002060"/>
        <rFont val="Arial"/>
        <family val="0"/>
        <charset val="1"/>
      </rPr>
      <t xml:space="preserve">Cotação KSB RAS0051138 Rev. 10 de 11/12/2023, itens 1-6 e 8-13: 12 × R$ 101.981,67 = R$ 1.223.780,04 (R$ 87.307,12 sem impostos cada), Finame 03279333, prazo 150 dias, CIF.</t>
    </r>
  </si>
  <si>
    <t xml:space="preserve">CORREÇÃO: a base de 07/10 incluía B-3116/B-3117 nesta linha e levava B-3111/B-3112 para a linha 6; a planilha de preços KSB mostra que os 12 TAGs de R$ 101.981,67 são os listados acima e que B-3116/3117 (R$ 87.358,35) são a linha 6. OPs lidas parcialmente em campo (B-3103, 3104, 3105, 3110, 3111, 3112, 3115) foram completadas pela ANP (Fig. 146-158); nenhuma contradição entre campo e ANP. A atribuição de cada TAG a uma das duas NFs continua indeterminada (as NFs não listam TAGs). Soma da cotação das 28 bombas = linhas 4-13 da crítica (1 centavo); as 3 NFs KSB excedem a cotação em R$ 71.060,00.</t>
  </si>
  <si>
    <t xml:space="preserve">0074-0160 (por TAG na CARACTERIZACAO) | ANP Fig. 146-158</t>
  </si>
  <si>
    <t xml:space="preserve">5</t>
  </si>
  <si>
    <t xml:space="preserve">Bomba de produto B-3109 – Megacpk 100-065-315 (KSB)</t>
  </si>
  <si>
    <r>
      <rPr>
        <b val="true"/>
        <sz val="9"/>
        <color rgb="FF000000"/>
        <rFont val="Arial"/>
        <family val="0"/>
        <charset val="1"/>
      </rPr>
      <t xml:space="preserve">BOMBA DE PRODUTO B-3109
</t>
    </r>
    <r>
      <rPr>
        <sz val="9"/>
        <color rgb="FF000000"/>
        <rFont val="Arial"/>
        <family val="0"/>
        <charset val="1"/>
      </rPr>
      <t xml:space="preserve">Bomba KSB Megacpk 100-065-315, </t>
    </r>
    <r>
      <rPr>
        <sz val="9"/>
        <color rgb="FF1F4E9A"/>
        <rFont val="Arial"/>
        <family val="0"/>
        <charset val="1"/>
      </rPr>
      <t xml:space="preserve">placa MCPK 100-65-315 EE, OP M482301618, Q 70 m³/h, H 42 mca, 1784 rpm, 150 kg, 2024; serviço em campo: etanol anidro – carregamento rodoviário. </t>
    </r>
    <r>
      <rPr>
        <sz val="9"/>
        <color rgb="FFB38600"/>
        <rFont val="Arial"/>
        <family val="0"/>
        <charset val="1"/>
      </rPr>
      <t xml:space="preserve">Projeto: etanol anidro, sucção 6", recalque 4" (DE-3100-1300-002). </t>
    </r>
    <r>
      <rPr>
        <sz val="9"/>
        <color rgb="FF00703C"/>
        <rFont val="Arial"/>
        <family val="0"/>
        <charset val="1"/>
      </rPr>
      <t xml:space="preserve">SAP: B-3109, equip. 000000121706, BPAM-SCAR-CET-01-19-01, ABC B.
</t>
    </r>
    <r>
      <rPr>
        <b val="true"/>
        <sz val="9"/>
        <color rgb="FF000000"/>
        <rFont val="Arial"/>
        <family val="0"/>
        <charset val="1"/>
      </rPr>
      <t xml:space="preserve">Nota fiscal e cotação
</t>
    </r>
    <r>
      <rPr>
        <sz val="9"/>
        <color rgb="FFC00000"/>
        <rFont val="Arial"/>
        <family val="0"/>
        <charset val="1"/>
      </rPr>
      <t xml:space="preserve">NF 34370 de 15/08/2024 – KSB Brasil Ltda: parcela R$ 71.978,04 (decomposição aritmética). </t>
    </r>
    <r>
      <rPr>
        <sz val="9"/>
        <color rgb="FF002060"/>
        <rFont val="Arial"/>
        <family val="0"/>
        <charset val="1"/>
      </rPr>
      <t xml:space="preserve">Cotação KSB RAS0051138 Rev. 10, item 7: R$ 71.978,04 (R$ 61.620,83 sem impostos), Finame 03279333.</t>
    </r>
  </si>
  <si>
    <t xml:space="preserve">Campo leu OP "M482301818"; ANP (Fig. 152, nítida) e a sequência 1611-1625 dão M482301618 – erro de leitura de campo. Única 100-065-315 em campo.</t>
  </si>
  <si>
    <t xml:space="preserve">0102-0105 | ANP Fig. 152</t>
  </si>
  <si>
    <t xml:space="preserve">6</t>
  </si>
  <si>
    <t xml:space="preserve">2 bombas de produto B-3116 e B-3117 – Megacpk 125-080-315 (KSB)</t>
  </si>
  <si>
    <r>
      <rPr>
        <b val="true"/>
        <sz val="9"/>
        <color rgb="FF000000"/>
        <rFont val="Arial"/>
        <family val="0"/>
        <charset val="1"/>
      </rPr>
      <t xml:space="preserve">BOMBAS DE PRODUTO B-3116 / B-3117 (etanol anidro – ferroviário)
</t>
    </r>
    <r>
      <rPr>
        <sz val="9"/>
        <color rgb="FF000000"/>
        <rFont val="Arial"/>
        <family val="0"/>
        <charset val="1"/>
      </rPr>
      <t xml:space="preserve">2 bombas KSB Megacpk 125-080-315, </t>
    </r>
    <r>
      <rPr>
        <sz val="9"/>
        <color rgb="FF1F4E9A"/>
        <rFont val="Arial"/>
        <family val="0"/>
        <charset val="1"/>
      </rPr>
      <t xml:space="preserve">placas MCPK 125-80-315 EE, Q 120 m³/h, H 50 mca, 1771 rpm, 158 kg, 2024. </t>
    </r>
    <r>
      <rPr>
        <sz val="9"/>
        <color rgb="FFB38600"/>
        <rFont val="Arial"/>
        <family val="0"/>
        <charset val="1"/>
      </rPr>
      <t xml:space="preserve">Projeto: etanol anidro, sucção 6", recalque 6" (DE-3100-1300-002).
</t>
    </r>
    <r>
      <rPr>
        <b val="true"/>
        <sz val="9"/>
        <color rgb="FF000000"/>
        <rFont val="Arial"/>
        <family val="0"/>
        <charset val="1"/>
      </rPr>
      <t xml:space="preserve">Componentes
</t>
    </r>
    <r>
      <rPr>
        <sz val="9"/>
        <color rgb="FF1F4E9A"/>
        <rFont val="Arial"/>
        <family val="0"/>
        <charset val="1"/>
      </rPr>
      <t xml:space="preserve">• B-3116 – etanol anidro, carreg. ferroviário – OP M482301624 (dígito coberto na placa; sequência confirma) – </t>
    </r>
    <r>
      <rPr>
        <sz val="9"/>
        <color rgb="FF00703C"/>
        <rFont val="Arial"/>
        <family val="0"/>
        <charset val="1"/>
      </rPr>
      <t xml:space="preserve">SAP 121673
</t>
    </r>
    <r>
      <rPr>
        <sz val="9"/>
        <color rgb="FF1F4E9A"/>
        <rFont val="Arial"/>
        <family val="0"/>
        <charset val="1"/>
      </rPr>
      <t xml:space="preserve">• B-3117 – etanol anidro, reserva ferroviária – OP M482301625 – </t>
    </r>
    <r>
      <rPr>
        <sz val="9"/>
        <color rgb="FF00703C"/>
        <rFont val="Arial"/>
        <family val="0"/>
        <charset val="1"/>
      </rPr>
      <t xml:space="preserve">SAP 121691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R$ 174.716,70. </t>
    </r>
    <r>
      <rPr>
        <sz val="9"/>
        <color rgb="FF002060"/>
        <rFont val="Arial"/>
        <family val="0"/>
        <charset val="1"/>
      </rPr>
      <t xml:space="preserve">Cotação KSB RAS0051138 Rev. 10, itens 14 e 15: 2 × R$ 87.358,35 = R$ 174.716,70 (R$ 74.788,01 sem impostos cada), Finame 03279333.</t>
    </r>
  </si>
  <si>
    <t xml:space="preserve">CORREÇÃO: a base de 07/10 atribuía esta linha a B-3111/B-3112 (Q 72 m³/h, recalque 4"); a cotação KSB mostra que o preço menor é de B-3116/B-3117. Mesmo modelo de placa das 12 bombas da linha 4; o preço menor vem da cotação, não de diferença visível na placa.</t>
  </si>
  <si>
    <t xml:space="preserve">0106-0117 | ANP Fig. 159, 160</t>
  </si>
  <si>
    <t xml:space="preserve">7</t>
  </si>
  <si>
    <t xml:space="preserve">2 bombas CETRAN 02 B-3118 e B-3119 – Megacpk 125-100-315 (KSB)</t>
  </si>
  <si>
    <r>
      <rPr>
        <b val="true"/>
        <sz val="9"/>
        <color rgb="FF000000"/>
        <rFont val="Arial"/>
        <family val="0"/>
        <charset val="1"/>
      </rPr>
      <t xml:space="preserve">BOMBAS CETRAN 02 (ferroviário) – B-3118 / B-3119 – gasolina
</t>
    </r>
    <r>
      <rPr>
        <sz val="9"/>
        <color rgb="FF000000"/>
        <rFont val="Arial"/>
        <family val="0"/>
        <charset val="1"/>
      </rPr>
      <t xml:space="preserve">2 bombas KSB Megacpk 125-100-315, </t>
    </r>
    <r>
      <rPr>
        <sz val="9"/>
        <color rgb="FF1F4E9A"/>
        <rFont val="Arial"/>
        <family val="0"/>
        <charset val="1"/>
      </rPr>
      <t xml:space="preserve">placas MCPK 125-100-315 (EE), Q 180 m³/h, H 32 mca, 1776 rpm, 159 kg, 2024; motor WEG W22Xd 180M/L, 18,5 kW / 25 cv, 1780 rpm, 220/380/440 V, 247 kg, Ex db IIB T4 Gb, DNV 18.0055 X. </t>
    </r>
    <r>
      <rPr>
        <sz val="9"/>
        <color rgb="FFB38600"/>
        <rFont val="Arial"/>
        <family val="0"/>
        <charset val="1"/>
      </rPr>
      <t xml:space="preserve">Projeto: gasolina, sucção 8", recalque 6" (DE-3100-1300-007). </t>
    </r>
    <r>
      <rPr>
        <sz val="9"/>
        <color rgb="FF00703C"/>
        <rFont val="Arial"/>
        <family val="0"/>
        <charset val="1"/>
      </rPr>
      <t xml:space="preserve">SAP: B-3118 equip. 121928 (CET-13-01-01) e B-3119 equip. 121949 (CET-13-04-01), ABC B.
</t>
    </r>
    <r>
      <rPr>
        <b val="true"/>
        <sz val="9"/>
        <color rgb="FF000000"/>
        <rFont val="Arial"/>
        <family val="0"/>
        <charset val="1"/>
      </rPr>
      <t xml:space="preserve">Componentes
</t>
    </r>
    <r>
      <rPr>
        <sz val="9"/>
        <color rgb="FF1F4E9A"/>
        <rFont val="Arial"/>
        <family val="0"/>
        <charset val="1"/>
      </rPr>
      <t xml:space="preserve">• B-3118 – OP M482301626.
• B-3119 – OP M482301627.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R$ 161.876,22. </t>
    </r>
    <r>
      <rPr>
        <sz val="9"/>
        <color rgb="FF002060"/>
        <rFont val="Arial"/>
        <family val="0"/>
        <charset val="1"/>
      </rPr>
      <t xml:space="preserve">Cotação KSB RAS0051138 Rev. 10, itens 16-17: 2 × R$ 80.938,11 = R$ 161.876,22, Finame 03279333.</t>
    </r>
  </si>
  <si>
    <t xml:space="preserve">Atribuição por indício (motor 18,5 kW = preço menor) agora documentada pela cotação. ANP Fig. 167/168 sem leitura de placa.</t>
  </si>
  <si>
    <t xml:space="preserve">0788-0796, 1068-1076</t>
  </si>
  <si>
    <t xml:space="preserve">8</t>
  </si>
  <si>
    <t xml:space="preserve">3 bombas CETRAN 02 B-3120, B-3122 e B-3123 – Megacpk 125-100-315 (KSB)</t>
  </si>
  <si>
    <r>
      <rPr>
        <b val="true"/>
        <sz val="9"/>
        <color rgb="FF000000"/>
        <rFont val="Arial"/>
        <family val="0"/>
        <charset val="1"/>
      </rPr>
      <t xml:space="preserve">BOMBAS CETRAN 02 (ferroviário) – B-3120 / B-3122 / B-3123 – diesel
</t>
    </r>
    <r>
      <rPr>
        <sz val="9"/>
        <color rgb="FF000000"/>
        <rFont val="Arial"/>
        <family val="0"/>
        <charset val="1"/>
      </rPr>
      <t xml:space="preserve">3 bombas KSB Megacpk 125-100-315, </t>
    </r>
    <r>
      <rPr>
        <sz val="9"/>
        <color rgb="FF1F4E9A"/>
        <rFont val="Arial"/>
        <family val="0"/>
        <charset val="1"/>
      </rPr>
      <t xml:space="preserve">placas MCPK 125-100-315 EE, Q 180 m³/h, 1775 rpm, 162-163 kg, 2024; motor WEG W22Xd 200M/L, 30 kW / 40 cv, 1780 rpm, 317 kg, Ex db IIB T4 Gb. </t>
    </r>
    <r>
      <rPr>
        <sz val="9"/>
        <color rgb="FFB38600"/>
        <rFont val="Arial"/>
        <family val="0"/>
        <charset val="1"/>
      </rPr>
      <t xml:space="preserve">Projeto: diesel S10 e S500, sucção 8", recalque 6" (DE-3100-1300-007).
</t>
    </r>
    <r>
      <rPr>
        <b val="true"/>
        <sz val="9"/>
        <color rgb="FF000000"/>
        <rFont val="Arial"/>
        <family val="0"/>
        <charset val="1"/>
      </rPr>
      <t xml:space="preserve">Componentes
</t>
    </r>
    <r>
      <rPr>
        <sz val="9"/>
        <color rgb="FF1F4E9A"/>
        <rFont val="Arial"/>
        <family val="0"/>
        <charset val="1"/>
      </rPr>
      <t xml:space="preserve">• B-3120 – diesel S10 – OP M482301628 – H não lida – </t>
    </r>
    <r>
      <rPr>
        <sz val="9"/>
        <color rgb="FF00703C"/>
        <rFont val="Arial"/>
        <family val="0"/>
        <charset val="1"/>
      </rPr>
      <t xml:space="preserve">SAP 121967
</t>
    </r>
    <r>
      <rPr>
        <sz val="9"/>
        <color rgb="FF1F4E9A"/>
        <rFont val="Arial"/>
        <family val="0"/>
        <charset val="1"/>
      </rPr>
      <t xml:space="preserve">• B-3122 – diesel S500 – OP M482301630 – H 39 mca – </t>
    </r>
    <r>
      <rPr>
        <sz val="9"/>
        <color rgb="FF00703C"/>
        <rFont val="Arial"/>
        <family val="0"/>
        <charset val="1"/>
      </rPr>
      <t xml:space="preserve">SAP 122006
</t>
    </r>
    <r>
      <rPr>
        <sz val="9"/>
        <color rgb="FF1F4E9A"/>
        <rFont val="Arial"/>
        <family val="0"/>
        <charset val="1"/>
      </rPr>
      <t xml:space="preserve">• B-3123 – diesel S500 – OP M482301631 – H 39 mca – </t>
    </r>
    <r>
      <rPr>
        <sz val="9"/>
        <color rgb="FF00703C"/>
        <rFont val="Arial"/>
        <family val="0"/>
        <charset val="1"/>
      </rPr>
      <t xml:space="preserve">SAP 122027
</t>
    </r>
    <r>
      <rPr>
        <b val="true"/>
        <sz val="9"/>
        <color rgb="FF000000"/>
        <rFont val="Arial"/>
        <family val="0"/>
        <charset val="1"/>
      </rPr>
      <t xml:space="preserve">Nota fiscal e cotação
</t>
    </r>
    <r>
      <rPr>
        <sz val="9"/>
        <color rgb="FFC00000"/>
        <rFont val="Arial"/>
        <family val="0"/>
        <charset val="1"/>
      </rPr>
      <t xml:space="preserve">NF 34511 de 10/09/2024 – KSB Brasil Ltda: parcela R$ 308.561,97. </t>
    </r>
    <r>
      <rPr>
        <sz val="9"/>
        <color rgb="FF002060"/>
        <rFont val="Arial"/>
        <family val="0"/>
        <charset val="1"/>
      </rPr>
      <t xml:space="preserve">Cotação KSB RAS0051138 Rev. 10, itens 18, 20 e 21: 3 × R$ 102.853,99 = R$ 308.561,97, Finame 03279333.</t>
    </r>
  </si>
  <si>
    <t xml:space="preserve">CORREÇÃO: a base de 07/10 colocava B-3120/3121/3122 aqui e B-3123 na linha 9; a cotação dá B-3121 na linha 9 (R$ 102.010,24) e B-3123 aqui. As quatro bombas (B-3120 a 3123) são fisicamente idênticas; a diferença de R$ 843,75 é só de preço.</t>
  </si>
  <si>
    <t xml:space="preserve">0797-0802, 0812-0826</t>
  </si>
  <si>
    <t xml:space="preserve">9</t>
  </si>
  <si>
    <t xml:space="preserve">Bomba CETRAN 02 B-3121 – Megacpk 125-100-315 (KSB)</t>
  </si>
  <si>
    <r>
      <rPr>
        <b val="true"/>
        <sz val="9"/>
        <color rgb="FF000000"/>
        <rFont val="Arial"/>
        <family val="0"/>
        <charset val="1"/>
      </rPr>
      <t xml:space="preserve">BOMBA CETRAN 02 (ferroviário) – B-3121 – diesel S10
</t>
    </r>
    <r>
      <rPr>
        <sz val="9"/>
        <color rgb="FF000000"/>
        <rFont val="Arial"/>
        <family val="0"/>
        <charset val="1"/>
      </rPr>
      <t xml:space="preserve">Bomba KSB Megacpk 125-100-315, </t>
    </r>
    <r>
      <rPr>
        <sz val="9"/>
        <color rgb="FF1F4E9A"/>
        <rFont val="Arial"/>
        <family val="0"/>
        <charset val="1"/>
      </rPr>
      <t xml:space="preserve">placa MCPK 125-100-315 EE, OP M482301629, Q 180 m³/h, H 42 mca, 1775 rpm, 162 kg, 2024; motor WEG W22Xd 200M/L 30 kW / 40 cv Ex db IIB T4 Gb. </t>
    </r>
    <r>
      <rPr>
        <sz val="9"/>
        <color rgb="FFB38600"/>
        <rFont val="Arial"/>
        <family val="0"/>
        <charset val="1"/>
      </rPr>
      <t xml:space="preserve">Projeto: diesel S10, sucção 8", recalque 6". </t>
    </r>
    <r>
      <rPr>
        <sz val="9"/>
        <color rgb="FF00703C"/>
        <rFont val="Arial"/>
        <family val="0"/>
        <charset val="1"/>
      </rPr>
      <t xml:space="preserve">SAP: B-3121, equip. 000000121988, CET-13-10-01, ABC B.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R$ 102.010,24. </t>
    </r>
    <r>
      <rPr>
        <sz val="9"/>
        <color rgb="FF002060"/>
        <rFont val="Arial"/>
        <family val="0"/>
        <charset val="1"/>
      </rPr>
      <t xml:space="preserve">Cotação KSB RAS0051138 Rev. 10, item 19: R$ 102.010,24 (R$ 87.331,58 sem impostos), Finame 03279333.</t>
    </r>
  </si>
  <si>
    <t xml:space="preserve">CORREÇÃO: a base de 07/10 atribuía esta linha à B-3123.</t>
  </si>
  <si>
    <t xml:space="preserve">0804-0809</t>
  </si>
  <si>
    <t xml:space="preserve">10</t>
  </si>
  <si>
    <t xml:space="preserve">2 bombas de drenagem B-3130 e B-3131 – Megaflow V 80-250 K (KSB)</t>
  </si>
  <si>
    <r>
      <rPr>
        <b val="true"/>
        <sz val="9"/>
        <color rgb="FF000000"/>
        <rFont val="Arial"/>
        <family val="0"/>
        <charset val="1"/>
      </rPr>
      <t xml:space="preserve">BOMBAS DE DRENAGEM / EFLUENTES – B-3130 / B-3131
</t>
    </r>
    <r>
      <rPr>
        <sz val="9"/>
        <color rgb="FF000000"/>
        <rFont val="Arial"/>
        <family val="0"/>
        <charset val="1"/>
      </rPr>
      <t xml:space="preserve">2 bombas KSB Megaflow V 80-250 K, </t>
    </r>
    <r>
      <rPr>
        <sz val="9"/>
        <color rgb="FF1F4E9A"/>
        <rFont val="Arial"/>
        <family val="0"/>
        <charset val="1"/>
      </rPr>
      <t xml:space="preserve">verticais (de poço), Q 35 m³/h, H 25 mca, 1775 rpm, 445 kg (650 kg o conjunto), 2024; motor WEG 220/380/440 V, 15 kW, 1775 rpm. </t>
    </r>
    <r>
      <rPr>
        <sz val="9"/>
        <color rgb="FF002060"/>
        <rFont val="Arial"/>
        <family val="0"/>
        <charset val="1"/>
      </rPr>
      <t xml:space="preserve">Placa-base e coluna de suspensão em aço carbono, crivo de sucção, motor Ex WEG W22Xdb, lubrificação do mancal por líquido externo. </t>
    </r>
    <r>
      <rPr>
        <sz val="9"/>
        <color rgb="FFB38600"/>
        <rFont val="Arial"/>
        <family val="0"/>
        <charset val="1"/>
      </rPr>
      <t xml:space="preserve">Função: drenagem (DE-3100-1400-002), recalque 3". </t>
    </r>
    <r>
      <rPr>
        <sz val="9"/>
        <color rgb="FF00703C"/>
        <rFont val="Arial"/>
        <family val="0"/>
        <charset val="1"/>
      </rPr>
      <t xml:space="preserve">SAP: não cadastradas na seleção.
</t>
    </r>
    <r>
      <rPr>
        <b val="true"/>
        <sz val="9"/>
        <color rgb="FF000000"/>
        <rFont val="Arial"/>
        <family val="0"/>
        <charset val="1"/>
      </rPr>
      <t xml:space="preserve">Componentes
</t>
    </r>
    <r>
      <rPr>
        <sz val="9"/>
        <color rgb="FF1F4E9A"/>
        <rFont val="Arial"/>
        <family val="0"/>
        <charset val="1"/>
      </rPr>
      <t xml:space="preserve">• B-3130 – OP M502300011.
• B-3131 – OP M502300012.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R$ 188.172,40. </t>
    </r>
    <r>
      <rPr>
        <sz val="9"/>
        <color rgb="FF002060"/>
        <rFont val="Arial"/>
        <family val="0"/>
        <charset val="1"/>
      </rPr>
      <t xml:space="preserve">Cotação KSB RAS0051138 Rev. 10, item 22: 2 × R$ 94.086,20 = R$ 188.172,40, Finame 03279333.</t>
    </r>
  </si>
  <si>
    <t xml:space="preserve">Placas lidas no lote 3 corrigem a ressalva antiga de "bombas subterrâneas sem placa". Par identificado pela cotação (o par de maior preço é o de Q 35 m³/h / 15 kW).</t>
  </si>
  <si>
    <t xml:space="preserve">0771-0780, 1077-1086</t>
  </si>
  <si>
    <t xml:space="preserve">11</t>
  </si>
  <si>
    <t xml:space="preserve">2 bombas de drenagem B-3132 e B-3133 – Megaflow V 80-250 K (KSB)</t>
  </si>
  <si>
    <r>
      <rPr>
        <b val="true"/>
        <sz val="9"/>
        <color rgb="FF000000"/>
        <rFont val="Arial"/>
        <family val="0"/>
        <charset val="1"/>
      </rPr>
      <t xml:space="preserve">BOMBAS DE DRENAGEM / EFLUENTES – B-3132 / B-3133
</t>
    </r>
    <r>
      <rPr>
        <sz val="9"/>
        <color rgb="FF000000"/>
        <rFont val="Arial"/>
        <family val="0"/>
        <charset val="1"/>
      </rPr>
      <t xml:space="preserve">2 bombas KSB Megaflow V 80-250 K, </t>
    </r>
    <r>
      <rPr>
        <sz val="9"/>
        <color rgb="FF1F4E9A"/>
        <rFont val="Arial"/>
        <family val="0"/>
        <charset val="1"/>
      </rPr>
      <t xml:space="preserve">verticais, Q 50 m³/h, H 10 mca, 1740 rpm, 570 kg (650 kg o conjunto), 2024. </t>
    </r>
    <r>
      <rPr>
        <sz val="9"/>
        <color rgb="FFB38600"/>
        <rFont val="Arial"/>
        <family val="0"/>
        <charset val="1"/>
      </rPr>
      <t xml:space="preserve">Função: drenagem (DE-3100-1400-002), recalque 3". </t>
    </r>
    <r>
      <rPr>
        <sz val="9"/>
        <color rgb="FF00703C"/>
        <rFont val="Arial"/>
        <family val="0"/>
        <charset val="1"/>
      </rPr>
      <t xml:space="preserve">SAP: não cadastradas na seleção.
</t>
    </r>
    <r>
      <rPr>
        <b val="true"/>
        <sz val="9"/>
        <color rgb="FF000000"/>
        <rFont val="Arial"/>
        <family val="0"/>
        <charset val="1"/>
      </rPr>
      <t xml:space="preserve">Componentes
</t>
    </r>
    <r>
      <rPr>
        <sz val="9"/>
        <color rgb="FF1F4E9A"/>
        <rFont val="Arial"/>
        <family val="0"/>
        <charset val="1"/>
      </rPr>
      <t xml:space="preserve">• B-3132 – OP M502300013.
• B-3133 – OP M502300014.
</t>
    </r>
    <r>
      <rPr>
        <b val="true"/>
        <sz val="9"/>
        <color rgb="FF000000"/>
        <rFont val="Arial"/>
        <family val="0"/>
        <charset val="1"/>
      </rPr>
      <t xml:space="preserve">Nota fiscal e cotação
</t>
    </r>
    <r>
      <rPr>
        <sz val="9"/>
        <color rgb="FFC00000"/>
        <rFont val="Arial"/>
        <family val="0"/>
        <charset val="1"/>
      </rPr>
      <t xml:space="preserve">NF 543048 de 09/09/2024 – KSB Brasil Ltda (CNPJ 60.680.873/0001-14): "Bomba Megaflow V80-250K", R$ 233.546,68. </t>
    </r>
    <r>
      <rPr>
        <sz val="9"/>
        <color rgb="FF002060"/>
        <rFont val="Arial"/>
        <family val="0"/>
        <charset val="1"/>
      </rPr>
      <t xml:space="preserve">Cotação KSB RAS0051138 Rev. 10, item 23: 2 × R$ 81.243,34 = R$ 162.486,68, Finame 03279333.</t>
    </r>
  </si>
  <si>
    <t xml:space="preserve">NF excede a crítica e a cotação em R$ 71.060,00 – o excesso não tem contrapartida na proposta KSB (não é frete, CIF, nem start-up, cotado à parte); pedir a NF detalhada. Finame: crítica 02171533 × cotação 03279333.</t>
  </si>
  <si>
    <t xml:space="preserve">0175-0179, 1047-1056</t>
  </si>
  <si>
    <t xml:space="preserve">12</t>
  </si>
  <si>
    <t xml:space="preserve">Skid de pressurização dos chuveiros de emergência B-31100 (KSB)</t>
  </si>
  <si>
    <r>
      <rPr>
        <b val="true"/>
        <sz val="9"/>
        <color rgb="FF000000"/>
        <rFont val="Arial"/>
        <family val="0"/>
        <charset val="1"/>
      </rPr>
      <t xml:space="preserve">BOMBA DE PRESSURIZAÇÃO DE ÁGUA DOS CHUVEIROS / LAVA-OLHOS – B-31100
</t>
    </r>
    <r>
      <rPr>
        <sz val="9"/>
        <color rgb="FF000000"/>
        <rFont val="Arial"/>
        <family val="0"/>
        <charset val="1"/>
      </rPr>
      <t xml:space="preserve">Bomba KSB Megacpk 050-032-200.1, </t>
    </r>
    <r>
      <rPr>
        <sz val="9"/>
        <color rgb="FF1F4E9A"/>
        <rFont val="Arial"/>
        <family val="0"/>
        <charset val="1"/>
      </rPr>
      <t xml:space="preserve">placa MCPK 50-32-200.1 GG, OP M482301632, Q 10 m³/h, H 57 mca, 3554 rpm, 50 kg, 2024; botoeira local "BOMBA 3160". </t>
    </r>
    <r>
      <rPr>
        <sz val="9"/>
        <color rgb="FFB38600"/>
        <rFont val="Arial"/>
        <family val="0"/>
        <charset val="1"/>
      </rPr>
      <t xml:space="preserve">Fornecida em skid com motobomba, tanque diafragma, painel com inversor de frequência, instrumentos, válvulas e tubulação; 7,5 cv, motor IP55 (LI-3100-6107, FD-3100-2500-028). </t>
    </r>
    <r>
      <rPr>
        <sz val="9"/>
        <color rgb="FF002060"/>
        <rFont val="Arial"/>
        <family val="0"/>
        <charset val="1"/>
      </rPr>
      <t xml:space="preserve">Cotação: motor W22 IR3 Premium (área não classificada), eixo com gaxetas, painel, inversor, tanque de expansão, pressostato, válvulas e manômetro acoplados. </t>
    </r>
    <r>
      <rPr>
        <sz val="9"/>
        <color rgb="FF00703C"/>
        <rFont val="Arial"/>
        <family val="0"/>
        <charset val="1"/>
      </rPr>
      <t xml:space="preserve">SAP: a bomba não consta; só a gaveta GAV-PN-3104 LAV OLHOS no CCM PN-3100.
</t>
    </r>
    <r>
      <rPr>
        <b val="true"/>
        <sz val="9"/>
        <color rgb="FF000000"/>
        <rFont val="Arial"/>
        <family val="0"/>
        <charset val="1"/>
      </rPr>
      <t xml:space="preserve">Nota fiscal e cotação
</t>
    </r>
    <r>
      <rPr>
        <sz val="9"/>
        <color rgb="FFC00000"/>
        <rFont val="Arial"/>
        <family val="0"/>
        <charset val="1"/>
      </rPr>
      <t xml:space="preserve">NF 34370 de 15/08/2024 – KSB Brasil Ltda: parcela R$ 76.802,33. </t>
    </r>
    <r>
      <rPr>
        <sz val="9"/>
        <color rgb="FF002060"/>
        <rFont val="Arial"/>
        <family val="0"/>
        <charset val="1"/>
      </rPr>
      <t xml:space="preserve">Cotação KSB RAS0051138 Rev. 10, item 24 (TAG "H-31100"): R$ 74.384,82 + IPI 3,25 % = R$ 76.802,33, Finame 03279333.</t>
    </r>
  </si>
  <si>
    <t xml:space="preserve">Três identificadores para o mesmo skid: B-31100 (projeto), H-31100 (cotação) e "BOMBA 3160" (botoeira). Motor e painel do skid não lidos em campo. Finame: crítica 02171533 × cotação 03279333. Alimenta os 74 chuveiros/lava-olhos cotados pela H&amp;M (R$ 106.301,00, fora da crítica).</t>
  </si>
  <si>
    <t xml:space="preserve">1029-1038</t>
  </si>
  <si>
    <t xml:space="preserve">13</t>
  </si>
  <si>
    <t xml:space="preserve">2 bombas de descarga rodoviária B-3124 e B-3125 – Megacpk 125-100-250 (KSB)</t>
  </si>
  <si>
    <r>
      <rPr>
        <b val="true"/>
        <sz val="9"/>
        <color rgb="FF000000"/>
        <rFont val="Arial"/>
        <family val="0"/>
        <charset val="1"/>
      </rPr>
      <t xml:space="preserve">BOMBAS DE DESCARGA RODOVIÁRIA – B-3124 / B-3125
</t>
    </r>
    <r>
      <rPr>
        <sz val="9"/>
        <color rgb="FF000000"/>
        <rFont val="Arial"/>
        <family val="0"/>
        <charset val="1"/>
      </rPr>
      <t xml:space="preserve">2 bombas KSB Megacpk 125-100-250, </t>
    </r>
    <r>
      <rPr>
        <sz val="9"/>
        <color rgb="FF1F4E9A"/>
        <rFont val="Arial"/>
        <family val="0"/>
        <charset val="1"/>
      </rPr>
      <t xml:space="preserve">placas MCPK 125-100-250 EE, Q 140,82 m³/h, H 33,19 mca, 1721 rpm, 131 kg, 2024 (ANP Fig. 177/178). </t>
    </r>
    <r>
      <rPr>
        <sz val="9"/>
        <color rgb="FFB38600"/>
        <rFont val="Arial"/>
        <family val="0"/>
        <charset val="1"/>
      </rPr>
      <t xml:space="preserve">Função: descarga de caminhões-tanque (produto HC), linhas 1200-1205 (DE-3100-1300-003); sucção e recalque 6". </t>
    </r>
    <r>
      <rPr>
        <sz val="9"/>
        <color rgb="FF00703C"/>
        <rFont val="Arial"/>
        <family val="0"/>
        <charset val="1"/>
      </rPr>
      <t xml:space="preserve">SAP: BOMBA CENTRIFUGA DESCARREG, B-3124 equip. 122667 e B-3125 equip. 122691, local PTM-10, ABC B.
</t>
    </r>
    <r>
      <rPr>
        <b val="true"/>
        <sz val="9"/>
        <color rgb="FF000000"/>
        <rFont val="Arial"/>
        <family val="0"/>
        <charset val="1"/>
      </rPr>
      <t xml:space="preserve">Componentes
</t>
    </r>
    <r>
      <rPr>
        <sz val="9"/>
        <color rgb="FF1F4E9A"/>
        <rFont val="Arial"/>
        <family val="0"/>
        <charset val="1"/>
      </rPr>
      <t xml:space="preserve">• B-3124 – OP M482301633 (lado A da plataforma de descarga, ANP Fig. 175).
• B-3125 – OP M482301634 (lado B, ANP Fig. 176).
</t>
    </r>
    <r>
      <rPr>
        <b val="true"/>
        <sz val="9"/>
        <color rgb="FF000000"/>
        <rFont val="Arial"/>
        <family val="0"/>
        <charset val="1"/>
      </rPr>
      <t xml:space="preserve">Nota fiscal e cotação
</t>
    </r>
    <r>
      <rPr>
        <sz val="9"/>
        <color rgb="FFC00000"/>
        <rFont val="Arial"/>
        <family val="0"/>
        <charset val="1"/>
      </rPr>
      <t xml:space="preserve">NF 34370 de 15/08/2024 – KSB Brasil Ltda: parcela R$ 160.106,86. </t>
    </r>
    <r>
      <rPr>
        <sz val="9"/>
        <color rgb="FF002060"/>
        <rFont val="Arial"/>
        <family val="0"/>
        <charset val="1"/>
      </rPr>
      <t xml:space="preserve">Cotação KSB RAS0051138 Rev. 10, item 25: 2 × R$ 80.053,43 = R$ 160.106,86, Finame 03279333.</t>
    </r>
  </si>
  <si>
    <t xml:space="preserve">Campo leu Q "82" (só a parte decimal) e peso 140 kg na B-3124; vale a ANP (140,82 m³/h, 131 kg). Etiqueta de campo diz "Carregamento"; projeto e SAP dizem descarga. Estas são, com forte indício, as "duas bombas" do skid de descarga 14d – a sobreposição 13 × 14d é descritiva (a Ultracargo comprou as bombas da KSB; o skid PHD/Metroval foi cotado "com duas bombas"); só a composição da NF PHD 1551 fecha a questão.</t>
  </si>
  <si>
    <t xml:space="preserve">0263-0266, 0273-0275 | ANP Fig. 175-178</t>
  </si>
  <si>
    <t xml:space="preserve">14</t>
  </si>
  <si>
    <t xml:space="preserve">GRUPO</t>
  </si>
  <si>
    <t xml:space="preserve">Conjunto de skids de carregamento rodoviário e ferroviário (Metroval) – 14a a 14e</t>
  </si>
  <si>
    <r>
      <rPr>
        <b val="true"/>
        <sz val="9"/>
        <color rgb="FF000000"/>
        <rFont val="Arial"/>
        <family val="0"/>
        <charset val="1"/>
      </rPr>
      <t xml:space="preserve">CONJUNTO DE SKIDS DE CARREGAMENTO E DESCARGA – LINHA 14 (= 14a + 14b + 14c + 14d + 14e)
</t>
    </r>
    <r>
      <rPr>
        <sz val="9"/>
        <color rgb="FF000000"/>
        <rFont val="Arial"/>
        <family val="0"/>
        <charset val="1"/>
      </rPr>
      <t xml:space="preserve">Fornecimento Metroval Controle de Fluídos: (a) skid + plataforma top loading, (b) unidade bottom loading, (c) skid de carregamento de vagões-tanque, (d) skid de descarga de caminhões-tanque com duas bombas, (e) carregamento ferroviário; total R$ 8.992.832,34, Finame 03204045. </t>
    </r>
    <r>
      <rPr>
        <sz val="9"/>
        <color rgb="FFB38600"/>
        <rFont val="Arial"/>
        <family val="0"/>
        <charset val="1"/>
      </rPr>
      <t xml:space="preserve">Arranjo DE-3100-5100-001/-006: plataformas PLCCT-01 e PLCCT-02 (carregamento de caminhão-tanque), PLDCT-03 (descarga), ilhas 01 a 07; não há lista de equipamentos Metroval no dossiê. </t>
    </r>
    <r>
      <rPr>
        <sz val="9"/>
        <color rgb="FF00703C"/>
        <rFont val="Arial"/>
        <family val="0"/>
        <charset val="1"/>
      </rPr>
      <t xml:space="preserve">SAP: skids, braços, medidores, válvulas e presets não constam na seleção.
</t>
    </r>
    <r>
      <rPr>
        <b val="true"/>
        <sz val="9"/>
        <color rgb="FF000000"/>
        <rFont val="Arial"/>
        <family val="0"/>
        <charset val="1"/>
      </rPr>
      <t xml:space="preserve">Notas fiscais e cotação
</t>
    </r>
    <r>
      <rPr>
        <sz val="9"/>
        <color rgb="FFC00000"/>
        <rFont val="Arial"/>
        <family val="0"/>
        <charset val="1"/>
      </rPr>
      <t xml:space="preserve">14 NFs somam R$ 9.073.319,40: 41385 Metroval 02/07/2024 "sistema de carregamento rodoviário bottomload e topload" R$ 4.881.799,51; 1551 PHD Master 01/03/2024 R$ 1.728.513,25; 42239 Metroval 13/11/2024 "válvula on-off" R$ 260.000,03; 7032 TSPRO 04/06/2024 R$ 87.357,24 e 7488 TSPRO 03/10/2024 R$ 218.393,10 (braços BT 4"); 11642 Redlands 05/09/2024 escada pantográfica R$ 241.395,00; 11726 Redlands 09/10/2024 R$ 49.425,00; 1621 PHD 22/10/2024 R$ 591.154,24; 91 Ecoserv 01/03/2024 R$ 182.000,00; 110 Ecoserv 24/04/2024 monitor de aterramento R$ 386.880,00; 142 Ecoserv 12/08/2024 amostrador R$ 100.000,00; 161 Ecoserv 04/11/2024 R$ 110.000,00; 26460 MKG 22/03/2024 R$ 193.140,00; 4965 Metroval 16/09/2024 serviço de assistência R$ 43.262,03. </t>
    </r>
    <r>
      <rPr>
        <sz val="9"/>
        <color rgb="FF002060"/>
        <rFont val="Arial"/>
        <family val="0"/>
        <charset val="1"/>
      </rPr>
      <t xml:space="preserve">Cotação Metroval 230200112STM-SC-RevE de 30/08/2023: preço único R$ 8.992.832,34 para os 5 subitens, Finame 03204045, CIF, prazo 150 dias, com faturamento direto previsto pela Redlands, MKG, PHD Master e Ecoserv (condições 7.2).</t>
    </r>
  </si>
  <si>
    <t xml:space="preserve">NFs do grupo excedem a crítica em R$ 80.487,06. A proposta Metroval explica as NFs de Redlands, MKG, PHD e Ecoserv (faturamento direto dentro do pacote); a TSPRO não está na lista – compra adicional ou substituição (sem a TSPRO as NFs ficam R$ 225.263,28 abaixo do pacote). NFs identificadas pelo OPE154: 11642 = 21 escadas pantográficas; 110 = 32 monitores de aterramento KFW; 142 = 4 amostradores KFW. Falta o de-para NF × subitem (pedido M16). Os presets Toptech vistos em campo correspondem à opção 5.1 da proposta (sem preset Metroval).</t>
  </si>
  <si>
    <t xml:space="preserve">ver subitens</t>
  </si>
  <si>
    <t xml:space="preserve">14a</t>
  </si>
  <si>
    <t xml:space="preserve">Skid + plataforma TOP LOADING (PLCCT, 2 posições, 7 pontos)</t>
  </si>
  <si>
    <r>
      <rPr>
        <b val="true"/>
        <sz val="9"/>
        <color rgb="FF000000"/>
        <rFont val="Arial"/>
        <family val="0"/>
        <charset val="1"/>
      </rPr>
      <t xml:space="preserve">SKID E PLATAFORMA DE CARREGAMENTO TOP LOADING – 14a
</t>
    </r>
    <r>
      <rPr>
        <sz val="9"/>
        <color rgb="FF000000"/>
        <rFont val="Arial"/>
        <family val="0"/>
        <charset val="1"/>
      </rPr>
      <t xml:space="preserve">Unidade de skid com plataforma para carregamento de caminhões-tanque, duas posições de estacionamento, braços top loading centrais e estrutura metálica do pavimento superior; 7 pontos de entrega: 2 gasolina C, 2 diesel S10, 2 diesel S500, 1 etanol hidratado; fornecedor Metroval. </t>
    </r>
    <r>
      <rPr>
        <sz val="9"/>
        <color rgb="FFB38600"/>
        <rFont val="Arial"/>
        <family val="0"/>
        <charset val="1"/>
      </rPr>
      <t xml:space="preserve">Plataformas PLCCT-01/PLCCT-02 (DE-3100-5100-006) com troles e trava-quedas de 1,5 t e chuveiros de emergência H-3143 a 3145 (LI-3100-6107). </t>
    </r>
    <r>
      <rPr>
        <sz val="9"/>
        <color rgb="FF1F4E9A"/>
        <rFont val="Arial"/>
        <family val="0"/>
        <charset val="1"/>
      </rPr>
      <t xml:space="preserve">Em campo: plataforma com 6 braços superiores Redlands (ANP Fig. 97/98), medidores tipo turbina e presets/overfill (ANP Fig. 106/108); sem placa geral do skid.
</t>
    </r>
    <r>
      <rPr>
        <b val="true"/>
        <sz val="9"/>
        <color rgb="FF000000"/>
        <rFont val="Arial"/>
        <family val="0"/>
        <charset val="1"/>
      </rPr>
      <t xml:space="preserve">Componentes
</t>
    </r>
    <r>
      <rPr>
        <sz val="9"/>
        <color rgb="FF1F4E9A"/>
        <rFont val="Arial"/>
        <family val="0"/>
        <charset val="1"/>
      </rPr>
      <t xml:space="preserve">• Braços de carregamento superior Redlands CC3201408310, Ø 4", 2024, pedido de compra 11715/11716 – BR-3101 nº 3632, BR-3102 nº 3633, BR-3103 nº 3634, BR-3104 nº 3635, BR-3105 nº 3636, BR-3106 nº 3637.
</t>
    </r>
    <r>
      <rPr>
        <sz val="9"/>
        <color rgb="FF002060"/>
        <rFont val="Arial"/>
        <family val="0"/>
        <charset val="1"/>
      </rPr>
      <t xml:space="preserve">• Acessórios cotados à parte: 40 troles manuais LEA 1,5 t (Granville, R$ 44.680,00) e 21 escadas pantográficas Redlands PF-1604 (R$ 241.395,00 = NF 11642).
</t>
    </r>
    <r>
      <rPr>
        <b val="true"/>
        <sz val="9"/>
        <color rgb="FF000000"/>
        <rFont val="Arial"/>
        <family val="0"/>
        <charset val="1"/>
      </rPr>
      <t xml:space="preserve">Nota fiscal e cotação
</t>
    </r>
    <r>
      <rPr>
        <sz val="9"/>
        <color rgb="FFC00000"/>
        <rFont val="Arial"/>
        <family val="0"/>
        <charset val="1"/>
      </rPr>
      <t xml:space="preserve">Sem NF própria; provável NF 41385 Metroval de 02/07/2024 (R$ 4.881.799,51, bottomload e topload, junto com 14b). </t>
    </r>
    <r>
      <rPr>
        <sz val="9"/>
        <color rgb="FF002060"/>
        <rFont val="Arial"/>
        <family val="0"/>
        <charset val="1"/>
      </rPr>
      <t xml:space="preserve">Cotação Metroval RevE item (a): sem preço individual (preço único do conjunto).</t>
    </r>
  </si>
  <si>
    <t xml:space="preserve">Crítica fala em 7 pontos; em campo há 6 braços – o 7º (etanol hidratado) não foi identificado. Os braços Redlands não têm cotação própria no OPE154; podem estar nas NFs Redlands 11726 (R$ 49.425,00, "itens diversos") ou no fornecimento Metroval. Troles e escadas: decidir se entram como componentes ou como Outros Fixos. NF 41385 excede 14a + 14b em R$ 690.801,61.</t>
  </si>
  <si>
    <t xml:space="preserve">0732-0768 | ANP Fig. 97, 98, 106, 108</t>
  </si>
  <si>
    <t xml:space="preserve">14b</t>
  </si>
  <si>
    <t xml:space="preserve">Unidade BOTTOM LOADING (2 posições, 7 pontos)</t>
  </si>
  <si>
    <r>
      <rPr>
        <b val="true"/>
        <sz val="9"/>
        <color rgb="FF000000"/>
        <rFont val="Arial"/>
        <family val="0"/>
        <charset val="1"/>
      </rPr>
      <t xml:space="preserve">UNIDADE DE CARREGAMENTO BOTTOM LOADING – 14b
</t>
    </r>
    <r>
      <rPr>
        <sz val="9"/>
        <color rgb="FF000000"/>
        <rFont val="Arial"/>
        <family val="0"/>
        <charset val="1"/>
      </rPr>
      <t xml:space="preserve">Unidade de skid para carregamento de caminhões-tanque, duas posições, braços bottom loading centrais, sem estrutura de plataforma; 7 pontos: 2 gasolina C, 2 diesel S10, 2 diesel S500, 1 etanol hidratado; fornecedor Metroval. </t>
    </r>
    <r>
      <rPr>
        <sz val="9"/>
        <color rgb="FFB38600"/>
        <rFont val="Arial"/>
        <family val="0"/>
        <charset val="1"/>
      </rPr>
      <t xml:space="preserve">Projeto: chuveiros/lava-olhos e trole da "plataforma bottom" (LI-3100-6107).
</t>
    </r>
    <r>
      <rPr>
        <b val="true"/>
        <sz val="9"/>
        <color rgb="FF000000"/>
        <rFont val="Arial"/>
        <family val="0"/>
        <charset val="1"/>
      </rPr>
      <t xml:space="preserve">Componentes
</t>
    </r>
    <r>
      <rPr>
        <sz val="9"/>
        <color rgb="FF1F4E9A"/>
        <rFont val="Arial"/>
        <family val="0"/>
        <charset val="1"/>
      </rPr>
      <t xml:space="preserve">• Presets (computadores de vazão) Toptech MultiLoad II Ex – BOTTOM-3107 (preset A) e BOTTOM-3108 (preset B), sem nº de série lido; 1 preset Toptech MultiLoad II EXL sem TAG (lote 3).
• Braços bottom loading (acoplador API, braço de vapor): não caracterizados em campo.
</t>
    </r>
    <r>
      <rPr>
        <sz val="9"/>
        <color rgb="FF002060"/>
        <rFont val="Arial"/>
        <family val="0"/>
        <charset val="1"/>
      </rPr>
      <t xml:space="preserve">• Monitores de aterramento KFW (32 un., Ecoserv 036/24 = NF 110): parte deles nesta unidade </t>
    </r>
    <r>
      <rPr>
        <sz val="9"/>
        <color rgb="FF1F4E9A"/>
        <rFont val="Arial"/>
        <family val="0"/>
        <charset val="1"/>
      </rPr>
      <t xml:space="preserve">(lidos em campo como XS-xxxx, SLA-S-Y – ver 14 (comp.)).
</t>
    </r>
    <r>
      <rPr>
        <b val="true"/>
        <sz val="9"/>
        <color rgb="FF000000"/>
        <rFont val="Arial"/>
        <family val="0"/>
        <charset val="1"/>
      </rPr>
      <t xml:space="preserve">Nota fiscal e cotação
</t>
    </r>
    <r>
      <rPr>
        <sz val="9"/>
        <color rgb="FFC00000"/>
        <rFont val="Arial"/>
        <family val="0"/>
        <charset val="1"/>
      </rPr>
      <t xml:space="preserve">Sem NF própria; provável NF 41385 Metroval (junto com 14a). </t>
    </r>
    <r>
      <rPr>
        <sz val="9"/>
        <color rgb="FF002060"/>
        <rFont val="Arial"/>
        <family val="0"/>
        <charset val="1"/>
      </rPr>
      <t xml:space="preserve">Cotação Metroval RevE item (b): sem preço individual.</t>
    </r>
  </si>
  <si>
    <t xml:space="preserve">Os 7 braços de bottom loading não foram fotografados nem lidos – pendência de campo. Parte dos FT/FCV/SDV/TE da seção "14 (comp.)" pertence a esta unidade, sem documento que diga quais.</t>
  </si>
  <si>
    <t xml:space="preserve">0475, 0476, 0990-0991</t>
  </si>
  <si>
    <t xml:space="preserve">14c</t>
  </si>
  <si>
    <t xml:space="preserve">Skid de carregamento de vagões-tanque PLCVT-01 / U-3105 (4 pontos)</t>
  </si>
  <si>
    <r>
      <rPr>
        <b val="true"/>
        <sz val="9"/>
        <color rgb="FF000000"/>
        <rFont val="Arial"/>
        <family val="0"/>
        <charset val="1"/>
      </rPr>
      <t xml:space="preserve">SKID DE CARREGAMENTO DE VAGÕES-TANQUE – 14c
</t>
    </r>
    <r>
      <rPr>
        <sz val="9"/>
        <color rgb="FF000000"/>
        <rFont val="Arial"/>
        <family val="0"/>
        <charset val="1"/>
      </rPr>
      <t xml:space="preserve">Unidade de skid para carregamento de vagões-tanque: 2 pontos de biodiesel B100 e 2 de etanol anidro; fornecedor Metroval. </t>
    </r>
    <r>
      <rPr>
        <sz val="9"/>
        <color rgb="FF1F4E9A"/>
        <rFont val="Arial"/>
        <family val="0"/>
        <charset val="1"/>
      </rPr>
      <t xml:space="preserve">Placa Metroval da unidade (foto 0836): PLCVT-01 / U-3105, 4 braços, vazão máx. 120 m³/h por braço, pressão de projeto 10 kgf/cm², operação 3 kgf/cm², ASME B31.3, produtos biodiesel / etanol anidro, 2024, sem nº de série. </t>
    </r>
    <r>
      <rPr>
        <sz val="9"/>
        <color rgb="FF00703C"/>
        <rFont val="Arial"/>
        <family val="0"/>
        <charset val="1"/>
      </rPr>
      <t xml:space="preserve">SAP: não consta.
</t>
    </r>
    <r>
      <rPr>
        <b val="true"/>
        <sz val="9"/>
        <color rgb="FF000000"/>
        <rFont val="Arial"/>
        <family val="0"/>
        <charset val="1"/>
      </rPr>
      <t xml:space="preserve">Componentes
</t>
    </r>
    <r>
      <rPr>
        <sz val="9"/>
        <color rgb="FF1F4E9A"/>
        <rFont val="Arial"/>
        <family val="0"/>
        <charset val="1"/>
      </rPr>
      <t xml:space="preserve">• Medidores mássicos (Coriolis) Metroval OI 600 SIMT/F2, 300–3.000, 4" 150# RF, 19,5 bar, 60 °C, B100, 2024 – FT-3180 série 12537; FT-3182 série 12538.
• Medidor turbina Metroval MTF 80, DIMEL 365/2020, classe 0,3, QMM 100, 19,58 bar, 150/15, etanol anidro, 2024 – FT-3181 série 01361123.
• Válvulas de controle de vazão Metroval VCDM-100 (DN 100, PN 10 bar, 70 °C) – FCV-3180 série 0313; FCV-3181 série 0316; FCV-3182 série 0314; FCV-3183 série 0315.
• Transmissores de temperatura Alutal CEX-A-00015, Ex ia IIC T6..T1 Ga, IP66 – TE-3181A e TE-3183A (ambos com série 377046 lida).
</t>
    </r>
    <r>
      <rPr>
        <b val="true"/>
        <sz val="9"/>
        <color rgb="FF000000"/>
        <rFont val="Arial"/>
        <family val="0"/>
        <charset val="1"/>
      </rPr>
      <t xml:space="preserve">Nota fiscal e cotação
</t>
    </r>
    <r>
      <rPr>
        <sz val="9"/>
        <color rgb="FFC00000"/>
        <rFont val="Arial"/>
        <family val="0"/>
        <charset val="1"/>
      </rPr>
      <t xml:space="preserve">Nenhuma NF da relação descreve este skid – não identificável. </t>
    </r>
    <r>
      <rPr>
        <sz val="9"/>
        <color rgb="FF002060"/>
        <rFont val="Arial"/>
        <family val="0"/>
        <charset val="1"/>
      </rPr>
      <t xml:space="preserve">Cotação Metroval RevE item (c): sem preço individual.</t>
    </r>
  </si>
  <si>
    <t xml:space="preserve">A proposta Metroval diz "duas unidades" no texto e "1 unidade" na composição de preço; a crítica e a placa confirmam 1 unidade de 4 pontos. Série 377046 lida nos dois TE (provável leitura repetida da mesma placa). Anos de fabricação das FCV e dos TE não lidos. Os 28 visores de fluxo "Ferroviária" (Vidrak, H-3177 a 31204) são do desvio ferroviário, não deste skid.</t>
  </si>
  <si>
    <t xml:space="preserve">0836-0881</t>
  </si>
  <si>
    <t xml:space="preserve">14d</t>
  </si>
  <si>
    <t xml:space="preserve">Skid de DESCARGA de caminhões-tanque com duas bombas (PLDCT-03)</t>
  </si>
  <si>
    <r>
      <rPr>
        <b val="true"/>
        <sz val="9"/>
        <color rgb="FF000000"/>
        <rFont val="Arial"/>
        <family val="0"/>
        <charset val="1"/>
      </rPr>
      <t xml:space="preserve">SKID DE DESCARGA DE CAMINHÕES-TANQUE – 14d
</t>
    </r>
    <r>
      <rPr>
        <sz val="9"/>
        <color rgb="FF000000"/>
        <rFont val="Arial"/>
        <family val="0"/>
        <charset val="1"/>
      </rPr>
      <t xml:space="preserve">Unidade de skid para descarga de caminhões-tanque, com duas bombas; fornecedor Metroval. </t>
    </r>
    <r>
      <rPr>
        <sz val="9"/>
        <color rgb="FFB38600"/>
        <rFont val="Arial"/>
        <family val="0"/>
        <charset val="1"/>
      </rPr>
      <t xml:space="preserve">Plataforma de descarga PLDCT-03 (DE-3100-5100-006), com trole e chuveiros (LI-3100-6107); linhas HC 1200-1205 das bombas B-3124/3125 (LI-3100-6105). </t>
    </r>
    <r>
      <rPr>
        <sz val="9"/>
        <color rgb="FF1F4E9A"/>
        <rFont val="Arial"/>
        <family val="0"/>
        <charset val="1"/>
      </rPr>
      <t xml:space="preserve">Campo/ANP: sem caracterização própria do skid; as imagens ANP Fig. 175/176 ("bomba de descarregamento lado A/B") mostram os conjuntos KSB/WEG B-3124 e B-3125.
</t>
    </r>
    <r>
      <rPr>
        <b val="true"/>
        <sz val="9"/>
        <color rgb="FF000000"/>
        <rFont val="Arial"/>
        <family val="0"/>
        <charset val="1"/>
      </rPr>
      <t xml:space="preserve">Componentes
</t>
    </r>
    <r>
      <rPr>
        <sz val="9"/>
        <color rgb="FF1F4E9A"/>
        <rFont val="Arial"/>
        <family val="0"/>
        <charset val="1"/>
      </rPr>
      <t xml:space="preserve">• Duas bombas de descarga = B-3124 / B-3125 (KSB Megacpk 125-100-250, linha 13).
</t>
    </r>
    <r>
      <rPr>
        <sz val="9"/>
        <color rgb="FF002060"/>
        <rFont val="Arial"/>
        <family val="0"/>
        <charset val="1"/>
      </rPr>
      <t xml:space="preserve">• 4 amostradores "sampler" de hidrocarboneto KFW para skid de descarga (Ecoserv 036/24 de 20/02/2024 = NF 142, R$ 100.000,00).
</t>
    </r>
    <r>
      <rPr>
        <b val="true"/>
        <sz val="9"/>
        <color rgb="FF000000"/>
        <rFont val="Arial"/>
        <family val="0"/>
        <charset val="1"/>
      </rPr>
      <t xml:space="preserve">Nota fiscal e cotação
</t>
    </r>
    <r>
      <rPr>
        <sz val="9"/>
        <color rgb="FFC00000"/>
        <rFont val="Arial"/>
        <family val="0"/>
        <charset val="1"/>
      </rPr>
      <t xml:space="preserve">NF 1551 de 01/03/2024 – PHD Master Consultoria Ltda (CNPJ 68.806.496/0001-29): "Itens diversos", R$ 1.728.513,25 – valor exato da linha. </t>
    </r>
    <r>
      <rPr>
        <sz val="9"/>
        <color rgb="FF002060"/>
        <rFont val="Arial"/>
        <family val="0"/>
        <charset val="1"/>
      </rPr>
      <t xml:space="preserve">Cotação Metroval RevE item (d): sem preço individual; PHD Master prevista como faturamento direto.</t>
    </r>
  </si>
  <si>
    <t xml:space="preserve">Emitente da NF (PHD Master) ≠ fornecedor da crítica (Metroval) – explicado pelo faturamento direto da proposta. Possível dupla contagem das bombas (NF KSB 34370 × NF PHD 1551) se a NF 1551 incluir bombas; pedir composição. Skid sem placa, medidores e válvulas lidos – pendência de campo.</t>
  </si>
  <si>
    <t xml:space="preserve">ANP Fig. 175, 176</t>
  </si>
  <si>
    <t xml:space="preserve">14e</t>
  </si>
  <si>
    <t xml:space="preserve">Carregamento ferroviário (braços TSPRO, SDV, sensores, alvos, botoeiras)</t>
  </si>
  <si>
    <r>
      <rPr>
        <b val="true"/>
        <sz val="9"/>
        <color rgb="FF000000"/>
        <rFont val="Arial"/>
        <family val="0"/>
        <charset val="1"/>
      </rPr>
      <t xml:space="preserve">CARREGAMENTO FERROVIÁRIO – 14e
</t>
    </r>
    <r>
      <rPr>
        <sz val="9"/>
        <color rgb="FF000000"/>
        <rFont val="Arial"/>
        <family val="0"/>
        <charset val="1"/>
      </rPr>
      <t xml:space="preserve">10 válvulas SDV para os braços de carregamento, 10 sensores de braço modelo XNNN-0210 com proteção mecânica, 30 alvos de braço abaixado MS-PSH-G e 6 botoeiras de emergência; fornecedor Metroval. </t>
    </r>
    <r>
      <rPr>
        <sz val="9"/>
        <color rgb="FFB38600"/>
        <rFont val="Arial"/>
        <family val="0"/>
        <charset val="1"/>
      </rPr>
      <t xml:space="preserve">Projeto: trole da plataforma de descarga ferroviária e visores de fluxo do desvio ferroviário H-3177 a 31204 (LI-3100-6107). </t>
    </r>
    <r>
      <rPr>
        <sz val="9"/>
        <color rgb="FF1F4E9A"/>
        <rFont val="Arial"/>
        <family val="0"/>
        <charset val="1"/>
      </rPr>
      <t xml:space="preserve">Em campo: 7 ilhas de carregamento cadastradas no preset (ilhas 8 a 14, lado B).
</t>
    </r>
    <r>
      <rPr>
        <b val="true"/>
        <sz val="9"/>
        <color rgb="FF000000"/>
        <rFont val="Arial"/>
        <family val="0"/>
        <charset val="1"/>
      </rPr>
      <t xml:space="preserve">Componentes
</t>
    </r>
    <r>
      <rPr>
        <sz val="9"/>
        <color rgb="FF1F4E9A"/>
        <rFont val="Arial"/>
        <family val="0"/>
        <charset val="1"/>
      </rPr>
      <t xml:space="preserve">• Braços de carregamento superior ferroviário TSPRO BTC-42CA.0466-4, 4", carbono/alumínio/viton, ASME B31.3 / IX, cliente Ultracargo Palmeirante – lote 1: rastreamento 7741/24-02, -03, -04, -05, pedido 5700013342, 28/05/2024; lote 2: rastreamento BP-2123, pedido 5700017052 (≈6 placas ilegíveis por reflexo).
• Válvulas on-off Metroval VOOM-100 (DN 100, PN 10) lidas em campo: SDV-3103 série 0331, SDV-3111 série 0336 (2024), SDV-3112 série 0338, SDV-3113 série 0339 (vínculo ao ferroviário não documentado – ver 14 (comp.)).
• Sensores, alvos e botoeiras: não contados um a um.
</t>
    </r>
    <r>
      <rPr>
        <b val="true"/>
        <sz val="9"/>
        <color rgb="FF000000"/>
        <rFont val="Arial"/>
        <family val="0"/>
        <charset val="1"/>
      </rPr>
      <t xml:space="preserve">Notas fiscais e cotação
</t>
    </r>
    <r>
      <rPr>
        <sz val="9"/>
        <color rgb="FFC00000"/>
        <rFont val="Arial"/>
        <family val="0"/>
        <charset val="1"/>
      </rPr>
      <t xml:space="preserve">Prováveis: NF 42239 de 13/11/2024 – Metroval (CNPJ 58.762.956/0001-00): "Válvula on-off", R$ 260.000,03 (10 SDV); NF 7032 de 04/06/2024 – TSPRO (CNPJ 13.108.393/0001-01): "BT modelo C 4 pol. vedações", R$ 87.357,24; NF 7488 de 03/10/2024 – TSPRO: "BT modelo C 4 pol.", R$ 218.393,10. </t>
    </r>
    <r>
      <rPr>
        <sz val="9"/>
        <color rgb="FF002060"/>
        <rFont val="Arial"/>
        <family val="0"/>
        <charset val="1"/>
      </rPr>
      <t xml:space="preserve">Cotação Metroval RevE item (e): "um carregamento ferroviário", sem detalhamento nem preço. Cotados à parte: 32 visores de fluxo Vidrak (R$ 66.684,04) e 11 botões de emergência Sermatex/Naville (R$ 8.185,21).</t>
    </r>
  </si>
  <si>
    <t xml:space="preserve">A crítica detalha SDV/sensores/alvos/botoeiras, a cotação Metroval não. TSPRO não está na lista de faturamento direto da Metroval – braços comprados diretamente pela Ultracargo (2 pedidos). Lado A e numeração completa das plataformas a confirmar (pedido M16). Para o relatório fotográfico: uma SDV com placa, um sensor e um alvo.</t>
  </si>
  <si>
    <t xml:space="preserve">0886-0960 | ANP Fig. 119, 128, 131</t>
  </si>
  <si>
    <t xml:space="preserve">14 (comp.)</t>
  </si>
  <si>
    <t xml:space="preserve">COMPONENTES</t>
  </si>
  <si>
    <t xml:space="preserve">Instrumentos e válvulas de campo da linha 14 sem vínculo documentado (58 un.)</t>
  </si>
  <si>
    <r>
      <rPr>
        <b val="true"/>
        <sz val="9"/>
        <color rgb="FF000000"/>
        <rFont val="Arial"/>
        <family val="0"/>
        <charset val="1"/>
      </rPr>
      <t xml:space="preserve">COMPONENTES DE CAMPO DA LINHA 14 SEM VÍNCULO A 14a / 14b / 14d (58 un.)
</t>
    </r>
    <r>
      <rPr>
        <sz val="9"/>
        <color rgb="FF1F4E9A"/>
        <rFont val="Arial"/>
        <family val="0"/>
        <charset val="1"/>
      </rPr>
      <t xml:space="preserve">• Medidores de vazão tipo turbina Metroval MTF-80 (DIMEL 365/2020, 2024, classe 0,3, QMM 100, 60/−20 °C, 19,58 bar, vazão 150/15) – com TAG: FT-3141 série 01311123 gasolina; FT-3142 série 01?3?1123 diesel S-500; FT-3148 série 01421123 etanol hidratado; FT-3151 série 01341123 diesel S-500; FT-3159 série 01451123 gasolina. Sem TAG lida: 01291123 etanol anidro; 01381123 diesel S-10; 01391123 diesel S-10 (FT-3102?); 01411123 etanol anidro; 01431123 diesel S-500 (FT-315?); 01441123 diesel S-500 (FT-3146?); 01471123 gasolina; 01481123 diesel S-500 (FT-3158?); 01491123 diesel S-10; 01501123 etanol anidro.
• Medidores mássicos Metroval OI 50 SMPF/F2 (30–300 L/min, 2" 150# RF, 20 bar, 60 °C, biodiesel B100, 2024) – FT-3143 série 12527; FT-3154 série 12529; FT-3156 série 12531; FT-3163 série 12528.
• Válvulas de controle de vazão Metroval VCDM (PN 10 bar, 70 °C, combustíveis) – DN 100: FCV-3140 s/n 0281; FCV-3142 0289 (2024); FCV-3144 0308; FCV-3146 0310 (2024); FCV-3148 0312 (2024); FCV-3149 0290; FCV-3151 0291 (2024); FCV-3155 0293; FCV-3157 0294; FCV-3159 0295 (2024); FCV-3161 0307; FCV-3164 0311. DN 80: FCV-3145 0270 (2024); FCV-3147 0274 (2024); FCV-3158 0271 (2024); FCV-3160 0272. DN 50: FCV-3141 0302 (2024); FCV-3150 0317 (2024); FCV-3152 0318 (2024); FCV-3156 0321; FCV-3165 0323.
• Válvulas on-off Metroval VOOM-100 (DN 100, PN 10) – SDV-3103 s/n 0331; SDV-3111 0336 (2024); SDV-3112 0338; SDV-3113 0339.
• Transmissores de temperatura Alutal CEX-A-00015 (Ex ia IIC T6..T1 Ga, IP66W, INMETRO) – TE-3101A, TE-3141A, TE-3147A, TE-3149A, TE-3152A (todos com série 377041 lida).
• Monitores de transbordamento e aterramento KFW (Qingdao Aiptec) SLA-S-Y (cert. DNV 18.0113 X, 85–250 Vca, Ex db ia [ia Ga] IIB T5 Gb) – XS-3103A; XS-3104 s/n 2011011; XS-3104B; XS-3107A; XS-3107B; XS-3108A s/n 21022?42; XS-31209 s/n 911?03?; XS-31211; XS-31212 s/n 2011002(?).
</t>
    </r>
    <r>
      <rPr>
        <b val="true"/>
        <sz val="9"/>
        <color rgb="FF000000"/>
        <rFont val="Arial"/>
        <family val="0"/>
        <charset val="1"/>
      </rPr>
      <t xml:space="preserve">Nota fiscal e cotação
</t>
    </r>
    <r>
      <rPr>
        <sz val="9"/>
        <color rgb="FFC00000"/>
        <rFont val="Arial"/>
        <family val="0"/>
        <charset val="1"/>
      </rPr>
      <t xml:space="preserve">Sem NF individual – dentro das NFs da linha 14 (os monitores KFW: NF 110 Ecoserv, R$ 386.880,00). </t>
    </r>
    <r>
      <rPr>
        <sz val="9"/>
        <color rgb="FF002060"/>
        <rFont val="Arial"/>
        <family val="0"/>
        <charset val="1"/>
      </rPr>
      <t xml:space="preserve">Ecoserv 036/24 de 09/02/2024: 32 monitores de aterramento completos × R$ 12.090,00 (9 lidos em campo).</t>
    </r>
  </si>
  <si>
    <t xml:space="preserve">Nenhum documento liga cada instrumento a um ponto de carregamento (14a, 14b ou 14d). Séries repetidas nos TE (377041 em 5 placas; 377046 em 2) indicam leitura repetida de uma mesma placa – reler. Leituras corrigidas em relação a versões anteriores: FCV-3151 (era FCV-3161), FCV-3156 (era FCV-3168), FCV-3160 (era FCV-3130), FCV-3164 (era FCV-3154), SDV-3103 (era SDV-3109), FCV-3152 s/n 0318 (terceiros leram 0309 – diverge). Proposta: tratar como componentes do conjunto de skids (linha 14) no laudo, comprovados por foto de placa.</t>
  </si>
  <si>
    <t xml:space="preserve">0263-0725 (por item na CARACTERIZACAO)</t>
  </si>
  <si>
    <t xml:space="preserve">15-17</t>
  </si>
  <si>
    <t xml:space="preserve">Selos flutuantes internos Romão E037 – 6 un. (linhas 15 + 16 + 17)</t>
  </si>
  <si>
    <r>
      <rPr>
        <b val="true"/>
        <sz val="9"/>
        <color rgb="FF000000"/>
        <rFont val="Arial"/>
        <family val="0"/>
        <charset val="1"/>
      </rPr>
      <t xml:space="preserve">SELOS FLUTUANTES INTERNOS – LINHAS 15, 16 e 17 (6 un.)
</t>
    </r>
    <r>
      <rPr>
        <sz val="9"/>
        <color rgb="FF000000"/>
        <rFont val="Arial"/>
        <family val="0"/>
        <charset val="1"/>
      </rPr>
      <t xml:space="preserve">6 selos flutuantes tipo película em alumínio, projeto/modelo Romão E037, para tanques de armazenamento de teto fixo: 2 de 14,4 × 13,33 m (linha 15), 2 de 9,60 × 11,45 m (linha 16) e 2 de 9,6 × 7,63 m (linha 17); total R$ 546.941,16; fornecedor Romão Tecnologias Industriais; Finame 03967780. </t>
    </r>
    <r>
      <rPr>
        <sz val="9"/>
        <color rgb="FF1F4E9A"/>
        <rFont val="Arial"/>
        <family val="0"/>
        <charset val="1"/>
      </rPr>
      <t xml:space="preserve">Internos aos tanques: não verificáveis em vistoria externa; dimensões batem com as placas SOLO dos tanques (TQ-3103/3104 H 14.400 / D 13.330 mm; TQ-3109/3110 H 9.600 / D 11.450-11.430 mm; TQ-3111/3113 H 9.600 / D 7.630 mm). </t>
    </r>
    <r>
      <rPr>
        <sz val="9"/>
        <color rgb="FF00703C"/>
        <rFont val="Arial"/>
        <family val="0"/>
        <charset val="1"/>
      </rPr>
      <t xml:space="preserve">SAP: não constam.
</t>
    </r>
    <r>
      <rPr>
        <b val="true"/>
        <sz val="9"/>
        <color rgb="FF000000"/>
        <rFont val="Arial"/>
        <family val="0"/>
        <charset val="1"/>
      </rPr>
      <t xml:space="preserve">Nota fiscal e cotação
</t>
    </r>
    <r>
      <rPr>
        <sz val="9"/>
        <color rgb="FFC00000"/>
        <rFont val="Arial"/>
        <family val="0"/>
        <charset val="1"/>
      </rPr>
      <t xml:space="preserve">NF 2739 de 29/05/2024 – Romão Tecnologias Industriais Ltda (CNPJ 02.807.845/0001-19): "Selo película vedação simples", R$ 601.341,12 (cobre as 3 linhas). </t>
    </r>
    <r>
      <rPr>
        <sz val="9"/>
        <color rgb="FF002060"/>
        <rFont val="Arial"/>
        <family val="0"/>
        <charset val="1"/>
      </rPr>
      <t xml:space="preserve">Cotação Romão 00638 Rev 04 de 17/01/2024: selos R$ 546.941,16 (= crítica) + supervisão de montagem R$ 109.200,00 + frete R$ 101.183,92 = R$ 757.325,08; Finame 03967780; garantia 5 anos se a montagem for da Romão.</t>
    </r>
  </si>
  <si>
    <t xml:space="preserve">NF excede os selos em R$ 54.399,96 – não bate com frete nem supervisão da proposta; pedir NF detalhada. Montagem dos selos também cotada pela Solo Engenharia (serviço com os tanques): se não foi da Romão, a garantia cai para 12/18 meses. O RT0538 declara os selos encontrados; pedir certificado/data-book Romão por tanque e fotos internas.</t>
  </si>
  <si>
    <t xml:space="preserve">placas dos tanques (CARACTERIZAÇÃO v4)</t>
  </si>
  <si>
    <t xml:space="preserve">15</t>
  </si>
  <si>
    <t xml:space="preserve">Selos flutuantes TQ-3103 e TQ-3104 (gasolina A, 1.700 m³)</t>
  </si>
  <si>
    <r>
      <rPr>
        <b val="true"/>
        <sz val="9"/>
        <color rgb="FF000000"/>
        <rFont val="Arial"/>
        <family val="0"/>
        <charset val="1"/>
      </rPr>
      <t xml:space="preserve">SELOS FLUTUANTES – TQ-3103 / TQ-3104
</t>
    </r>
    <r>
      <rPr>
        <sz val="9"/>
        <color rgb="FF000000"/>
        <rFont val="Arial"/>
        <family val="0"/>
        <charset val="1"/>
      </rPr>
      <t xml:space="preserve">2 selos flutuantes Romão E037, alumínio, altura 14,4 m, diâmetro 13,33 m, 2 × R$ 124.911,76. </t>
    </r>
    <r>
      <rPr>
        <sz val="9"/>
        <color rgb="FF1F4E9A"/>
        <rFont val="Arial"/>
        <family val="0"/>
        <charset val="1"/>
      </rPr>
      <t xml:space="preserve">Placas SOLO dos tanques: H 14.400 mm, D 13.330 mm – correspondência exata. </t>
    </r>
    <r>
      <rPr>
        <sz val="9"/>
        <color rgb="FFC00000"/>
        <rFont val="Arial"/>
        <family val="0"/>
        <charset val="1"/>
      </rPr>
      <t xml:space="preserve">NF 2739 (Romão, 29/05/2024) – ver grupo 15-17. </t>
    </r>
    <r>
      <rPr>
        <sz val="9"/>
        <color rgb="FF002060"/>
        <rFont val="Arial"/>
        <family val="0"/>
        <charset val="1"/>
      </rPr>
      <t xml:space="preserve">Cotação Romão 00638 Rev 04: 2 × R$ 124.911,76 = R$ 249.823,52.</t>
    </r>
  </si>
  <si>
    <t xml:space="preserve">Não verificável em campo.</t>
  </si>
  <si>
    <t xml:space="preserve">placas dos tanques</t>
  </si>
  <si>
    <t xml:space="preserve">16</t>
  </si>
  <si>
    <t xml:space="preserve">Selos flutuantes TQ-3109 e TQ-3110 (etanol anidro, 800 m³)</t>
  </si>
  <si>
    <r>
      <rPr>
        <b val="true"/>
        <sz val="9"/>
        <color rgb="FF000000"/>
        <rFont val="Arial"/>
        <family val="0"/>
        <charset val="1"/>
      </rPr>
      <t xml:space="preserve">SELOS FLUTUANTES – TQ-3109 / TQ-3110
</t>
    </r>
    <r>
      <rPr>
        <sz val="9"/>
        <color rgb="FF000000"/>
        <rFont val="Arial"/>
        <family val="0"/>
        <charset val="1"/>
      </rPr>
      <t xml:space="preserve">2 selos flutuantes Romão E037, alumínio, altura 9,60 m, diâmetro 11,45 m, 2 × R$ 88.529,41. </t>
    </r>
    <r>
      <rPr>
        <sz val="9"/>
        <color rgb="FF1F4E9A"/>
        <rFont val="Arial"/>
        <family val="0"/>
        <charset val="1"/>
      </rPr>
      <t xml:space="preserve">Placas: TQ-3109 H 9.600 / D 11.450 mm; TQ-3110 H 9.600 / D 11.430 mm. </t>
    </r>
    <r>
      <rPr>
        <sz val="9"/>
        <color rgb="FFC00000"/>
        <rFont val="Arial"/>
        <family val="0"/>
        <charset val="1"/>
      </rPr>
      <t xml:space="preserve">NF 2739 (Romão, 29/05/2024) – ver grupo 15-17. </t>
    </r>
    <r>
      <rPr>
        <sz val="9"/>
        <color rgb="FF002060"/>
        <rFont val="Arial"/>
        <family val="0"/>
        <charset val="1"/>
      </rPr>
      <t xml:space="preserve">Cotação Romão 00638 Rev 04: 2 × R$ 88.529,41 = R$ 177.058,82.</t>
    </r>
  </si>
  <si>
    <t xml:space="preserve">20 mm de diferença de diâmetro entre as placas dos dois tanques; selo único de 11,45 m.</t>
  </si>
  <si>
    <t xml:space="preserve">17</t>
  </si>
  <si>
    <t xml:space="preserve">Selos flutuantes – 2 dos 3 tanques TQ-3111/3112/3113 (etanol hidratado, 300 m³)</t>
  </si>
  <si>
    <r>
      <rPr>
        <b val="true"/>
        <sz val="9"/>
        <color rgb="FF000000"/>
        <rFont val="Arial"/>
        <family val="0"/>
        <charset val="1"/>
      </rPr>
      <t xml:space="preserve">SELOS FLUTUANTES – 2 dos tanques TQ-3111 / TQ-3112 / TQ-3113
</t>
    </r>
    <r>
      <rPr>
        <sz val="9"/>
        <color rgb="FF000000"/>
        <rFont val="Arial"/>
        <family val="0"/>
        <charset val="1"/>
      </rPr>
      <t xml:space="preserve">2 selos flutuantes Romão E037, alumínio, altura 9,6 m, diâmetro 7,63 m, 2 × R$ 60.029,41. </t>
    </r>
    <r>
      <rPr>
        <sz val="9"/>
        <color rgb="FF1F4E9A"/>
        <rFont val="Arial"/>
        <family val="0"/>
        <charset val="1"/>
      </rPr>
      <t xml:space="preserve">Placas: TQ-3111 e TQ-3113 H 9.600 / D 7.630 mm; TQ-3112 H 8.600 / D 7.630 mm. </t>
    </r>
    <r>
      <rPr>
        <sz val="9"/>
        <color rgb="FFC00000"/>
        <rFont val="Arial"/>
        <family val="0"/>
        <charset val="1"/>
      </rPr>
      <t xml:space="preserve">NF 2739 (Romão, 29/05/2024) – ver grupo 15-17. </t>
    </r>
    <r>
      <rPr>
        <sz val="9"/>
        <color rgb="FF002060"/>
        <rFont val="Arial"/>
        <family val="0"/>
        <charset val="1"/>
      </rPr>
      <t xml:space="preserve">Cotação Romão 00638 Rev 04: 2 × R$ 60.029,41 = R$ 120.058,82.</t>
    </r>
  </si>
  <si>
    <t xml:space="preserve">São 3 tanques de D 7,63 m para 2 selos; a altura de 9,6 m indica TQ-3111 e TQ-3113 (TQ-3112 tem 8,6 m) – a confirmar no data-book.</t>
  </si>
  <si>
    <t xml:space="preserve">18</t>
  </si>
  <si>
    <t xml:space="preserve">Subestação tipo eletrocentro (VOLGA)</t>
  </si>
  <si>
    <r>
      <rPr>
        <b val="true"/>
        <sz val="9"/>
        <color rgb="FF000000"/>
        <rFont val="Arial"/>
        <family val="0"/>
        <charset val="1"/>
      </rPr>
      <t xml:space="preserve">SUBESTAÇÃO TIPO ELETROCENTRO – VOLGA
</t>
    </r>
    <r>
      <rPr>
        <sz val="9"/>
        <color rgb="FF000000"/>
        <rFont val="Arial"/>
        <family val="0"/>
        <charset val="1"/>
      </rPr>
      <t xml:space="preserve">Subestação abrigada em contêiner metálico, 34,5 kV / 440-380/220 V, composta por quadro de média tensão QGMT com cubículos Schneider SM6 36 kV (entrada GAM-2, medição GBC-B, TP CM, 3 TP fusível, saída DM1-A, relé Easergy P3U30, TC toroidal CSH120, 3 TP BDE-FT26C 36/√3-0,115/√3 V, 3 TC BDE-4000A 150/5-5 A, medidor PM5340), painel SMF, transformador de força TR 750 kVA, transformador auxiliar a seco TL 112,5 kVA 440-380/220 V IP-23, CCM PN-3100 (lados A e B), QGBT, banco de capacitores BC 170 kVAr, nobreak NB 20 kVA com transformador e gabinete de baterias, QD-UPS, QL (iluminação), 2 barramentos blindados IP-55, painéis PN-3105 e PN-3106; fornecedor Volga Engenharia; Finame 04037708. </t>
    </r>
    <r>
      <rPr>
        <sz val="9"/>
        <color rgb="FFB38600"/>
        <rFont val="Arial"/>
        <family val="0"/>
        <charset val="1"/>
      </rPr>
      <t xml:space="preserve">As-built DE-3100-4300-014 rev. 04: 26 itens com nº VOLGA; TAGs "-3100" (a crítica usa "-3101"). </t>
    </r>
    <r>
      <rPr>
        <sz val="9"/>
        <color rgb="FF1F4E9A"/>
        <rFont val="Arial"/>
        <family val="0"/>
        <charset val="1"/>
      </rPr>
      <t xml:space="preserve">Placas dos painéis: fabricação 2024, cliente Ultracargo; sem placa geral do eletrocentro. </t>
    </r>
    <r>
      <rPr>
        <sz val="9"/>
        <color rgb="FF00703C"/>
        <rFont val="Arial"/>
        <family val="0"/>
        <charset val="1"/>
      </rPr>
      <t xml:space="preserve">SAP: SISTEMA DISTRIBUICAO ELETRICA, equip. 000000123508, local BPAM-SELE, ABC C; componentes cadastrados individualmente.
</t>
    </r>
    <r>
      <rPr>
        <b val="true"/>
        <sz val="9"/>
        <color rgb="FF000000"/>
        <rFont val="Arial"/>
        <family val="0"/>
        <charset val="1"/>
      </rPr>
      <t xml:space="preserve">Componentes (TAG – descrição – placa – nº VOLGA – nº SAP)
</t>
    </r>
    <r>
      <rPr>
        <sz val="9"/>
        <color rgb="FF1F4E9A"/>
        <rFont val="Arial"/>
        <family val="0"/>
        <charset val="1"/>
      </rPr>
      <t xml:space="preserve">• QGMT-3100-01 – quadro geral de média tensão – classe 36 kV, operação 34,5 kV, 630 A, 16 kA/1 s, comando 220 V, 1.730 kg, NBR IEC 62271-200 – </t>
    </r>
    <r>
      <rPr>
        <sz val="9"/>
        <color rgb="FFB38600"/>
        <rFont val="Arial"/>
        <family val="0"/>
        <charset val="1"/>
      </rPr>
      <t xml:space="preserve">BR15-2023-44-0129 – </t>
    </r>
    <r>
      <rPr>
        <sz val="9"/>
        <color rgb="FF00703C"/>
        <rFont val="Arial"/>
        <family val="0"/>
        <charset val="1"/>
      </rPr>
      <t xml:space="preserve">123625
</t>
    </r>
    <r>
      <rPr>
        <sz val="9"/>
        <color rgb="FF1F4E9A"/>
        <rFont val="Arial"/>
        <family val="0"/>
        <charset val="1"/>
      </rPr>
      <t xml:space="preserve">• SMF – sistema de medição para faturamento – 0,6/1 kV, 16 A, 10 kA – </t>
    </r>
    <r>
      <rPr>
        <sz val="9"/>
        <color rgb="FFB38600"/>
        <rFont val="Arial"/>
        <family val="0"/>
        <charset val="1"/>
      </rPr>
      <t xml:space="preserve">V2023-1543
</t>
    </r>
    <r>
      <rPr>
        <sz val="9"/>
        <color rgb="FF1F4E9A"/>
        <rFont val="Arial"/>
        <family val="0"/>
        <charset val="1"/>
      </rPr>
      <t xml:space="preserve">• TR-3100 – transformador de força 750 kVA, IP-00 – SEM placa fotografada – </t>
    </r>
    <r>
      <rPr>
        <sz val="9"/>
        <color rgb="FFB38600"/>
        <rFont val="Arial"/>
        <family val="0"/>
        <charset val="1"/>
      </rPr>
      <t xml:space="preserve">V2023-1531 – </t>
    </r>
    <r>
      <rPr>
        <sz val="9"/>
        <color rgb="FF00703C"/>
        <rFont val="Arial"/>
        <family val="0"/>
        <charset val="1"/>
      </rPr>
      <t xml:space="preserve">TR-3101 / 123623
</t>
    </r>
    <r>
      <rPr>
        <sz val="9"/>
        <color rgb="FF1F4E9A"/>
        <rFont val="Arial"/>
        <family val="0"/>
        <charset val="1"/>
      </rPr>
      <t xml:space="preserve">• PN-3100 lados A e B – centro de controle de motores, 13 colunas (gavetas MB-3102 a 3126, lava-olhos, elevatórias, HVAC, TL, BC) – 0,6/1 kV, 440 Vca, 1000 A e 20 kA (leitura incerta), NBR IEC 61439 – </t>
    </r>
    <r>
      <rPr>
        <sz val="9"/>
        <color rgb="FFB38600"/>
        <rFont val="Arial"/>
        <family val="0"/>
        <charset val="1"/>
      </rPr>
      <t xml:space="preserve">V2023-1533 (mesmo nº para os dois lados) – </t>
    </r>
    <r>
      <rPr>
        <sz val="9"/>
        <color rgb="FF00703C"/>
        <rFont val="Arial"/>
        <family val="0"/>
        <charset val="1"/>
      </rPr>
      <t xml:space="preserve">123513
</t>
    </r>
    <r>
      <rPr>
        <sz val="9"/>
        <color rgb="FF1F4E9A"/>
        <rFont val="Arial"/>
        <family val="0"/>
        <charset val="1"/>
      </rPr>
      <t xml:space="preserve">• BC-3100 – banco de capacitores 170 kVAr – 440 Vca, 400 A, IP-31 – </t>
    </r>
    <r>
      <rPr>
        <sz val="9"/>
        <color rgb="FFB38600"/>
        <rFont val="Arial"/>
        <family val="0"/>
        <charset val="1"/>
      </rPr>
      <t xml:space="preserve">V2023-1535 – </t>
    </r>
    <r>
      <rPr>
        <sz val="9"/>
        <color rgb="FF00703C"/>
        <rFont val="Arial"/>
        <family val="0"/>
        <charset val="1"/>
      </rPr>
      <t xml:space="preserve">123606
</t>
    </r>
    <r>
      <rPr>
        <sz val="9"/>
        <color rgb="FF1F4E9A"/>
        <rFont val="Arial"/>
        <family val="0"/>
        <charset val="1"/>
      </rPr>
      <t xml:space="preserve">• TL-3100 – transformador auxiliar a seco Pólux nº 1124063/001, 03/2024, 112,5 kVA, Dyn1, AT 418–462 V (taps), BT 380 V / 170,9 A, Z 6 %, 570 kg, IP-23, NBR 5356-11 – </t>
    </r>
    <r>
      <rPr>
        <sz val="9"/>
        <color rgb="FFB38600"/>
        <rFont val="Arial"/>
        <family val="0"/>
        <charset val="1"/>
      </rPr>
      <t xml:space="preserve">V2023-1532 – </t>
    </r>
    <r>
      <rPr>
        <sz val="9"/>
        <color rgb="FF00703C"/>
        <rFont val="Arial"/>
        <family val="0"/>
        <charset val="1"/>
      </rPr>
      <t xml:space="preserve">123634
</t>
    </r>
    <r>
      <rPr>
        <sz val="9"/>
        <color rgb="FF1F4E9A"/>
        <rFont val="Arial"/>
        <family val="0"/>
        <charset val="1"/>
      </rPr>
      <t xml:space="preserve">• QGBT-3100 – quadro geral de baixa tensão – 380 Vca, 160 A (ou 1600 A, leitura incerta), IP 54 – </t>
    </r>
    <r>
      <rPr>
        <sz val="9"/>
        <color rgb="FFB38600"/>
        <rFont val="Arial"/>
        <family val="0"/>
        <charset val="1"/>
      </rPr>
      <t xml:space="preserve">V2023-1534 – </t>
    </r>
    <r>
      <rPr>
        <sz val="9"/>
        <color rgb="FF00703C"/>
        <rFont val="Arial"/>
        <family val="0"/>
        <charset val="1"/>
      </rPr>
      <t xml:space="preserve">123618
</t>
    </r>
    <r>
      <rPr>
        <sz val="9"/>
        <color rgb="FF1F4E9A"/>
        <rFont val="Arial"/>
        <family val="0"/>
        <charset val="1"/>
      </rPr>
      <t xml:space="preserve">• TR.NB-3100 – transformador do nobreak 20 kVA 380-220 V – SEM placa – </t>
    </r>
    <r>
      <rPr>
        <sz val="9"/>
        <color rgb="FFB38600"/>
        <rFont val="Arial"/>
        <family val="0"/>
        <charset val="1"/>
      </rPr>
      <t xml:space="preserve">VE2023-0313 – </t>
    </r>
    <r>
      <rPr>
        <sz val="9"/>
        <color rgb="FF00703C"/>
        <rFont val="Arial"/>
        <family val="0"/>
        <charset val="1"/>
      </rPr>
      <t xml:space="preserve">123635
</t>
    </r>
    <r>
      <rPr>
        <sz val="9"/>
        <color rgb="FF1F4E9A"/>
        <rFont val="Arial"/>
        <family val="0"/>
        <charset val="1"/>
      </rPr>
      <t xml:space="preserve">• NB-3100 – nobreak Schneider Electric Easy UPS 3S E3SUPS20KHB, s/n 9E2346T14071, 20 kVA / 20 kW em 380-415 V – </t>
    </r>
    <r>
      <rPr>
        <sz val="9"/>
        <color rgb="FFB38600"/>
        <rFont val="Arial"/>
        <family val="0"/>
        <charset val="1"/>
      </rPr>
      <t xml:space="preserve">VE2023-0313 – </t>
    </r>
    <r>
      <rPr>
        <sz val="9"/>
        <color rgb="FF00703C"/>
        <rFont val="Arial"/>
        <family val="0"/>
        <charset val="1"/>
      </rPr>
      <t xml:space="preserve">123616
</t>
    </r>
    <r>
      <rPr>
        <sz val="9"/>
        <color rgb="FF1F4E9A"/>
        <rFont val="Arial"/>
        <family val="0"/>
        <charset val="1"/>
      </rPr>
      <t xml:space="preserve">• BB.NB-3100 – gabinete de baterias Schneider E3SXR6, s/n 9E2346W11014, 480 Vcc, 125 A, 125 kg – </t>
    </r>
    <r>
      <rPr>
        <sz val="9"/>
        <color rgb="FFB38600"/>
        <rFont val="Arial"/>
        <family val="0"/>
        <charset val="1"/>
      </rPr>
      <t xml:space="preserve">VE2023-0313 – </t>
    </r>
    <r>
      <rPr>
        <sz val="9"/>
        <color rgb="FF00703C"/>
        <rFont val="Arial"/>
        <family val="0"/>
        <charset val="1"/>
      </rPr>
      <t xml:space="preserve">123615
</t>
    </r>
    <r>
      <rPr>
        <sz val="9"/>
        <color rgb="FF1F4E9A"/>
        <rFont val="Arial"/>
        <family val="0"/>
        <charset val="1"/>
      </rPr>
      <t xml:space="preserve">• QL-3100 – painel de iluminação – 380/220 Vca, 125 A, 3 kA, IP 54 – </t>
    </r>
    <r>
      <rPr>
        <sz val="9"/>
        <color rgb="FFB38600"/>
        <rFont val="Arial"/>
        <family val="0"/>
        <charset val="1"/>
      </rPr>
      <t xml:space="preserve">V2023-1537 – </t>
    </r>
    <r>
      <rPr>
        <sz val="9"/>
        <color rgb="FF00703C"/>
        <rFont val="Arial"/>
        <family val="0"/>
        <charset val="1"/>
      </rPr>
      <t xml:space="preserve">123619
</t>
    </r>
    <r>
      <rPr>
        <sz val="9"/>
        <color rgb="FF1F4E9A"/>
        <rFont val="Arial"/>
        <family val="0"/>
        <charset val="1"/>
      </rPr>
      <t xml:space="preserve">• QD-UPS-3100 – quadro de distribuição estabilizada – etiqueta 2024 – </t>
    </r>
    <r>
      <rPr>
        <sz val="9"/>
        <color rgb="FFB38600"/>
        <rFont val="Arial"/>
        <family val="0"/>
        <charset val="1"/>
      </rPr>
      <t xml:space="preserve">V2023-1536 – </t>
    </r>
    <r>
      <rPr>
        <sz val="9"/>
        <color rgb="FF00703C"/>
        <rFont val="Arial"/>
        <family val="0"/>
        <charset val="1"/>
      </rPr>
      <t xml:space="preserve">123617
</t>
    </r>
    <r>
      <rPr>
        <sz val="9"/>
        <color rgb="FF1F4E9A"/>
        <rFont val="Arial"/>
        <family val="0"/>
        <charset val="1"/>
      </rPr>
      <t xml:space="preserve">• HVAC-WM – ar-condicionado wall-mounted MGE Air 12,5 TR, 12.500 m³/h, 18,35 kW, 440 V, R410A, série 1211_24, MAR/24 – </t>
    </r>
    <r>
      <rPr>
        <sz val="9"/>
        <color rgb="FFB38600"/>
        <rFont val="Arial"/>
        <family val="0"/>
        <charset val="1"/>
      </rPr>
      <t xml:space="preserve">VE2023-0310 – </t>
    </r>
    <r>
      <rPr>
        <sz val="9"/>
        <color rgb="FF00703C"/>
        <rFont val="Arial"/>
        <family val="0"/>
        <charset val="1"/>
      </rPr>
      <t xml:space="preserve">GAV-T-3101 / 123592
</t>
    </r>
    <r>
      <rPr>
        <sz val="9"/>
        <color rgb="FFB38600"/>
        <rFont val="Arial"/>
        <family val="0"/>
        <charset val="1"/>
      </rPr>
      <t xml:space="preserve">• BW.01 / BW.02 – busways TR/PN e PN (VB2023-0184 / 0183); exaustores 1-3 e termostato (VE2023-0310); extintores e gradil do trafo (VE2023-0300 / 0309) – sem placa.
</t>
    </r>
    <r>
      <rPr>
        <sz val="9"/>
        <color rgb="FF1F4E9A"/>
        <rFont val="Arial"/>
        <family val="0"/>
        <charset val="1"/>
      </rPr>
      <t xml:space="preserve">• PN-3105 – painel/CCM VOLGA da elevatória 01 de efluentes, nº V3323-1540, doc. PD-E557-EPA-EL-BEL-00400, 2024 – </t>
    </r>
    <r>
      <rPr>
        <sz val="9"/>
        <color rgb="FF00703C"/>
        <rFont val="Arial"/>
        <family val="0"/>
        <charset val="1"/>
      </rPr>
      <t xml:space="preserve">GAV-PN-3105 / 123590
</t>
    </r>
    <r>
      <rPr>
        <sz val="9"/>
        <color rgb="FF1F4E9A"/>
        <rFont val="Arial"/>
        <family val="0"/>
        <charset val="1"/>
      </rPr>
      <t xml:space="preserve">• Painel VOLGA sem TAG (lote 1) – provável PN-3106 (elevatória 02).
</t>
    </r>
    <r>
      <rPr>
        <b val="true"/>
        <sz val="9"/>
        <color rgb="FF000000"/>
        <rFont val="Arial"/>
        <family val="0"/>
        <charset val="1"/>
      </rPr>
      <t xml:space="preserve">Notas fiscais e cotação
</t>
    </r>
    <r>
      <rPr>
        <sz val="9"/>
        <color rgb="FFC00000"/>
        <rFont val="Arial"/>
        <family val="0"/>
        <charset val="1"/>
      </rPr>
      <t xml:space="preserve">NF 22 de 30/04/2024 R$ 249.883,91 + NF 33 de 22/05/2024 R$ 2.154.062,56 + NF 34 de 22/05/2024 R$ 759.140,99 – Volga Engenharia Ind. e Com. Ltda (CNPJ 03.347.463/0006-27): "Eletrocentro - subestação de energia" = R$ 3.163.087,46 (exato). </t>
    </r>
    <r>
      <rPr>
        <sz val="9"/>
        <color rgb="FF002060"/>
        <rFont val="Arial"/>
        <family val="0"/>
        <charset val="1"/>
      </rPr>
      <t xml:space="preserve">Cotação VOLGA 20230138 REV 6A de 06/10/2023: R$ 3.163.087,46, Finame 04037708, prazo 170 dias, CIF sem descarga, garantia 12 meses; sem preço por painel (matriz CNPJ 03.347.463/0001-12).</t>
    </r>
  </si>
  <si>
    <t xml:space="preserve">Faltam as placas do TR-3100 (750 kVA, maior componente), do TR.NB-3100, dos busways e a placa geral – prioridade na próxima visita. TAGs: crítica "-3101", as-built/placas "-3100", SAP mistura. Nome do cliente varia nas placas (Terminais / Soluções Logística). Leituras incertas: corrente do PN-3100 e do QGBT-3100. PN-3105/3106 estão na crítica mas fora do as-built do eletrocentro – confirmar se as NFs 22/33/34 os incluem. O painel Chronus PNA-3105 (radares Endress) não integra esta linha (Outros Fixos). Pedir à VOLGA a PT20230138-REV6 para ratear o valor entre os itens.</t>
  </si>
  <si>
    <t xml:space="preserve">0782-0784, 0992-0995; terceiros 21 e 23/09/2026 (114620-114800)</t>
  </si>
  <si>
    <t xml:space="preserve">Totais (linhas CONJUNTO; grupos 14 e 15-17 pelos subitens)</t>
  </si>
  <si>
    <t xml:space="preserve">Conferência: crítica deve dar R$ 16.576.852,44; NF (soma das 23 NFs) R$ 16.782.799,46 – a coluna G soma as NFs sem dupla contagem (grupo 14 inclui a 1551 do 14d; grupo 15-17 cobre 15/16/17).</t>
  </si>
  <si>
    <t xml:space="preserve">Caracterização consolidada de Máquinas e Equipamentos – Ultracargo Palmeirante-TO (crítica 05/11/2024 × NFs do RT0538 × base SAP × listas de projeto × campo/ANP) – posição 07/10/2026</t>
  </si>
  <si>
    <t xml:space="preserve">v2 – 12/10/2026: colunas V, W e X e abas CONDENSADO, COTACOES_OPE154 e ACHADOS_v2 (ver LEIA-ME). Colunas A-U = base de 07/10/2026 sem alteração.</t>
  </si>
  <si>
    <t xml:space="preserve">Cores do texto: preto = crítica de orçamento | vermelho = relação de notas fiscais (RT0538) | verde = inventário SAP (Base de Ativos) | amarelo = listas de projeto (LI/LM/DE, as-built, proposta) | azul = leitura de placa em campo, terceiros ou ANP. Valores: só as linhas CONJUNTO e GRUPO entram nas somas.</t>
  </si>
  <si>
    <t xml:space="preserve">Linha da crítica</t>
  </si>
  <si>
    <t xml:space="preserve">Item / TAG</t>
  </si>
  <si>
    <t xml:space="preserve">Descrição consolidada (preto = crítica | vermelho = NF | verde = inventário SAP | amarelo = listas de projeto | azul = placa/campo/ANP)</t>
  </si>
  <si>
    <t xml:space="preserve">Marca / fabricante</t>
  </si>
  <si>
    <t xml:space="preserve">Modelo</t>
  </si>
  <si>
    <t xml:space="preserve">Capacidade / dado de trabalho</t>
  </si>
  <si>
    <t xml:space="preserve">Nº de série / OP / ID</t>
  </si>
  <si>
    <t xml:space="preserve">TAG e nº equipamento SAP</t>
  </si>
  <si>
    <t xml:space="preserve">Fabricação</t>
  </si>
  <si>
    <t xml:space="preserve">NF nº</t>
  </si>
  <si>
    <t xml:space="preserve">Data da NF</t>
  </si>
  <si>
    <t xml:space="preserve">Fornecedor da NF (CNPJ)</t>
  </si>
  <si>
    <t xml:space="preserve">Qtd (crítica)</t>
  </si>
  <si>
    <t xml:space="preserve">Valor unitário crítica (R$)</t>
  </si>
  <si>
    <t xml:space="preserve">Valor total crítica (R$)</t>
  </si>
  <si>
    <t xml:space="preserve">Valor comprovado por NF (R$)</t>
  </si>
  <si>
    <t xml:space="preserve">Diferença NF − crítica (R$)</t>
  </si>
  <si>
    <t xml:space="preserve">Base da atribuição da NF</t>
  </si>
  <si>
    <t xml:space="preserve">Observação: leituras de campo (placas/OCR) e ANP × dados teóricos</t>
  </si>
  <si>
    <t xml:space="preserve">Cotação OPE154 (v2 – azul escuro)</t>
  </si>
  <si>
    <t xml:space="preserve">Achados / correções / proposições (v2 – roxo)</t>
  </si>
  <si>
    <t xml:space="preserve">CÉLULA ÚNICA v2 – conjunto + componentes (cores de origem; redundâncias taxadas; azul escuro = cotação; roxo = novo)</t>
  </si>
  <si>
    <t xml:space="preserve">Grupo gerador (GD-3101)</t>
  </si>
  <si>
    <r>
      <rPr>
        <b val="true"/>
        <sz val="9"/>
        <color rgb="FF000000"/>
        <rFont val="Arial"/>
        <family val="0"/>
        <charset val="1"/>
      </rPr>
      <t xml:space="preserve">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04105372.NF: NF 149420 de 15/12/2023 – STEMAC S.A. Grupos Geradores (CNPJ 92.753.269/0052-02): "GMG 0575KVA 440V 60HZ", R$ 393.500,00.SAP: GD-3101 GERADOR 01 – local BPAM-SELE-GER-01-01, equip. 000000123511, ABC A.</t>
    </r>
  </si>
  <si>
    <t xml:space="preserve">STEMAC (Global Lite – crítica)</t>
  </si>
  <si>
    <t xml:space="preserve">Motor Baudouin 6M21G460/6 + gerador WEG AG10 280MI30ZI</t>
  </si>
  <si>
    <t xml:space="preserve">575/506 kVA – 460/405 kWe, 440/254 V, 60 Hz (crítica); placa: ...506 kVA, 440 V, 754 A, 1800 rpm, 4.730 kg</t>
  </si>
  <si>
    <t xml:space="preserve">GMG nº 0575002423</t>
  </si>
  <si>
    <t xml:space="preserve">GD-3101 / 000000123511</t>
  </si>
  <si>
    <t xml:space="preserve">DEZ/2023</t>
  </si>
  <si>
    <t xml:space="preserve">149420</t>
  </si>
  <si>
    <t xml:space="preserve">15/12/2023</t>
  </si>
  <si>
    <t xml:space="preserve">STEMAC S.A. Grupos Geradores (92.753.269/0052-02)</t>
  </si>
  <si>
    <t xml:space="preserve">exata</t>
  </si>
  <si>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GD-3101. O catálogo do dossiê (Perkins 125 kVA) não corresponde a este bem. Sem imagem da ANP.</t>
  </si>
  <si>
    <t xml:space="preserve">0052-0060</t>
  </si>
  <si>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t>
  </si>
  <si>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t>
  </si>
  <si>
    <r>
      <rPr>
        <b val="true"/>
        <sz val="9"/>
        <color rgb="FF000000"/>
        <rFont val="Arial"/>
        <family val="0"/>
        <charset val="1"/>
      </rPr>
      <t xml:space="preserve">LINHA 1 – Grupo gerador (GD-3101) [CONJUNTO]
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 </t>
    </r>
    <r>
      <rPr>
        <b val="true"/>
        <sz val="9"/>
        <color rgb="FFC00000"/>
        <rFont val="Arial"/>
        <family val="0"/>
        <charset val="1"/>
      </rPr>
      <t xml:space="preserve">NF: </t>
    </r>
    <r>
      <rPr>
        <sz val="9"/>
        <color rgb="FFC00000"/>
        <rFont val="Arial"/>
        <family val="0"/>
        <charset val="1"/>
      </rPr>
      <t xml:space="preserve">NF 149420 de 15/12/2023 – STEMAC S.A. Grupos Geradores (CNPJ 92.753.269/0052-02): "GMG 0575KVA 440V 60HZ", R$ 393.500,00. </t>
    </r>
    <r>
      <rPr>
        <b val="true"/>
        <sz val="9"/>
        <color rgb="FF00703C"/>
        <rFont val="Arial"/>
        <family val="0"/>
        <charset val="1"/>
      </rPr>
      <t xml:space="preserve">SAP: </t>
    </r>
    <r>
      <rPr>
        <strike val="true"/>
        <sz val="9"/>
        <color rgb="FF00703C"/>
        <rFont val="Arial"/>
        <family val="0"/>
        <charset val="1"/>
      </rPr>
      <t xml:space="preserve">GD-3101</t>
    </r>
    <r>
      <rPr>
        <sz val="9"/>
        <color rgb="FF00703C"/>
        <rFont val="Arial"/>
        <family val="0"/>
        <charset val="1"/>
      </rPr>
      <t xml:space="preserve"> GERADOR 01 – local BPAM-SELE-GER-01-01, equip. 000000123511, ABC A. 
</t>
    </r>
    <r>
      <rPr>
        <b val="true"/>
        <sz val="9"/>
        <color rgb="FFC00000"/>
        <rFont val="Arial"/>
        <family val="0"/>
        <charset val="1"/>
      </rPr>
      <t xml:space="preserve">NF (colunas K-Q): </t>
    </r>
    <r>
      <rPr>
        <sz val="9"/>
        <color rgb="FFC00000"/>
        <rFont val="Arial"/>
        <family val="0"/>
        <charset val="1"/>
      </rPr>
      <t xml:space="preserve">NF nº 149420 de 15/12/2023 – </t>
    </r>
    <r>
      <rPr>
        <strike val="true"/>
        <sz val="9"/>
        <color rgb="FFC00000"/>
        <rFont val="Arial"/>
        <family val="0"/>
        <charset val="1"/>
      </rPr>
      <t xml:space="preserve">STEMAC S.A. Grupos Geradores</t>
    </r>
    <r>
      <rPr>
        <sz val="9"/>
        <color rgb="FFC00000"/>
        <rFont val="Arial"/>
        <family val="0"/>
        <charset val="1"/>
      </rPr>
      <t xml:space="preserve"> (</t>
    </r>
    <r>
      <rPr>
        <strike val="true"/>
        <sz val="9"/>
        <color rgb="FFC00000"/>
        <rFont val="Arial"/>
        <family val="0"/>
        <charset val="1"/>
      </rPr>
      <t xml:space="preserve">92.753.269/0052-02</t>
    </r>
    <r>
      <rPr>
        <sz val="9"/>
        <color rgb="FFC00000"/>
        <rFont val="Arial"/>
        <family val="0"/>
        <charset val="1"/>
      </rPr>
      <t xml:space="preserve">) – valor comprovado R$ 393.500,00. </t>
    </r>
    <r>
      <rPr>
        <b val="true"/>
        <sz val="9"/>
        <color rgb="FF000000"/>
        <rFont val="Arial"/>
        <family val="0"/>
        <charset val="1"/>
      </rPr>
      <t xml:space="preserve">Atribuição: </t>
    </r>
    <r>
      <rPr>
        <sz val="9"/>
        <color rgb="FF000000"/>
        <rFont val="Arial"/>
        <family val="0"/>
        <charset val="1"/>
      </rPr>
      <t xml:space="preserve">exata. </t>
    </r>
    <r>
      <rPr>
        <b val="true"/>
        <sz val="9"/>
        <color rgb="FF000000"/>
        <rFont val="Arial"/>
        <family val="0"/>
        <charset val="1"/>
      </rPr>
      <t xml:space="preserve">Crítica (colunas N-P): </t>
    </r>
    <r>
      <rPr>
        <sz val="9"/>
        <color rgb="FF000000"/>
        <rFont val="Arial"/>
        <family val="0"/>
        <charset val="1"/>
      </rPr>
      <t xml:space="preserve">qtd 1, unitário R$ 393.500,00, total R$ 393.500,00.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STEMAC (Global Lite – crítica). </t>
    </r>
    <r>
      <rPr>
        <b val="true"/>
        <sz val="9"/>
        <color rgb="FF1F4E9A"/>
        <rFont val="Arial"/>
        <family val="0"/>
        <charset val="1"/>
      </rPr>
      <t xml:space="preserve">Modelo: </t>
    </r>
    <r>
      <rPr>
        <sz val="9"/>
        <color rgb="FF1F4E9A"/>
        <rFont val="Arial"/>
        <family val="0"/>
        <charset val="1"/>
      </rPr>
      <t xml:space="preserve">Motor Baudouin 6M21G460/6 + gerador WEG AG10 280MI30ZI. </t>
    </r>
    <r>
      <rPr>
        <b val="true"/>
        <sz val="9"/>
        <color rgb="FF000000"/>
        <rFont val="Arial"/>
        <family val="0"/>
        <charset val="1"/>
      </rPr>
      <t xml:space="preserve">Capacidade: </t>
    </r>
    <r>
      <rPr>
        <sz val="9"/>
        <color rgb="FF000000"/>
        <rFont val="Arial"/>
        <family val="0"/>
        <charset val="1"/>
      </rPr>
      <t xml:space="preserve">575/506 kVA – 460/405 kWe, 440/254 V, 60 Hz (crítica); placa: ...506 kVA, 440 V, 754 A, 1800 rpm, 4.730 kg. </t>
    </r>
    <r>
      <rPr>
        <b val="true"/>
        <sz val="9"/>
        <color rgb="FF1F4E9A"/>
        <rFont val="Arial"/>
        <family val="0"/>
        <charset val="1"/>
      </rPr>
      <t xml:space="preserve">Série/OP: </t>
    </r>
    <r>
      <rPr>
        <sz val="9"/>
        <color rgb="FF1F4E9A"/>
        <rFont val="Arial"/>
        <family val="0"/>
        <charset val="1"/>
      </rPr>
      <t xml:space="preserve">GMG nº 0575002423. </t>
    </r>
    <r>
      <rPr>
        <b val="true"/>
        <sz val="9"/>
        <color rgb="FF00703C"/>
        <rFont val="Arial"/>
        <family val="0"/>
        <charset val="1"/>
      </rPr>
      <t xml:space="preserve">TAG/SAP: </t>
    </r>
    <r>
      <rPr>
        <strike val="true"/>
        <sz val="9"/>
        <color rgb="FF00703C"/>
        <rFont val="Arial"/>
        <family val="0"/>
        <charset val="1"/>
      </rPr>
      <t xml:space="preserve">GD-3101</t>
    </r>
    <r>
      <rPr>
        <sz val="9"/>
        <color rgb="FF00703C"/>
        <rFont val="Arial"/>
        <family val="0"/>
        <charset val="1"/>
      </rPr>
      <t xml:space="preserve"> / 000000123511. </t>
    </r>
    <r>
      <rPr>
        <b val="true"/>
        <sz val="9"/>
        <color rgb="FF1F4E9A"/>
        <rFont val="Arial"/>
        <family val="0"/>
        <charset val="1"/>
      </rPr>
      <t xml:space="preserve">Fabricação: </t>
    </r>
    <r>
      <rPr>
        <sz val="9"/>
        <color rgb="FF1F4E9A"/>
        <rFont val="Arial"/>
        <family val="0"/>
        <charset val="1"/>
      </rPr>
      <t xml:space="preserve">DEZ/2023. 
</t>
    </r>
    <r>
      <rPr>
        <b val="true"/>
        <sz val="9"/>
        <color rgb="FF000000"/>
        <rFont val="Arial"/>
        <family val="0"/>
        <charset val="1"/>
      </rPr>
      <t xml:space="preserve">Obs. (coluna T): </t>
    </r>
    <r>
      <rPr>
        <sz val="9"/>
        <color rgb="FF000000"/>
        <rFont val="Arial"/>
        <family val="0"/>
        <charset val="1"/>
      </rPr>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t>
    </r>
    <r>
      <rPr>
        <strike val="true"/>
        <sz val="9"/>
        <color rgb="FF000000"/>
        <rFont val="Arial"/>
        <family val="0"/>
        <charset val="1"/>
      </rPr>
      <t xml:space="preserve">GD-3101</t>
    </r>
    <r>
      <rPr>
        <sz val="9"/>
        <color rgb="FF000000"/>
        <rFont val="Arial"/>
        <family val="0"/>
        <charset val="1"/>
      </rPr>
      <t xml:space="preserve">. O catálogo do dossiê (Perkins 125 kVA) não corresponde a este bem. Sem imagem da ANP. </t>
    </r>
    <r>
      <rPr>
        <b val="true"/>
        <sz val="9"/>
        <color rgb="FF000000"/>
        <rFont val="Arial"/>
        <family val="0"/>
        <charset val="1"/>
      </rPr>
      <t xml:space="preserve">Fotos (coluna U): </t>
    </r>
    <r>
      <rPr>
        <sz val="9"/>
        <color rgb="FF000000"/>
        <rFont val="Arial"/>
        <family val="0"/>
        <charset val="1"/>
      </rPr>
      <t xml:space="preserve">0052-0060. 
</t>
    </r>
    <r>
      <rPr>
        <b val="true"/>
        <sz val="9"/>
        <color rgb="FF002060"/>
        <rFont val="Arial"/>
        <family val="0"/>
        <charset val="1"/>
      </rPr>
      <t xml:space="preserve">Cotação OPE154: </t>
    </r>
    <r>
      <rPr>
        <sz val="9"/>
        <color rgb="FF002060"/>
        <rFont val="Arial"/>
        <family val="0"/>
        <charset val="1"/>
      </rPr>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 
</t>
    </r>
    <r>
      <rPr>
        <b val="true"/>
        <sz val="9"/>
        <color rgb="FF7030A0"/>
        <rFont val="Arial"/>
        <family val="0"/>
        <charset val="1"/>
      </rPr>
      <t xml:space="preserve">Novo v2 (achados / correções / proposições): </t>
    </r>
    <r>
      <rPr>
        <sz val="9"/>
        <color rgb="FF7030A0"/>
        <rFont val="Arial"/>
        <family val="0"/>
        <charset val="1"/>
      </rPr>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 
</t>
    </r>
    <r>
      <rPr>
        <b val="true"/>
        <sz val="9"/>
        <color rgb="FF000000"/>
        <rFont val="Arial"/>
        <family val="0"/>
        <charset val="1"/>
      </rPr>
      <t xml:space="preserve">COMPONENTES (2):
• Motor diesel do GMG: </t>
    </r>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 </t>
    </r>
    <r>
      <rPr>
        <b val="true"/>
        <sz val="9"/>
        <color rgb="FF000000"/>
        <rFont val="Arial"/>
        <family val="0"/>
        <charset val="1"/>
      </rPr>
      <t xml:space="preserve">Obs.: </t>
    </r>
    <r>
      <rPr>
        <sz val="9"/>
        <color rgb="FF000000"/>
        <rFont val="Arial"/>
        <family val="0"/>
        <charset val="1"/>
      </rPr>
      <t xml:space="preserve">510 kW de motor para 460 kWe de gerador (emergência) – relação coerente. Sem dado teórico próprio do motor (crítica/NF descrevem o conjunto). </t>
    </r>
    <r>
      <rPr>
        <b val="true"/>
        <sz val="9"/>
        <color rgb="FF000000"/>
        <rFont val="Arial"/>
        <family val="0"/>
        <charset val="1"/>
      </rPr>
      <t xml:space="preserve">Fotos: </t>
    </r>
    <r>
      <rPr>
        <sz val="9"/>
        <color rgb="FF000000"/>
        <rFont val="Arial"/>
        <family val="0"/>
        <charset val="1"/>
      </rPr>
      <t xml:space="preserve">0052-0055. </t>
    </r>
    <r>
      <rPr>
        <b val="true"/>
        <sz val="9"/>
        <color rgb="FF002060"/>
        <rFont val="Arial"/>
        <family val="0"/>
        <charset val="1"/>
      </rPr>
      <t xml:space="preserve">Cotação: </t>
    </r>
    <r>
      <rPr>
        <sz val="9"/>
        <color rgb="FF002060"/>
        <rFont val="Arial"/>
        <family val="0"/>
        <charset val="1"/>
      </rPr>
      <t xml:space="preserve">STEMAC 13107/2023 REV01: motor incluso no grupo Global Lite 575/506 kVA (marca não citada na proposta; a placa de campo identifica Baudouin 6M21G460/6). </t>
    </r>
    <r>
      <rPr>
        <b val="true"/>
        <sz val="9"/>
        <color rgb="FF7030A0"/>
        <rFont val="Arial"/>
        <family val="0"/>
        <charset val="1"/>
      </rPr>
      <t xml:space="preserve">Novo v2: </t>
    </r>
    <r>
      <rPr>
        <sz val="9"/>
        <color rgb="FF7030A0"/>
        <rFont val="Arial"/>
        <family val="0"/>
        <charset val="1"/>
      </rPr>
      <t xml:space="preserve">Contexto: Baudouin (Weifang Power) 6M21 = motor diesel 6 cilindros em linha, 21 L, da linha industrial de grupos geradores; 510 kW mecânicos para 460 kWe de emergência. 
</t>
    </r>
    <r>
      <rPr>
        <b val="true"/>
        <sz val="9"/>
        <color rgb="FF000000"/>
        <rFont val="Arial"/>
        <family val="0"/>
        <charset val="1"/>
      </rPr>
      <t xml:space="preserve">• Alternador (gerador) do GMG: </t>
    </r>
    <r>
      <rPr>
        <b val="true"/>
        <sz val="9"/>
        <color rgb="FF1F4E9A"/>
        <rFont val="Arial"/>
        <family val="0"/>
        <charset val="1"/>
      </rPr>
      <t xml:space="preserve">Placa/campo: </t>
    </r>
    <r>
      <rPr>
        <sz val="9"/>
        <color rgb="FF1F4E9A"/>
        <rFont val="Arial"/>
        <family val="0"/>
        <charset val="1"/>
      </rPr>
      <t xml:space="preserve">WEG AG10 280M(30Z) B15T, nº 1091387382, MAT 17548900, 11/2023. </t>
    </r>
    <r>
      <rPr>
        <b val="true"/>
        <sz val="9"/>
        <color rgb="FF000000"/>
        <rFont val="Arial"/>
        <family val="0"/>
        <charset val="1"/>
      </rPr>
      <t xml:space="preserve">Obs.: </t>
    </r>
    <r>
      <rPr>
        <sz val="9"/>
        <color rgb="FF000000"/>
        <rFont val="Arial"/>
        <family val="0"/>
        <charset val="1"/>
      </rPr>
      <t xml:space="preserve">Nº de série confirmado na placa STEMAC do conjunto (recorte). Sem dado teórico próprio. </t>
    </r>
    <r>
      <rPr>
        <b val="true"/>
        <sz val="9"/>
        <color rgb="FF000000"/>
        <rFont val="Arial"/>
        <family val="0"/>
        <charset val="1"/>
      </rPr>
      <t xml:space="preserve">Fotos: </t>
    </r>
    <r>
      <rPr>
        <sz val="9"/>
        <color rgb="FF000000"/>
        <rFont val="Arial"/>
        <family val="0"/>
        <charset val="1"/>
      </rPr>
      <t xml:space="preserve">0056, 0059, 0060. </t>
    </r>
    <r>
      <rPr>
        <b val="true"/>
        <sz val="9"/>
        <color rgb="FF002060"/>
        <rFont val="Arial"/>
        <family val="0"/>
        <charset val="1"/>
      </rPr>
      <t xml:space="preserve">Cotação: </t>
    </r>
    <r>
      <rPr>
        <sz val="9"/>
        <color rgb="FF002060"/>
        <rFont val="Arial"/>
        <family val="0"/>
        <charset val="1"/>
      </rPr>
      <t xml:space="preserve">STEMAC 13107/2023 REV01: gerador incluso, IP23, detetores térmicos bimetálicos no mancal e nos enrolamentos, forma construtiva B15T, regulação 0,5 % (folha de dados WEG citada nos desvios). </t>
    </r>
    <r>
      <rPr>
        <b val="true"/>
        <sz val="9"/>
        <color rgb="FF7030A0"/>
        <rFont val="Arial"/>
        <family val="0"/>
        <charset val="1"/>
      </rPr>
      <t xml:space="preserve">Novo v2: </t>
    </r>
    <r>
      <rPr>
        <sz val="9"/>
        <color rgb="FF7030A0"/>
        <rFont val="Arial"/>
        <family val="0"/>
        <charset val="1"/>
      </rPr>
      <t xml:space="preserve">Contexto: WEG AG10 280M = alternador síncrono trifásico sem escovas, carcaça 280, usado pela STEMAC na linha Global. </t>
    </r>
  </si>
  <si>
    <t xml:space="preserve">COMPONENTE</t>
  </si>
  <si>
    <t xml:space="preserve">Motor diesel do GMG</t>
  </si>
  <si>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t>
    </r>
  </si>
  <si>
    <t xml:space="preserve">Baudouin (Weifang) Power</t>
  </si>
  <si>
    <t xml:space="preserve">6M21G460/6</t>
  </si>
  <si>
    <t xml:space="preserve">683 HP / 510 kW; 1800 rpm</t>
  </si>
  <si>
    <t xml:space="preserve">5123S001673 (ordem DHM21D0052*01)</t>
  </si>
  <si>
    <t xml:space="preserve">↑ GD-3101</t>
  </si>
  <si>
    <t xml:space="preserve">não lido</t>
  </si>
  <si>
    <t xml:space="preserve">510 kW de motor para 460 kWe de gerador (emergência) – relação coerente. Sem dado teórico próprio do motor (crítica/NF descrevem o conjunto).</t>
  </si>
  <si>
    <t xml:space="preserve">0052-0055</t>
  </si>
  <si>
    <t xml:space="preserve">STEMAC 13107/2023 REV01: motor incluso no grupo Global Lite 575/506 kVA (marca não citada na proposta; a placa de campo identifica Baudouin 6M21G460/6).</t>
  </si>
  <si>
    <t xml:space="preserve">Contexto: Baudouin (Weifang Power) 6M21 = motor diesel 6 cilindros em linha, 21 L, da linha industrial de grupos geradores; 510 kW mecânicos para 460 kWe de emergência.</t>
  </si>
  <si>
    <t xml:space="preserve">Alternador (gerador) do GMG</t>
  </si>
  <si>
    <r>
      <rPr>
        <b val="true"/>
        <sz val="9"/>
        <color rgb="FF1F4E9A"/>
        <rFont val="Arial"/>
        <family val="0"/>
        <charset val="1"/>
      </rPr>
      <t xml:space="preserve">Placa/campo: </t>
    </r>
    <r>
      <rPr>
        <sz val="9"/>
        <color rgb="FF1F4E9A"/>
        <rFont val="Arial"/>
        <family val="0"/>
        <charset val="1"/>
      </rPr>
      <t xml:space="preserve">WEG AG10 280M(30Z) B15T, nº 1091387382, MAT 17548900, 11/2023.</t>
    </r>
  </si>
  <si>
    <t xml:space="preserve">WEG</t>
  </si>
  <si>
    <t xml:space="preserve">AG10280M(30Z) B15T</t>
  </si>
  <si>
    <t xml:space="preserve">não lido na placa do alternador (ver conjunto: 506 kVA)</t>
  </si>
  <si>
    <t xml:space="preserve">1091387382</t>
  </si>
  <si>
    <t xml:space="preserve">11/2023</t>
  </si>
  <si>
    <t xml:space="preserve">Nº de série confirmado na placa STEMAC do conjunto (recorte). Sem dado teórico próprio.</t>
  </si>
  <si>
    <t xml:space="preserve">0056, 0059, 0060</t>
  </si>
  <si>
    <t xml:space="preserve">STEMAC 13107/2023 REV01: gerador incluso, IP23, detetores térmicos bimetálicos no mancal e nos enrolamentos, forma construtiva B15T, regulação 0,5 % (folha de dados WEG citada nos desvios).</t>
  </si>
  <si>
    <t xml:space="preserve">Contexto: WEG AG10 280M = alternador síncrono trifásico sem escovas, carcaça 280, usado pela STEMAC na linha Global.</t>
  </si>
  <si>
    <t xml:space="preserve">Bombas SCI B-3101 A e B-3101 B</t>
  </si>
  <si>
    <r>
      <rPr>
        <b val="true"/>
        <sz val="9"/>
        <color rgb="FF000000"/>
        <rFont val="Arial"/>
        <family val="0"/>
        <charset val="1"/>
      </rPr>
      <t xml:space="preserve">Crítica: </t>
    </r>
    <r>
      <rPr>
        <sz val="9"/>
        <color rgb="FF000000"/>
        <rFont val="Arial"/>
        <family val="0"/>
        <charset val="1"/>
      </rPr>
      <t xml:space="preserve">Bomba SCI – KSB megacpk 250-200-500 – 2 un. × R$ 407.600,52 = R$ 815.201,04; fornecedor KSB Brasil Ltda; Finame 03279333.NF: NF 526572 de 05/04/2024 – KSB Brasil Ltda (CNPJ 60.680.873/0001-14): "Conjunto bomba KSB", R$ 850.000,00 – cobre as linhas 2 e 3 (815.201,04 + 34.798,96 = 850.000,00).SAP: B-3101A e B-3101B BOMBA CENTRIFUGA (BPAM-SSCI-RDA-01-01 e -04-01; equip. 000000123885 e 000000123899; ABC B).Projeto: LI-3100-7700-001: B-3101 A/B bomba centrífuga, bomba principal do sistema de combate a incêndio, cód. Ultracargo 8000012941, casa de bombas (CBI), FD-3100-2500-021 / RM-3100-2500-005; LI-3100-6105: sucção 14" do TQ-3120 (água), recalque 12"; tanques de diesel TQ-3122/TQ-3123 (linhas 0201-0204).</t>
    </r>
  </si>
  <si>
    <t xml:space="preserve">KSB (bomba) / REVIMAQ (montagem do conjunto)</t>
  </si>
  <si>
    <t xml:space="preserve">MCPK 250-200-500 GG</t>
  </si>
  <si>
    <t xml:space="preserve">Q 650,12 m³/h; H 100,04 mca; 1800 rpm (ANP Fig. 184)</t>
  </si>
  <si>
    <t xml:space="preserve">OP M482301143 (A) / M482301144 (B)</t>
  </si>
  <si>
    <t xml:space="preserve">B-3101A / 000000123885; B-3101B / 000000123899</t>
  </si>
  <si>
    <t xml:space="preserve">2024 (B); placa da A: 07/02/2025</t>
  </si>
  <si>
    <t xml:space="preserve">526572</t>
  </si>
  <si>
    <t xml:space="preserve">05/04/2024</t>
  </si>
  <si>
    <t xml:space="preserve">KSB Brasil Ltda (60.680.873/0001-14)</t>
  </si>
  <si>
    <t xml:space="preserve">NF 526572 = linhas 2 + 3 (850.000,00 exatos); parcela da linha pelo valor da crítica</t>
  </si>
  <si>
    <t xml:space="preserve">Modelo 250-200-500 confirmado pela placa KSB (ANP Fig. 184). Em campo só foram lidas as plaquetas REVIMAQ do conjunto (03/2024) – as placas KSB e dos motores diesel não foram fotografadas legíveis (foto 0018 "motor MWM?" ilegível). ATENÇÃO: a placa KSB da B-3101 A traz "Ano 07/02/2025", "RC30376" e rotor Ø465 mm – data posterior à NF (05/04/2024); indica placa refeita ou intervenção (reparo/rebaixamento de rotor). Pedir explicação. Tanques de diesel de 1.000 L com etiquetas B-3101 A/B = TQ-3122/TQ-3123 do projeto.</t>
  </si>
  <si>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t>
  </si>
  <si>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t>
  </si>
  <si>
    <r>
      <rPr>
        <b val="true"/>
        <sz val="9"/>
        <color rgb="FF000000"/>
        <rFont val="Arial"/>
        <family val="0"/>
        <charset val="1"/>
      </rPr>
      <t xml:space="preserve">LINHA 2 – Bombas SCI B-3101 A e B-3101 B [CONJUNTO]
Crítica: </t>
    </r>
    <r>
      <rPr>
        <sz val="9"/>
        <color rgb="FF000000"/>
        <rFont val="Arial"/>
        <family val="0"/>
        <charset val="1"/>
      </rPr>
      <t xml:space="preserve">Bomba SCI – KSB megacpk 250-200-500 – 2 un. × R$ 407.600,52 = R$ 815.201,04; fornecedor KSB Brasil Ltda; Finame 03279333.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cobre as linhas 2 e 3 (815.201,04 + 34.798,96 = 850.000,00).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e </t>
    </r>
    <r>
      <rPr>
        <strike val="true"/>
        <sz val="9"/>
        <color rgb="FF00703C"/>
        <rFont val="Arial"/>
        <family val="0"/>
        <charset val="1"/>
      </rPr>
      <t xml:space="preserve">B-3101B</t>
    </r>
    <r>
      <rPr>
        <sz val="9"/>
        <color rgb="FF00703C"/>
        <rFont val="Arial"/>
        <family val="0"/>
        <charset val="1"/>
      </rPr>
      <t xml:space="preserve"> BOMBA CENTRIFUGA (BPAM-SSCI-RDA-01-01 e -04-01; equip. 000000123885 e 000000123899;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B-3101 A</t>
    </r>
    <r>
      <rPr>
        <sz val="9"/>
        <color rgb="FFB38600"/>
        <rFont val="Arial"/>
        <family val="0"/>
        <charset val="1"/>
      </rPr>
      <t xml:space="preserve">/B bomba centrífuga, bomba principal do sistema de combate a incêndio, cód. Ultracargo 8000012941, casa de bombas (CBI), FD-3100-2500-021 / RM-3100-2500-005; LI-3100-6105: sucção 14" do TQ-3120 (água), recalque 12"; tanques de diesel TQ-3122/TQ-3123 (linhas 0201-0204).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R$ 815.201,04. </t>
    </r>
    <r>
      <rPr>
        <b val="true"/>
        <sz val="9"/>
        <color rgb="FF000000"/>
        <rFont val="Arial"/>
        <family val="0"/>
        <charset val="1"/>
      </rPr>
      <t xml:space="preserve">Atribuição: </t>
    </r>
    <r>
      <rPr>
        <sz val="9"/>
        <color rgb="FF000000"/>
        <rFont val="Arial"/>
        <family val="0"/>
        <charset val="1"/>
      </rPr>
      <t xml:space="preserve">NF 526572 = linhas 2 + 3 (850.000,00 exatos); parcela da linha pelo valor da crítica. </t>
    </r>
    <r>
      <rPr>
        <b val="true"/>
        <sz val="9"/>
        <color rgb="FF000000"/>
        <rFont val="Arial"/>
        <family val="0"/>
        <charset val="1"/>
      </rPr>
      <t xml:space="preserve">Crítica (colunas N-P): </t>
    </r>
    <r>
      <rPr>
        <sz val="9"/>
        <color rgb="FF000000"/>
        <rFont val="Arial"/>
        <family val="0"/>
        <charset val="1"/>
      </rPr>
      <t xml:space="preserve">qtd 2, unitário R$ 407.600,52, total R$ 815.201,04.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(bomba) / REVIMAQ (montagem do conjunto). </t>
    </r>
    <r>
      <rPr>
        <b val="true"/>
        <sz val="9"/>
        <color rgb="FF1F4E9A"/>
        <rFont val="Arial"/>
        <family val="0"/>
        <charset val="1"/>
      </rPr>
      <t xml:space="preserve">Modelo: </t>
    </r>
    <r>
      <rPr>
        <sz val="9"/>
        <color rgb="FF1F4E9A"/>
        <rFont val="Arial"/>
        <family val="0"/>
        <charset val="1"/>
      </rPr>
      <t xml:space="preserve">MCPK 250-200-500 GG. </t>
    </r>
    <r>
      <rPr>
        <b val="true"/>
        <sz val="9"/>
        <color rgb="FF1F4E9A"/>
        <rFont val="Arial"/>
        <family val="0"/>
        <charset val="1"/>
      </rPr>
      <t xml:space="preserve">Capacidade: </t>
    </r>
    <r>
      <rPr>
        <sz val="9"/>
        <color rgb="FF1F4E9A"/>
        <rFont val="Arial"/>
        <family val="0"/>
        <charset val="1"/>
      </rPr>
      <t xml:space="preserve">Q 650,12 m³/h; H 100,04 mca; 1800 rpm (ANP Fig. 184). </t>
    </r>
    <r>
      <rPr>
        <b val="true"/>
        <sz val="9"/>
        <color rgb="FF1F4E9A"/>
        <rFont val="Arial"/>
        <family val="0"/>
        <charset val="1"/>
      </rPr>
      <t xml:space="preserve">Série/OP: </t>
    </r>
    <r>
      <rPr>
        <sz val="9"/>
        <color rgb="FF1F4E9A"/>
        <rFont val="Arial"/>
        <family val="0"/>
        <charset val="1"/>
      </rPr>
      <t xml:space="preserve">OP M482301143 (A) / M482301144 (B). </t>
    </r>
    <r>
      <rPr>
        <b val="true"/>
        <sz val="9"/>
        <color rgb="FF00703C"/>
        <rFont val="Arial"/>
        <family val="0"/>
        <charset val="1"/>
      </rPr>
      <t xml:space="preserve">TAG/SAP: </t>
    </r>
    <r>
      <rPr>
        <strike val="true"/>
        <sz val="9"/>
        <color rgb="FF00703C"/>
        <rFont val="Arial"/>
        <family val="0"/>
        <charset val="1"/>
      </rPr>
      <t xml:space="preserve">B-3101A</t>
    </r>
    <r>
      <rPr>
        <sz val="9"/>
        <color rgb="FF00703C"/>
        <rFont val="Arial"/>
        <family val="0"/>
        <charset val="1"/>
      </rPr>
      <t xml:space="preserve"> / 000000123885; </t>
    </r>
    <r>
      <rPr>
        <strike val="true"/>
        <sz val="9"/>
        <color rgb="FF00703C"/>
        <rFont val="Arial"/>
        <family val="0"/>
        <charset val="1"/>
      </rPr>
      <t xml:space="preserve">B-3101B</t>
    </r>
    <r>
      <rPr>
        <sz val="9"/>
        <color rgb="FF00703C"/>
        <rFont val="Arial"/>
        <family val="0"/>
        <charset val="1"/>
      </rPr>
      <t xml:space="preserve"> / 000000123899. </t>
    </r>
    <r>
      <rPr>
        <b val="true"/>
        <sz val="9"/>
        <color rgb="FF1F4E9A"/>
        <rFont val="Arial"/>
        <family val="0"/>
        <charset val="1"/>
      </rPr>
      <t xml:space="preserve">Fabricação: </t>
    </r>
    <r>
      <rPr>
        <sz val="9"/>
        <color rgb="FF1F4E9A"/>
        <rFont val="Arial"/>
        <family val="0"/>
        <charset val="1"/>
      </rPr>
      <t xml:space="preserve">2024 (B); placa da A: 07/02/2025. 
</t>
    </r>
    <r>
      <rPr>
        <b val="true"/>
        <sz val="9"/>
        <color rgb="FF000000"/>
        <rFont val="Arial"/>
        <family val="0"/>
        <charset val="1"/>
      </rPr>
      <t xml:space="preserve">Obs. (coluna T): </t>
    </r>
    <r>
      <rPr>
        <sz val="9"/>
        <color rgb="FF000000"/>
        <rFont val="Arial"/>
        <family val="0"/>
        <charset val="1"/>
      </rPr>
      <t xml:space="preserve">Modelo 250-200-500 confirmado pela placa KSB (</t>
    </r>
    <r>
      <rPr>
        <strike val="true"/>
        <sz val="9"/>
        <color rgb="FF000000"/>
        <rFont val="Arial"/>
        <family val="0"/>
        <charset val="1"/>
      </rPr>
      <t xml:space="preserve">ANP Fig. 184</t>
    </r>
    <r>
      <rPr>
        <sz val="9"/>
        <color rgb="FF000000"/>
        <rFont val="Arial"/>
        <family val="0"/>
        <charset val="1"/>
      </rPr>
      <t xml:space="preserve">). Em campo só foram lidas as plaquetas REVIMAQ do conjunto (03/2024) – as placas KSB e dos motores diesel não foram fotografadas legíveis (foto 0018 "motor MWM?" ilegível). ATENÇÃO: a placa KSB da </t>
    </r>
    <r>
      <rPr>
        <strike val="true"/>
        <sz val="9"/>
        <color rgb="FF000000"/>
        <rFont val="Arial"/>
        <family val="0"/>
        <charset val="1"/>
      </rPr>
      <t xml:space="preserve">B-3101 A</t>
    </r>
    <r>
      <rPr>
        <sz val="9"/>
        <color rgb="FF000000"/>
        <rFont val="Arial"/>
        <family val="0"/>
        <charset val="1"/>
      </rPr>
      <t xml:space="preserve"> traz "Ano 07/02/2025", "RC30376" e rotor Ø465 mm – data posterior à NF (05/04/2024); indica placa refeita ou intervenção (reparo/rebaixamento de rotor). Pedir explicação. Tanques de diesel de 1.000 L com etiquetas </t>
    </r>
    <r>
      <rPr>
        <strike val="true"/>
        <sz val="9"/>
        <color rgb="FF000000"/>
        <rFont val="Arial"/>
        <family val="0"/>
        <charset val="1"/>
      </rPr>
      <t xml:space="preserve">B-3101 A</t>
    </r>
    <r>
      <rPr>
        <sz val="9"/>
        <color rgb="FF000000"/>
        <rFont val="Arial"/>
        <family val="0"/>
        <charset val="1"/>
      </rPr>
      <t xml:space="preserve">/B = </t>
    </r>
    <r>
      <rPr>
        <strike val="true"/>
        <sz val="9"/>
        <color rgb="FF000000"/>
        <rFont val="Arial"/>
        <family val="0"/>
        <charset val="1"/>
      </rPr>
      <t xml:space="preserve">TQ-3122</t>
    </r>
    <r>
      <rPr>
        <sz val="9"/>
        <color rgb="FF000000"/>
        <rFont val="Arial"/>
        <family val="0"/>
        <charset val="1"/>
      </rPr>
      <t xml:space="preserve">/</t>
    </r>
    <r>
      <rPr>
        <strike val="true"/>
        <sz val="9"/>
        <color rgb="FF000000"/>
        <rFont val="Arial"/>
        <family val="0"/>
        <charset val="1"/>
      </rPr>
      <t xml:space="preserve">TQ-3123</t>
    </r>
    <r>
      <rPr>
        <sz val="9"/>
        <color rgb="FF000000"/>
        <rFont val="Arial"/>
        <family val="0"/>
        <charset val="1"/>
      </rPr>
      <t xml:space="preserve"> do projeto. </t>
    </r>
    <r>
      <rPr>
        <b val="true"/>
        <sz val="9"/>
        <color rgb="FF000000"/>
        <rFont val="Arial"/>
        <family val="0"/>
        <charset val="1"/>
      </rPr>
      <t xml:space="preserve">Fotos (coluna U): </t>
    </r>
    <r>
      <rPr>
        <sz val="9"/>
        <color rgb="FF000000"/>
        <rFont val="Arial"/>
        <family val="0"/>
        <charset val="1"/>
      </rPr>
      <t xml:space="preserve">0041-0043, 1003-1010 | ANP Fig. 183, 184, 199. 
</t>
    </r>
    <r>
      <rPr>
        <b val="true"/>
        <sz val="9"/>
        <color rgb="FF002060"/>
        <rFont val="Arial"/>
        <family val="0"/>
        <charset val="1"/>
      </rPr>
      <t xml:space="preserve">Cotação OPE154: </t>
    </r>
    <r>
      <rPr>
        <sz val="9"/>
        <color rgb="FF002060"/>
        <rFont val="Arial"/>
        <family val="0"/>
        <charset val="1"/>
      </rPr>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 
</t>
    </r>
    <r>
      <rPr>
        <b val="true"/>
        <sz val="9"/>
        <color rgb="FF7030A0"/>
        <rFont val="Arial"/>
        <family val="0"/>
        <charset val="1"/>
      </rPr>
      <t xml:space="preserve">Novo v2 (achados / correções / proposições): </t>
    </r>
    <r>
      <rPr>
        <sz val="9"/>
        <color rgb="FF7030A0"/>
        <rFont val="Arial"/>
        <family val="0"/>
        <charset val="1"/>
      </rPr>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 
</t>
    </r>
    <r>
      <rPr>
        <b val="true"/>
        <sz val="9"/>
        <color rgb="FF000000"/>
        <rFont val="Arial"/>
        <family val="0"/>
        <charset val="1"/>
      </rPr>
      <t xml:space="preserve">COMPONENTES (3):
• B-3101A: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BPAM-SSCI-RDA-01-01, equip. 000000123885,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77532 / OS 63419 / OV 9975318361-000100, 03/2024, 220 VCA / 12 VCC; </t>
    </r>
    <r>
      <rPr>
        <strike val="true"/>
        <sz val="9"/>
        <color rgb="FF1F4E9A"/>
        <rFont val="Arial"/>
        <family val="0"/>
        <charset val="1"/>
      </rPr>
      <t xml:space="preserve">ANP Fig. 184</t>
    </r>
    <r>
      <rPr>
        <sz val="9"/>
        <color rgb="FF1F4E9A"/>
        <rFont val="Arial"/>
        <family val="0"/>
        <charset val="1"/>
      </rPr>
      <t xml:space="preserve">: KSB </t>
    </r>
    <r>
      <rPr>
        <strike val="true"/>
        <sz val="9"/>
        <color rgb="FF1F4E9A"/>
        <rFont val="Arial"/>
        <family val="0"/>
        <charset val="1"/>
      </rPr>
      <t xml:space="preserve">MCPK 250-200-500 GG</t>
    </r>
    <r>
      <rPr>
        <sz val="9"/>
        <color rgb="FF1F4E9A"/>
        <rFont val="Arial"/>
        <family val="0"/>
        <charset val="1"/>
      </rPr>
      <t xml:space="preserve">, OP M482301143, Q 650,12 m³/h, H 100,04 mca, 1800 rpm, Ø465 mm, RC30376, ano 07/02/2025. </t>
    </r>
    <r>
      <rPr>
        <b val="true"/>
        <sz val="9"/>
        <color rgb="FF000000"/>
        <rFont val="Arial"/>
        <family val="0"/>
        <charset val="1"/>
      </rPr>
      <t xml:space="preserve">Obs.: </t>
    </r>
    <r>
      <rPr>
        <sz val="9"/>
        <color rgb="FF000000"/>
        <rFont val="Arial"/>
        <family val="0"/>
        <charset val="1"/>
      </rPr>
      <t xml:space="preserve">Campo: "bomba principal de incêndio". Projeto e SAP: bomba principal do SCI. Dados KSB só na ANP; motor diesel sem placa lida. Placa KSB com data 07/02/2025 posterior à NF. </t>
    </r>
    <r>
      <rPr>
        <b val="true"/>
        <sz val="9"/>
        <color rgb="FF000000"/>
        <rFont val="Arial"/>
        <family val="0"/>
        <charset val="1"/>
      </rPr>
      <t xml:space="preserve">Fotos: </t>
    </r>
    <r>
      <rPr>
        <sz val="9"/>
        <color rgb="FF000000"/>
        <rFont val="Arial"/>
        <family val="0"/>
        <charset val="1"/>
      </rPr>
      <t xml:space="preserve">0042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Placa KSB com ano 07/02/2025 posterior à NF – pedir explicação (troca de rotor Ø465 mm?). 
</t>
    </r>
    <r>
      <rPr>
        <b val="true"/>
        <sz val="9"/>
        <color rgb="FF000000"/>
        <rFont val="Arial"/>
        <family val="0"/>
        <charset val="1"/>
      </rPr>
      <t xml:space="preserve">• B-3101B: </t>
    </r>
    <r>
      <rPr>
        <b val="true"/>
        <sz val="9"/>
        <color rgb="FF00703C"/>
        <rFont val="Arial"/>
        <family val="0"/>
        <charset val="1"/>
      </rPr>
      <t xml:space="preserve">SAP: </t>
    </r>
    <r>
      <rPr>
        <strike val="true"/>
        <sz val="9"/>
        <color rgb="FF00703C"/>
        <rFont val="Arial"/>
        <family val="0"/>
        <charset val="1"/>
      </rPr>
      <t xml:space="preserve">B-3101B</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BPAM-SSCI-RDA-04-01, equip. 000000123899,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77533 / OS 63420 / OV 9975318361-100, 03/2024, 220 VCA / 12 VCC; </t>
    </r>
    <r>
      <rPr>
        <strike val="true"/>
        <sz val="9"/>
        <color rgb="FF1F4E9A"/>
        <rFont val="Arial"/>
        <family val="0"/>
        <charset val="1"/>
      </rPr>
      <t xml:space="preserve">ANP Fig. 184</t>
    </r>
    <r>
      <rPr>
        <sz val="9"/>
        <color rgb="FF1F4E9A"/>
        <rFont val="Arial"/>
        <family val="0"/>
        <charset val="1"/>
      </rPr>
      <t xml:space="preserve">: </t>
    </r>
    <r>
      <rPr>
        <strike val="true"/>
        <sz val="9"/>
        <color rgb="FF1F4E9A"/>
        <rFont val="Arial"/>
        <family val="0"/>
        <charset val="1"/>
      </rPr>
      <t xml:space="preserve">KSB MCPK 250-200-500 GG</t>
    </r>
    <r>
      <rPr>
        <sz val="9"/>
        <color rgb="FF1F4E9A"/>
        <rFont val="Arial"/>
        <family val="0"/>
        <charset val="1"/>
      </rPr>
      <t xml:space="preserve">, OP M482301144, Q 650,12 m³/h, H 100,04 mca, 1800 rpm, 470 kg, 2024. </t>
    </r>
    <r>
      <rPr>
        <b val="true"/>
        <sz val="9"/>
        <color rgb="FF000000"/>
        <rFont val="Arial"/>
        <family val="0"/>
        <charset val="1"/>
      </rPr>
      <t xml:space="preserve">Obs.: </t>
    </r>
    <r>
      <rPr>
        <sz val="9"/>
        <color rgb="FF000000"/>
        <rFont val="Arial"/>
        <family val="0"/>
        <charset val="1"/>
      </rPr>
      <t xml:space="preserve">Campo: "bomba de incêndio (diesel)". </t>
    </r>
    <r>
      <rPr>
        <strike val="true"/>
        <sz val="9"/>
        <color rgb="FF000000"/>
        <rFont val="Arial"/>
        <family val="0"/>
        <charset val="1"/>
      </rPr>
      <t xml:space="preserve">Projeto e SAP: bomba principal do SCI.</t>
    </r>
    <r>
      <rPr>
        <sz val="9"/>
        <color rgb="FF000000"/>
        <rFont val="Arial"/>
        <family val="0"/>
        <charset val="1"/>
      </rPr>
      <t xml:space="preserve"> </t>
    </r>
    <r>
      <rPr>
        <strike val="true"/>
        <sz val="9"/>
        <color rgb="FF000000"/>
        <rFont val="Arial"/>
        <family val="0"/>
        <charset val="1"/>
      </rPr>
      <t xml:space="preserve">Dados KSB só na ANP; motor diesel sem placa lida.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0043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t>
    </r>
    <r>
      <rPr>
        <b val="true"/>
        <sz val="9"/>
        <color rgb="FF000000"/>
        <rFont val="Arial"/>
        <family val="0"/>
        <charset val="1"/>
      </rPr>
      <t xml:space="preserve">• TQ-3122 / TQ-3123 (tanques diesel das motobombas): </t>
    </r>
    <r>
      <rPr>
        <b val="true"/>
        <sz val="9"/>
        <color rgb="FFB38600"/>
        <rFont val="Arial"/>
        <family val="0"/>
        <charset val="1"/>
      </rPr>
      <t xml:space="preserve">Projeto: </t>
    </r>
    <r>
      <rPr>
        <strike val="true"/>
        <sz val="9"/>
        <color rgb="FFB38600"/>
        <rFont val="Arial"/>
        <family val="0"/>
        <charset val="1"/>
      </rPr>
      <t xml:space="preserve">LI-3100-6105</t>
    </r>
    <r>
      <rPr>
        <sz val="9"/>
        <color rgb="FFB38600"/>
        <rFont val="Arial"/>
        <family val="0"/>
        <charset val="1"/>
      </rPr>
      <t xml:space="preserve">: linhas 0201-0204 de 3/4" ligando </t>
    </r>
    <r>
      <rPr>
        <strike val="true"/>
        <sz val="9"/>
        <color rgb="FFB38600"/>
        <rFont val="Arial"/>
        <family val="0"/>
        <charset val="1"/>
      </rPr>
      <t xml:space="preserve">TQ-3123</t>
    </r>
    <r>
      <rPr>
        <sz val="9"/>
        <color rgb="FFB38600"/>
        <rFont val="Arial"/>
        <family val="0"/>
        <charset val="1"/>
      </rPr>
      <t xml:space="preserve"> ↔ </t>
    </r>
    <r>
      <rPr>
        <strike val="true"/>
        <sz val="9"/>
        <color rgb="FFB38600"/>
        <rFont val="Arial"/>
        <family val="0"/>
        <charset val="1"/>
      </rPr>
      <t xml:space="preserve">B-3101A</t>
    </r>
    <r>
      <rPr>
        <sz val="9"/>
        <color rgb="FFB38600"/>
        <rFont val="Arial"/>
        <family val="0"/>
        <charset val="1"/>
      </rPr>
      <t xml:space="preserve"> e </t>
    </r>
    <r>
      <rPr>
        <strike val="true"/>
        <sz val="9"/>
        <color rgb="FFB38600"/>
        <rFont val="Arial"/>
        <family val="0"/>
        <charset val="1"/>
      </rPr>
      <t xml:space="preserve">TQ-3122</t>
    </r>
    <r>
      <rPr>
        <sz val="9"/>
        <color rgb="FFB38600"/>
        <rFont val="Arial"/>
        <family val="0"/>
        <charset val="1"/>
      </rPr>
      <t xml:space="preserve"> ↔ </t>
    </r>
    <r>
      <rPr>
        <strike val="true"/>
        <sz val="9"/>
        <color rgb="FFB38600"/>
        <rFont val="Arial"/>
        <family val="0"/>
        <charset val="1"/>
      </rPr>
      <t xml:space="preserve">B-3101B</t>
    </r>
    <r>
      <rPr>
        <sz val="9"/>
        <color rgb="FFB38600"/>
        <rFont val="Arial"/>
        <family val="0"/>
        <charset val="1"/>
      </rPr>
      <t xml:space="preserve"> (óleo diesel). </t>
    </r>
    <r>
      <rPr>
        <b val="true"/>
        <sz val="9"/>
        <color rgb="FF1F4E9A"/>
        <rFont val="Arial"/>
        <family val="0"/>
        <charset val="1"/>
      </rPr>
      <t xml:space="preserve">Placa/campo: </t>
    </r>
    <r>
      <rPr>
        <sz val="9"/>
        <color rgb="FF1F4E9A"/>
        <rFont val="Arial"/>
        <family val="0"/>
        <charset val="1"/>
      </rPr>
      <t xml:space="preserve">tanques de </t>
    </r>
    <r>
      <rPr>
        <strike val="true"/>
        <sz val="9"/>
        <color rgb="FF1F4E9A"/>
        <rFont val="Arial"/>
        <family val="0"/>
        <charset val="1"/>
      </rPr>
      <t xml:space="preserve">1.000 L</t>
    </r>
    <r>
      <rPr>
        <sz val="9"/>
        <color rgb="FF1F4E9A"/>
        <rFont val="Arial"/>
        <family val="0"/>
        <charset val="1"/>
      </rPr>
      <t xml:space="preserve"> com adesivo KSB e etiquetas </t>
    </r>
    <r>
      <rPr>
        <strike val="true"/>
        <sz val="9"/>
        <color rgb="FF1F4E9A"/>
        <rFont val="Arial"/>
        <family val="0"/>
        <charset val="1"/>
      </rPr>
      <t xml:space="preserve">B-3101 A</t>
    </r>
    <r>
      <rPr>
        <sz val="9"/>
        <color rgb="FF1F4E9A"/>
        <rFont val="Arial"/>
        <family val="0"/>
        <charset val="1"/>
      </rPr>
      <t xml:space="preserve"> / </t>
    </r>
    <r>
      <rPr>
        <strike val="true"/>
        <sz val="9"/>
        <color rgb="FF1F4E9A"/>
        <rFont val="Arial"/>
        <family val="0"/>
        <charset val="1"/>
      </rPr>
      <t xml:space="preserve">B-3101 B</t>
    </r>
    <r>
      <rPr>
        <sz val="9"/>
        <color rgb="FF1F4E9A"/>
        <rFont val="Arial"/>
        <family val="0"/>
        <charset val="1"/>
      </rPr>
      <t xml:space="preserve"> (lote 3). </t>
    </r>
    <r>
      <rPr>
        <b val="true"/>
        <sz val="9"/>
        <color rgb="FF000000"/>
        <rFont val="Arial"/>
        <family val="0"/>
        <charset val="1"/>
      </rPr>
      <t xml:space="preserve">Obs.: </t>
    </r>
    <r>
      <rPr>
        <sz val="9"/>
        <color rgb="FF000000"/>
        <rFont val="Arial"/>
        <family val="0"/>
        <charset val="1"/>
      </rPr>
      <t xml:space="preserve">Acessório do conjunto motobomba (combustível). Coerente com o projeto. ANP Fig. 199. </t>
    </r>
    <r>
      <rPr>
        <b val="true"/>
        <sz val="9"/>
        <color rgb="FF000000"/>
        <rFont val="Arial"/>
        <family val="0"/>
        <charset val="1"/>
      </rPr>
      <t xml:space="preserve">Fotos: </t>
    </r>
    <r>
      <rPr>
        <sz val="9"/>
        <color rgb="FF000000"/>
        <rFont val="Arial"/>
        <family val="0"/>
        <charset val="1"/>
      </rPr>
      <t xml:space="preserve">1003-1010 | </t>
    </r>
    <r>
      <rPr>
        <strike val="true"/>
        <sz val="9"/>
        <color rgb="FF000000"/>
        <rFont val="Arial"/>
        <family val="0"/>
        <charset val="1"/>
      </rPr>
      <t xml:space="preserve">ANP Fig. 199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 </t>
    </r>
    <r>
      <rPr>
        <b val="true"/>
        <sz val="9"/>
        <color rgb="FF7030A0"/>
        <rFont val="Arial"/>
        <family val="0"/>
        <charset val="1"/>
      </rPr>
      <t xml:space="preserve">Novo v2: </t>
    </r>
    <r>
      <rPr>
        <sz val="9"/>
        <color rgb="FF7030A0"/>
        <rFont val="Arial"/>
        <family val="0"/>
        <charset val="1"/>
      </rPr>
      <t xml:space="preserve">Tanques fornecidos pela KSB dentro do preço das B-3101A/B (cotação): não são bem à parte. </t>
    </r>
  </si>
  <si>
    <t xml:space="preserve">B-3101A</t>
  </si>
  <si>
    <r>
      <rPr>
        <b val="true"/>
        <sz val="9"/>
        <color rgb="FF00703C"/>
        <rFont val="Arial"/>
        <family val="0"/>
        <charset val="1"/>
      </rPr>
      <t xml:space="preserve">SAP: </t>
    </r>
    <r>
      <rPr>
        <sz val="9"/>
        <color rgb="FF00703C"/>
        <rFont val="Arial"/>
        <family val="0"/>
        <charset val="1"/>
      </rPr>
      <t xml:space="preserve">B-3101A BOMBA CENTRIFUGA – local BPAM-SSCI-RDA-01-01, equip. 000000123885, ABC B.Placa/campo: REVIMAQ ORC 77532 / OS 63419 / OV 9975318361-000100, 03/2024, 220 VCA / 12 VCC; ANP Fig. 184: KSB MCPK 250-200-500 GG, OP M482301143, Q 650,12 m³/h, H 100,04 mca, 1800 rpm, Ø465 mm, RC30376, ano 07/02/2025.</t>
    </r>
  </si>
  <si>
    <t xml:space="preserve">KSB / REVIMAQ</t>
  </si>
  <si>
    <t xml:space="preserve">Q 650,12 m³/h; H 100,04 mca; 1800 rpm</t>
  </si>
  <si>
    <t xml:space="preserve">OP M482301143</t>
  </si>
  <si>
    <t xml:space="preserve">B-3101A / 000000123885</t>
  </si>
  <si>
    <t xml:space="preserve">07/02/2025 (placa KSB) / 03/2024 (REVIMAQ)</t>
  </si>
  <si>
    <t xml:space="preserve">Campo: "bomba principal de incêndio". Projeto e SAP: bomba principal do SCI. Dados KSB só na ANP; motor diesel sem placa lida. Placa KSB com data 07/02/2025 posterior à NF.</t>
  </si>
  <si>
    <t xml:space="preserve">0042 | ANP Fig. 184</t>
  </si>
  <si>
    <t xml:space="preserve">KSB RAS0045265 Rev. 7 (19/09/2023), item 1: TAG B-3101A/B, MEGACPK 250-200-500 com motor diesel MWM 6.12TCE 275 kW 1800 rpm, tanque 1.000 L, painel NFPA 20; R$ 407.600,52/un. com impostos; Finame 03279333.</t>
  </si>
  <si>
    <t xml:space="preserve">Motor diesel = MWM 6.12TCE 275 kW 1800 rpm (cotação KSB). Placa KSB com ano 07/02/2025 posterior à NF – pedir explicação (troca de rotor Ø465 mm?).</t>
  </si>
  <si>
    <t xml:space="preserve">B-3101B</t>
  </si>
  <si>
    <r>
      <rPr>
        <b val="true"/>
        <sz val="9"/>
        <color rgb="FF00703C"/>
        <rFont val="Arial"/>
        <family val="0"/>
        <charset val="1"/>
      </rPr>
      <t xml:space="preserve">SAP: </t>
    </r>
    <r>
      <rPr>
        <sz val="9"/>
        <color rgb="FF00703C"/>
        <rFont val="Arial"/>
        <family val="0"/>
        <charset val="1"/>
      </rPr>
      <t xml:space="preserve">B-3101B BOMBA CENTRIFUGA – local BPAM-SSCI-RDA-04-01, equip. 000000123899, ABC B.Placa/campo: REVIMAQ ORC 77533 / OS 63420 / OV 9975318361-100, 03/2024, 220 VCA / 12 VCC; ANP Fig. 184: KSB MCPK 250-200-500 GG, OP M482301144, Q 650,12 m³/h, H 100,04 mca, 1800 rpm, 470 kg, 2024.</t>
    </r>
  </si>
  <si>
    <t xml:space="preserve">OP M482301144</t>
  </si>
  <si>
    <t xml:space="preserve">B-3101B / 000000123899</t>
  </si>
  <si>
    <t xml:space="preserve">2024 (KSB) / 03/2024 (REVIMAQ)</t>
  </si>
  <si>
    <t xml:space="preserve">Campo: "bomba de incêndio (diesel)". Projeto e SAP: bomba principal do SCI. Dados KSB só na ANP; motor diesel sem placa lida.</t>
  </si>
  <si>
    <t xml:space="preserve">0043 | ANP Fig. 184</t>
  </si>
  <si>
    <t xml:space="preserve">Motor diesel = MWM 6.12TCE 275 kW 1800 rpm (cotação KSB).</t>
  </si>
  <si>
    <t xml:space="preserve">TQ-3122 / TQ-3123 (tanques diesel das motobombas)</t>
  </si>
  <si>
    <r>
      <rPr>
        <b val="true"/>
        <sz val="9"/>
        <color rgb="FFB38600"/>
        <rFont val="Arial"/>
        <family val="0"/>
        <charset val="1"/>
      </rPr>
      <t xml:space="preserve">Projeto: </t>
    </r>
    <r>
      <rPr>
        <sz val="9"/>
        <color rgb="FFB38600"/>
        <rFont val="Arial"/>
        <family val="0"/>
        <charset val="1"/>
      </rPr>
      <t xml:space="preserve">LI-3100-6105: linhas 0201-0204 de 3/4" ligando TQ-3123 ↔ B-3101A e TQ-3122 ↔ B-3101B (óleo diesel).Placa/campo: tanques de 1.000 L com adesivo KSB e etiquetas B-3101 A / B-3101 B (lote 3).</t>
    </r>
  </si>
  <si>
    <t xml:space="preserve">KSB (adesivo)</t>
  </si>
  <si>
    <t xml:space="preserve">-</t>
  </si>
  <si>
    <t xml:space="preserve">1.000 L cada</t>
  </si>
  <si>
    <t xml:space="preserve">sem plaqueta</t>
  </si>
  <si>
    <t xml:space="preserve">não consta na base SAP (seleção)</t>
  </si>
  <si>
    <t xml:space="preserve">Acessório do conjunto motobomba (combustível). Coerente com o projeto. ANP Fig. 199.</t>
  </si>
  <si>
    <t xml:space="preserve">1003-1010 | ANP Fig. 199</t>
  </si>
  <si>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t>
  </si>
  <si>
    <t xml:space="preserve">Tanques fornecidos pela KSB dentro do preço das B-3101A/B (cotação): não são bem à parte.</t>
  </si>
  <si>
    <t xml:space="preserve">Bomba jockey B-3102</t>
  </si>
  <si>
    <r>
      <rPr>
        <b val="true"/>
        <sz val="9"/>
        <color rgb="FF000000"/>
        <rFont val="Arial"/>
        <family val="0"/>
        <charset val="1"/>
      </rPr>
      <t xml:space="preserve">Crítica: </t>
    </r>
    <r>
      <rPr>
        <sz val="9"/>
        <color rgb="FF000000"/>
        <rFont val="Arial"/>
        <family val="0"/>
        <charset val="1"/>
      </rPr>
      <t xml:space="preserve">Bomba – KSB Hydrobloc M A 604 – 1 un. × R$ 34.798,96 = R$ 34.798,96; fornecedor KSB Brasil Ltda; Finame 02171421.NF: NF 526572 de 05/04/2024 – KSB Brasil Ltda (CNPJ 60.680.873/0001-14): "Conjunto bomba KSB", R$ 850.000,00 – mesma NF da linha 2.SAP: B-3102 BOMBA JOCKEY – local BPAM-SSCI-RDA-07-01, equip. 000000123913, ABC B.Projeto: LI-3100-7700-001: B-3102 bomba centrífuga, bomba do sistema de pressurização da rede de água de combate a incêndio, cód. Ultracargo 8000012940, CBI, FD-3100-2500-022 / RM-3100-2500-006; LI-3100-6105: sucção 2½", recalque 2".Placa/campo: REVIMAQ ORC 77426 / OS 63336 / OV 9975318361-000200, 03/2024, 440/220 VCA / 24 VCC.</t>
    </r>
  </si>
  <si>
    <t xml:space="preserve">KSB (crítica) / REVIMAQ (montagem)</t>
  </si>
  <si>
    <t xml:space="preserve">Hydrobloc M A 604 (crítica – não lido em placa)</t>
  </si>
  <si>
    <t xml:space="preserve">não lido (vazão, altura e potência ilegíveis)</t>
  </si>
  <si>
    <t xml:space="preserve">REVIMAQ ORC 77426 / OS 63336 / OV 9975318361-000200</t>
  </si>
  <si>
    <t xml:space="preserve">B-3102 / 000000123913</t>
  </si>
  <si>
    <t xml:space="preserve">03/2024</t>
  </si>
  <si>
    <t xml:space="preserve">Só a plaqueta REVIMAQ do conjunto foi lida; a placa KSB do modelo Hydrobloc não foi fotografada. Projeto, SAP e crítica concordam na função (jockey/pressurização do SCI).</t>
  </si>
  <si>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t>
  </si>
  <si>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t>
  </si>
  <si>
    <r>
      <rPr>
        <b val="true"/>
        <sz val="9"/>
        <color rgb="FF000000"/>
        <rFont val="Arial"/>
        <family val="0"/>
        <charset val="1"/>
      </rPr>
      <t xml:space="preserve">LINHA 3 – Bomba jockey B-3102 [CONJUNTO]
Crítica: </t>
    </r>
    <r>
      <rPr>
        <sz val="9"/>
        <color rgb="FF000000"/>
        <rFont val="Arial"/>
        <family val="0"/>
        <charset val="1"/>
      </rPr>
      <t xml:space="preserve">Bomba – KSB Hydrobloc M A 604 – 1 un. × R$ 34.798,96 = R$ 34.798,96; fornecedor KSB Brasil Ltda; Finame 02171421.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mesma NF da linha 2. </t>
    </r>
    <r>
      <rPr>
        <b val="true"/>
        <sz val="9"/>
        <color rgb="FF00703C"/>
        <rFont val="Arial"/>
        <family val="0"/>
        <charset val="1"/>
      </rPr>
      <t xml:space="preserve">SAP: </t>
    </r>
    <r>
      <rPr>
        <strike val="true"/>
        <sz val="9"/>
        <color rgb="FF00703C"/>
        <rFont val="Arial"/>
        <family val="0"/>
        <charset val="1"/>
      </rPr>
      <t xml:space="preserve">B-3102</t>
    </r>
    <r>
      <rPr>
        <sz val="9"/>
        <color rgb="FF00703C"/>
        <rFont val="Arial"/>
        <family val="0"/>
        <charset val="1"/>
      </rPr>
      <t xml:space="preserve"> BOMBA JOCKEY – local BPAM-SSCI-RDA-07-01, equip. 000000123913,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B-3102</t>
    </r>
    <r>
      <rPr>
        <sz val="9"/>
        <color rgb="FFB38600"/>
        <rFont val="Arial"/>
        <family val="0"/>
        <charset val="1"/>
      </rPr>
      <t xml:space="preserve"> bomba centrífuga, bomba do sistema de pressurização da rede de água de combate a incêndio, cód. Ultracargo 8000012940, CBI, FD-3100-2500-022 / RM-3100-2500-006; LI-3100-6105: sucção 2½", recalque 2". </t>
    </r>
    <r>
      <rPr>
        <b val="true"/>
        <sz val="9"/>
        <color rgb="FF1F4E9A"/>
        <rFont val="Arial"/>
        <family val="0"/>
        <charset val="1"/>
      </rPr>
      <t xml:space="preserve">Placa/campo: </t>
    </r>
    <r>
      <rPr>
        <sz val="9"/>
        <color rgb="FF1F4E9A"/>
        <rFont val="Arial"/>
        <family val="0"/>
        <charset val="1"/>
      </rPr>
      <t xml:space="preserve">REVIMAQ ORC 77426 / OS 63336 / OV 9975318361-000200, 03/2024, 440/220 VCA / 24 VCC.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R$ 34.798,96. </t>
    </r>
    <r>
      <rPr>
        <b val="true"/>
        <sz val="9"/>
        <color rgb="FF000000"/>
        <rFont val="Arial"/>
        <family val="0"/>
        <charset val="1"/>
      </rPr>
      <t xml:space="preserve">Crítica (colunas N-P): </t>
    </r>
    <r>
      <rPr>
        <sz val="9"/>
        <color rgb="FF000000"/>
        <rFont val="Arial"/>
        <family val="0"/>
        <charset val="1"/>
      </rPr>
      <t xml:space="preserve">qtd 1, unitário R$ 34.798,96, total R$ 34.798,96.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(crítica) / REVIMAQ (montagem). </t>
    </r>
    <r>
      <rPr>
        <b val="true"/>
        <sz val="9"/>
        <color rgb="FF000000"/>
        <rFont val="Arial"/>
        <family val="0"/>
        <charset val="1"/>
      </rPr>
      <t xml:space="preserve">Modelo: </t>
    </r>
    <r>
      <rPr>
        <sz val="9"/>
        <color rgb="FF000000"/>
        <rFont val="Arial"/>
        <family val="0"/>
        <charset val="1"/>
      </rPr>
      <t xml:space="preserve">Hydrobloc M A 604 (crítica – não lido em placa). </t>
    </r>
    <r>
      <rPr>
        <b val="true"/>
        <sz val="9"/>
        <color rgb="FF1F4E9A"/>
        <rFont val="Arial"/>
        <family val="0"/>
        <charset val="1"/>
      </rPr>
      <t xml:space="preserve">Capacidade: </t>
    </r>
    <r>
      <rPr>
        <strike val="true"/>
        <sz val="9"/>
        <color rgb="FF1F4E9A"/>
        <rFont val="Arial"/>
        <family val="0"/>
        <charset val="1"/>
      </rPr>
      <t xml:space="preserve">não lido</t>
    </r>
    <r>
      <rPr>
        <sz val="9"/>
        <color rgb="FF1F4E9A"/>
        <rFont val="Arial"/>
        <family val="0"/>
        <charset val="1"/>
      </rPr>
      <t xml:space="preserve"> (vazão, altura e potência ilegíveis). </t>
    </r>
    <r>
      <rPr>
        <b val="true"/>
        <sz val="9"/>
        <color rgb="FF1F4E9A"/>
        <rFont val="Arial"/>
        <family val="0"/>
        <charset val="1"/>
      </rPr>
      <t xml:space="preserve">Série/OP: </t>
    </r>
    <r>
      <rPr>
        <sz val="9"/>
        <color rgb="FF1F4E9A"/>
        <rFont val="Arial"/>
        <family val="0"/>
        <charset val="1"/>
      </rPr>
      <t xml:space="preserve">REVIMAQ ORC 77426 / OS 63336 / OV 9975318361-000200. </t>
    </r>
    <r>
      <rPr>
        <b val="true"/>
        <sz val="9"/>
        <color rgb="FF00703C"/>
        <rFont val="Arial"/>
        <family val="0"/>
        <charset val="1"/>
      </rPr>
      <t xml:space="preserve">TAG/SAP: </t>
    </r>
    <r>
      <rPr>
        <strike val="true"/>
        <sz val="9"/>
        <color rgb="FF00703C"/>
        <rFont val="Arial"/>
        <family val="0"/>
        <charset val="1"/>
      </rPr>
      <t xml:space="preserve">B-3102</t>
    </r>
    <r>
      <rPr>
        <sz val="9"/>
        <color rgb="FF00703C"/>
        <rFont val="Arial"/>
        <family val="0"/>
        <charset val="1"/>
      </rPr>
      <t xml:space="preserve"> / 000000123913. </t>
    </r>
    <r>
      <rPr>
        <b val="true"/>
        <sz val="9"/>
        <color rgb="FF1F4E9A"/>
        <rFont val="Arial"/>
        <family val="0"/>
        <charset val="1"/>
      </rPr>
      <t xml:space="preserve">Fabricação: </t>
    </r>
    <r>
      <rPr>
        <sz val="9"/>
        <color rgb="FF1F4E9A"/>
        <rFont val="Arial"/>
        <family val="0"/>
        <charset val="1"/>
      </rPr>
      <t xml:space="preserve">03/2024. 
</t>
    </r>
    <r>
      <rPr>
        <b val="true"/>
        <sz val="9"/>
        <color rgb="FF000000"/>
        <rFont val="Arial"/>
        <family val="0"/>
        <charset val="1"/>
      </rPr>
      <t xml:space="preserve">Obs. (coluna T): </t>
    </r>
    <r>
      <rPr>
        <sz val="9"/>
        <color rgb="FF000000"/>
        <rFont val="Arial"/>
        <family val="0"/>
        <charset val="1"/>
      </rPr>
      <t xml:space="preserve">Só a plaqueta REVIMAQ do conjunto foi lida; a placa KSB do modelo Hydrobloc não foi fotografada. Projeto, SAP e crítica concordam na função (jockey/pressurização do SCI). </t>
    </r>
    <r>
      <rPr>
        <b val="true"/>
        <sz val="9"/>
        <color rgb="FF000000"/>
        <rFont val="Arial"/>
        <family val="0"/>
        <charset val="1"/>
      </rPr>
      <t xml:space="preserve">Fotos (coluna U): </t>
    </r>
    <r>
      <rPr>
        <sz val="9"/>
        <color rgb="FF000000"/>
        <rFont val="Arial"/>
        <family val="0"/>
        <charset val="1"/>
      </rPr>
      <t xml:space="preserve">0041. 
</t>
    </r>
    <r>
      <rPr>
        <b val="true"/>
        <sz val="9"/>
        <color rgb="FF002060"/>
        <rFont val="Arial"/>
        <family val="0"/>
        <charset val="1"/>
      </rPr>
      <t xml:space="preserve">Cotação OPE154: </t>
    </r>
    <r>
      <rPr>
        <sz val="9"/>
        <color rgb="FF002060"/>
        <rFont val="Arial"/>
        <family val="0"/>
        <charset val="1"/>
      </rPr>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 
</t>
    </r>
    <r>
      <rPr>
        <b val="true"/>
        <sz val="9"/>
        <color rgb="FF7030A0"/>
        <rFont val="Arial"/>
        <family val="0"/>
        <charset val="1"/>
      </rPr>
      <t xml:space="preserve">Novo v2 (achados / correções / proposições): </t>
    </r>
    <r>
      <rPr>
        <sz val="9"/>
        <color rgb="FF7030A0"/>
        <rFont val="Arial"/>
        <family val="0"/>
        <charset val="1"/>
      </rPr>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 </t>
    </r>
  </si>
  <si>
    <t xml:space="preserve">Bombas de produto CETRAN 01 – 125-080-315 (12 un.)</t>
  </si>
  <si>
    <r>
      <rPr>
        <b val="true"/>
        <sz val="9"/>
        <color rgb="FF000000"/>
        <rFont val="Arial"/>
        <family val="0"/>
        <charset val="1"/>
      </rPr>
      <t xml:space="preserve">Crítica: </t>
    </r>
    <r>
      <rPr>
        <sz val="9"/>
        <color rgb="FF000000"/>
        <rFont val="Arial"/>
        <family val="0"/>
        <charset val="1"/>
      </rPr>
      <t xml:space="preserve">Bomba – KSB megacpk 125-080-315 – 12 un. × R$ 101.981,67 = R$ 1.223.780,04; fornecedor KSB Brasil Ltda; Finame 03279333.NF: NF 34370 de 15/08/2024 – KSB Brasil Ltda (CNPJ 60.680.873/0009-71): "Bomba KSB", R$ 1.328.703,93; NF 34511 de 10/09/2024 – KSB Brasil Ltda (CNPJ 60.680.873/0009-71): "Conjunto bomba KSB", R$ 1.139.300,87. Atribuição: 10 un. na NF 34370 + 2 un. na NF 34511 (decomposição aritmética única).SAP: 12 de 12 TAGs cadastradas: B-3103, B-3104, B-3105, B-3106, B-3107, B-3108, B-3110, B-3113, B-3114, B-3115, B-3116, B-3117.Projeto: LI-3100-6105-001: biodiesel, etanol anidro, etanol hidratado, gasolina, óleo diesel S10, óleo diesel S500; fluxograma DE-3100-1300-002.</t>
    </r>
  </si>
  <si>
    <t xml:space="preserve">KSB</t>
  </si>
  <si>
    <t xml:space="preserve">125-080-315</t>
  </si>
  <si>
    <t xml:space="preserve">Q 120 m³/h; H 50 a 54 mca; 1775 rpm</t>
  </si>
  <si>
    <t xml:space="preserve">OP M482301611 a M482301625 (exceto 1618, 1620, 1621)</t>
  </si>
  <si>
    <t xml:space="preserve">12 TAGs no SAP</t>
  </si>
  <si>
    <t xml:space="preserve">2024</t>
  </si>
  <si>
    <t xml:space="preserve">34370; 34511</t>
  </si>
  <si>
    <t xml:space="preserve">15/08/2024; 10/09/2024</t>
  </si>
  <si>
    <t xml:space="preserve">KSB Brasil Ltda (60.680.873/0009-71)</t>
  </si>
  <si>
    <t xml:space="preserve">10 un. na NF 34370 + 2 un. na NF 34511 (decomposição aritmética única)</t>
  </si>
  <si>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t>
  </si>
  <si>
    <t xml:space="preserve">ver componentes</t>
  </si>
  <si>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t>
  </si>
  <si>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t>
  </si>
  <si>
    <r>
      <rPr>
        <b val="true"/>
        <sz val="9"/>
        <color rgb="FF000000"/>
        <rFont val="Arial"/>
        <family val="0"/>
        <charset val="1"/>
      </rPr>
      <t xml:space="preserve">LINHA 4 – Bombas de produto CETRAN 01 – 125-080-315 (12 un.) [CONJUNTO]
Crítica: </t>
    </r>
    <r>
      <rPr>
        <sz val="9"/>
        <color rgb="FF000000"/>
        <rFont val="Arial"/>
        <family val="0"/>
        <charset val="1"/>
      </rPr>
      <t xml:space="preserve">Bomba – KSB megacpk 125-080-315 – 12 un. × R$ 101.981,67 = R$ 1.223.780,04;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NF 34511 de 10/09/2024 – </t>
    </r>
    <r>
      <rPr>
        <strike val="true"/>
        <sz val="9"/>
        <color rgb="FFC00000"/>
        <rFont val="Arial"/>
        <family val="0"/>
        <charset val="1"/>
      </rPr>
      <t xml:space="preserve">KSB Brasil Ltda</t>
    </r>
    <r>
      <rPr>
        <sz val="9"/>
        <color rgb="FFC00000"/>
        <rFont val="Arial"/>
        <family val="0"/>
        <charset val="1"/>
      </rPr>
      <t xml:space="preserve"> (CNPJ </t>
    </r>
    <r>
      <rPr>
        <strike val="true"/>
        <sz val="9"/>
        <color rgb="FFC00000"/>
        <rFont val="Arial"/>
        <family val="0"/>
        <charset val="1"/>
      </rPr>
      <t xml:space="preserve">60.680.873/0009-71</t>
    </r>
    <r>
      <rPr>
        <sz val="9"/>
        <color rgb="FFC00000"/>
        <rFont val="Arial"/>
        <family val="0"/>
        <charset val="1"/>
      </rPr>
      <t xml:space="preserve">): "Conjunto bomba KSB", R$ 1.139.300,87. Atribuição: 10 un. na NF 34370 + 2 un. na NF 34511 (decomposição aritmética única). </t>
    </r>
    <r>
      <rPr>
        <b val="true"/>
        <sz val="9"/>
        <color rgb="FF00703C"/>
        <rFont val="Arial"/>
        <family val="0"/>
        <charset val="1"/>
      </rPr>
      <t xml:space="preserve">SAP: </t>
    </r>
    <r>
      <rPr>
        <sz val="9"/>
        <color rgb="FF00703C"/>
        <rFont val="Arial"/>
        <family val="0"/>
        <charset val="1"/>
      </rPr>
      <t xml:space="preserve">12 de 12 TAGs cadastradas: B-3103, B-3104, B-3105, B-3106, B-3107, B-3108, B-3110, B-3113, B-3114, B-3115, B-3116, B-3117. </t>
    </r>
    <r>
      <rPr>
        <b val="true"/>
        <sz val="9"/>
        <color rgb="FFB38600"/>
        <rFont val="Arial"/>
        <family val="0"/>
        <charset val="1"/>
      </rPr>
      <t xml:space="preserve">Projeto: </t>
    </r>
    <r>
      <rPr>
        <sz val="9"/>
        <color rgb="FFB38600"/>
        <rFont val="Arial"/>
        <family val="0"/>
        <charset val="1"/>
      </rPr>
      <t xml:space="preserve">LI-3100-6105-001: biodiesel, etanol anidro, etanol hidratado, gasolina, óleo diesel S10, óleo diesel S500; fluxograma DE-3100-1300-002. 
</t>
    </r>
    <r>
      <rPr>
        <b val="true"/>
        <sz val="9"/>
        <color rgb="FFC00000"/>
        <rFont val="Arial"/>
        <family val="0"/>
        <charset val="1"/>
      </rPr>
      <t xml:space="preserve">NF (colunas K-Q): </t>
    </r>
    <r>
      <rPr>
        <sz val="9"/>
        <color rgb="FFC00000"/>
        <rFont val="Arial"/>
        <family val="0"/>
        <charset val="1"/>
      </rPr>
      <t xml:space="preserve">NF nº 34370; 34511 de 15/08/2024;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R$ 1.223.780,04. </t>
    </r>
    <r>
      <rPr>
        <b val="true"/>
        <sz val="9"/>
        <color rgb="FF000000"/>
        <rFont val="Arial"/>
        <family val="0"/>
        <charset val="1"/>
      </rPr>
      <t xml:space="preserve">Atribuição: </t>
    </r>
    <r>
      <rPr>
        <sz val="9"/>
        <color rgb="FF000000"/>
        <rFont val="Arial"/>
        <family val="0"/>
        <charset val="1"/>
      </rPr>
      <t xml:space="preserve">10 un. na NF 34370 + 2 un. na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12, unitário R$ 101.981,67, total R$ 1.223.780,04.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120 m³/h; H 50 a 54 mca; 1775 rpm. </t>
    </r>
    <r>
      <rPr>
        <b val="true"/>
        <sz val="9"/>
        <color rgb="FF1F4E9A"/>
        <rFont val="Arial"/>
        <family val="0"/>
        <charset val="1"/>
      </rPr>
      <t xml:space="preserve">Série/OP: </t>
    </r>
    <r>
      <rPr>
        <sz val="9"/>
        <color rgb="FF1F4E9A"/>
        <rFont val="Arial"/>
        <family val="0"/>
        <charset val="1"/>
      </rPr>
      <t xml:space="preserve">OP M482301611 a M482301625 (exceto 1618, 1620, 1621). </t>
    </r>
    <r>
      <rPr>
        <b val="true"/>
        <sz val="9"/>
        <color rgb="FF00703C"/>
        <rFont val="Arial"/>
        <family val="0"/>
        <charset val="1"/>
      </rPr>
      <t xml:space="preserve">TAG/SAP: </t>
    </r>
    <r>
      <rPr>
        <sz val="9"/>
        <color rgb="FF00703C"/>
        <rFont val="Arial"/>
        <family val="0"/>
        <charset val="1"/>
      </rPr>
      <t xml:space="preserve">12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 
</t>
    </r>
    <r>
      <rPr>
        <b val="true"/>
        <sz val="9"/>
        <color rgb="FF7030A0"/>
        <rFont val="Arial"/>
        <family val="0"/>
        <charset val="1"/>
      </rPr>
      <t xml:space="preserve">Novo v2 (achados / correções / proposições): </t>
    </r>
    <r>
      <rPr>
        <sz val="9"/>
        <color rgb="FF7030A0"/>
        <rFont val="Arial"/>
        <family val="0"/>
        <charset val="1"/>
      </rPr>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 
</t>
    </r>
    <r>
      <rPr>
        <b val="true"/>
        <sz val="9"/>
        <color rgb="FF000000"/>
        <rFont val="Arial"/>
        <family val="0"/>
        <charset val="1"/>
      </rPr>
      <t xml:space="preserve">COMPONENTES (12):
• B-3103: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gasolina;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B-3103</t>
    </r>
    <r>
      <rPr>
        <sz val="9"/>
        <color rgb="FF00703C"/>
        <rFont val="Arial"/>
        <family val="0"/>
        <charset val="1"/>
      </rPr>
      <t xml:space="preserve"> BOMBA CENTRIFUGA – local BPAM-SCAR-CET-01-34-01, equip. 000000121798, ABC B. </t>
    </r>
    <r>
      <rPr>
        <b val="true"/>
        <sz val="9"/>
        <color rgb="FF1F4E9A"/>
        <rFont val="Arial"/>
        <family val="0"/>
        <charset val="1"/>
      </rPr>
      <t xml:space="preserve">Placa/campo: </t>
    </r>
    <r>
      <rPr>
        <strike val="true"/>
        <sz val="9"/>
        <color rgb="FF1F4E9A"/>
        <rFont val="Arial"/>
        <family val="0"/>
        <charset val="1"/>
      </rPr>
      <t xml:space="preserve">ANP Fig. 146</t>
    </r>
    <r>
      <rPr>
        <sz val="9"/>
        <color rgb="FF1F4E9A"/>
        <rFont val="Arial"/>
        <family val="0"/>
        <charset val="1"/>
      </rPr>
      <t xml:space="preserve">: KSB </t>
    </r>
    <r>
      <rPr>
        <strike val="true"/>
        <sz val="9"/>
        <color rgb="FF1F4E9A"/>
        <rFont val="Arial"/>
        <family val="0"/>
        <charset val="1"/>
      </rPr>
      <t xml:space="preserve">MCPK 125-80-315 EE</t>
    </r>
    <r>
      <rPr>
        <sz val="9"/>
        <color rgb="FF1F4E9A"/>
        <rFont val="Arial"/>
        <family val="0"/>
        <charset val="1"/>
      </rPr>
      <t xml:space="preserve">, OP M482301611, Q 120 m3/h, H 52 mca, 1775 rpm, 163 kg, ano 2024; campo: MCPK (serie 315) | Gasolina A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só na ANP (M482301611); não lida em campo. Serviço em campo "Gasolina A - carreg. rodoviario" × lista de linhas "gasolina".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0125-0131 | </t>
    </r>
    <r>
      <rPr>
        <strike val="true"/>
        <sz val="9"/>
        <color rgb="FF000000"/>
        <rFont val="Arial"/>
        <family val="0"/>
        <charset val="1"/>
      </rPr>
      <t xml:space="preserve">ANP Fig. 146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 TAG B-3103, MEGACPK 125-080-315, 1 un., Finame 03279333, R$ 87.307,12 sem impostos / R$ 101.981,67 com impostos (ICMS 5,1394 %, PIS/COFINS 9,25 %, IPI 0 %), 150 dias. 
</t>
    </r>
    <r>
      <rPr>
        <b val="true"/>
        <sz val="9"/>
        <color rgb="FF000000"/>
        <rFont val="Arial"/>
        <family val="0"/>
        <charset val="1"/>
      </rPr>
      <t xml:space="preserve">• B-3104: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gasolina;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BPAM-SCAR-CET-01-37-01, equip. 000000121816,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147: </t>
    </r>
    <r>
      <rPr>
        <strike val="true"/>
        <sz val="9"/>
        <color rgb="FF1F4E9A"/>
        <rFont val="Arial"/>
        <family val="0"/>
        <charset val="1"/>
      </rPr>
      <t xml:space="preserve">KSB MCPK 125-80-315 EE</t>
    </r>
    <r>
      <rPr>
        <sz val="9"/>
        <color rgb="FF1F4E9A"/>
        <rFont val="Arial"/>
        <family val="0"/>
        <charset val="1"/>
      </rPr>
      <t xml:space="preserve">, OP M482301612, Q 120 m3/h, H 52 mca, 1775 rpm, 163 kg, </t>
    </r>
    <r>
      <rPr>
        <strike val="true"/>
        <sz val="9"/>
        <color rgb="FF1F4E9A"/>
        <rFont val="Arial"/>
        <family val="0"/>
        <charset val="1"/>
      </rPr>
      <t xml:space="preserve">ano 2024</t>
    </r>
    <r>
      <rPr>
        <sz val="9"/>
        <color rgb="FF1F4E9A"/>
        <rFont val="Arial"/>
        <family val="0"/>
        <charset val="1"/>
      </rPr>
      <t xml:space="preserve">; campo: MCPK 12?-80-315 EE | Q 120 m3/h | Gasolina A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(M482301612); não lida em campo. Serviço em campo "Gasolina A - carreg. rodoviario" × lista de linhas "gasolina".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0118-0124 | </t>
    </r>
    <r>
      <rPr>
        <strike val="true"/>
        <sz val="9"/>
        <color rgb="FF000000"/>
        <rFont val="Arial"/>
        <family val="0"/>
        <charset val="1"/>
      </rPr>
      <t xml:space="preserve">ANP Fig. 147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2: TAG B-3104, MEGACPK 125-080-315, 1 un., Finame 03279333, R$ 87.307,12 sem impostos / R$ 101.981,67 com impostos (ICMS 5,1394 %, PIS/COFINS 9,25 %, IPI 0 %), 150 dias. 
</t>
    </r>
    <r>
      <rPr>
        <b val="true"/>
        <sz val="9"/>
        <color rgb="FF000000"/>
        <rFont val="Arial"/>
        <family val="0"/>
        <charset val="1"/>
      </rPr>
      <t xml:space="preserve">• B-3105: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BPAM-SCAR-CET-01-40-01, equip. 000000121831,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148: </t>
    </r>
    <r>
      <rPr>
        <strike val="true"/>
        <sz val="9"/>
        <color rgb="FF1F4E9A"/>
        <rFont val="Arial"/>
        <family val="0"/>
        <charset val="1"/>
      </rPr>
      <t xml:space="preserve">KSB MCPK 125-80-315 EE</t>
    </r>
    <r>
      <rPr>
        <sz val="9"/>
        <color rgb="FF1F4E9A"/>
        <rFont val="Arial"/>
        <family val="0"/>
        <charset val="1"/>
      </rPr>
      <t xml:space="preserve">, OP M482301613,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Q 120 m3/h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(M482301613); não lida em campo. Serviço em campo "OD S10 - carreg. rodoviario" × lista de linhas "óleo diesel S10".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0157-0160 | </t>
    </r>
    <r>
      <rPr>
        <strike val="true"/>
        <sz val="9"/>
        <color rgb="FF000000"/>
        <rFont val="Arial"/>
        <family val="0"/>
        <charset val="1"/>
      </rPr>
      <t xml:space="preserve">ANP Fig. 148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3: TAG B-3105, MEGACPK 125-080-315, 1 un., Finame 03279333, R$ 87.307,12 sem impostos / R$ 101.981,67 com impostos (ICMS 5,1394 %, PIS/COFINS 9,25 %, IPI 0 %), 150 dias. 
</t>
    </r>
    <r>
      <rPr>
        <b val="true"/>
        <sz val="9"/>
        <color rgb="FF000000"/>
        <rFont val="Arial"/>
        <family val="0"/>
        <charset val="1"/>
      </rPr>
      <t xml:space="preserve">• B-3106: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B-3106</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BPAM-SCAR-CET-01-43-01, equip. 000000121849,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149: </t>
    </r>
    <r>
      <rPr>
        <strike val="true"/>
        <sz val="9"/>
        <color rgb="FF1F4E9A"/>
        <rFont val="Arial"/>
        <family val="0"/>
        <charset val="1"/>
      </rPr>
      <t xml:space="preserve">KSB MCPK 125-80-315 EE</t>
    </r>
    <r>
      <rPr>
        <sz val="9"/>
        <color rgb="FF1F4E9A"/>
        <rFont val="Arial"/>
        <family val="0"/>
        <charset val="1"/>
      </rPr>
      <t xml:space="preserve">, OP M482301614,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M482301614 | Q 120 m3/h; H 54 mca; 1775 rpm; 163 kg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confere campo × ANP. Serviço em campo "OD S10 - carreg. rodoviario" × lista de linhas "óleo diesel S10". Confronto campo×ANP: S – OP confere.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0152-0156 | </t>
    </r>
    <r>
      <rPr>
        <strike val="true"/>
        <sz val="9"/>
        <color rgb="FF000000"/>
        <rFont val="Arial"/>
        <family val="0"/>
        <charset val="1"/>
      </rPr>
      <t xml:space="preserve">ANP Fig. 149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4: TAG B-3106, MEGACPK 125-080-315, 1 un., Finame 03279333, R$ 87.307,12 sem impostos / R$ 101.981,67 com impostos (ICMS 5,1394 %, PIS/COFINS 9,25 %, IPI 0 %), 150 dias. 
</t>
    </r>
    <r>
      <rPr>
        <b val="true"/>
        <sz val="9"/>
        <color rgb="FF000000"/>
        <rFont val="Arial"/>
        <family val="0"/>
        <charset val="1"/>
      </rPr>
      <t xml:space="preserve">• B-3107: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BPAM-SCAR-CET-01-25-01, equip. 000000121746,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150: </t>
    </r>
    <r>
      <rPr>
        <strike val="true"/>
        <sz val="9"/>
        <color rgb="FF1F4E9A"/>
        <rFont val="Arial"/>
        <family val="0"/>
        <charset val="1"/>
      </rPr>
      <t xml:space="preserve">KSB MCPK 125-80-315 EE</t>
    </r>
    <r>
      <rPr>
        <sz val="9"/>
        <color rgb="FF1F4E9A"/>
        <rFont val="Arial"/>
        <family val="0"/>
        <charset val="1"/>
      </rPr>
      <t xml:space="preserve">, OP M482301616,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M482301616 | Q 120 m3/h; H 51 mca; 1772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0138-0145 | </t>
    </r>
    <r>
      <rPr>
        <strike val="true"/>
        <sz val="9"/>
        <color rgb="FF000000"/>
        <rFont val="Arial"/>
        <family val="0"/>
        <charset val="1"/>
      </rPr>
      <t xml:space="preserve">ANP Fig. 150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5: TAG B-3107, MEGACPK 125-080-315, 1 un., Finame 03279333, R$ 87.307,12 sem impostos / R$ 101.981,67 com impostos (ICMS 5,1394 %, PIS/COFINS 9,25 %, IPI 0 %), 150 dias. 
</t>
    </r>
    <r>
      <rPr>
        <b val="true"/>
        <sz val="9"/>
        <color rgb="FF000000"/>
        <rFont val="Arial"/>
        <family val="0"/>
        <charset val="1"/>
      </rPr>
      <t xml:space="preserve">• B-3108: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B-3108</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BPAM-SCAR-CET-01-28-01, equip. 000000121764,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151: </t>
    </r>
    <r>
      <rPr>
        <strike val="true"/>
        <sz val="9"/>
        <color rgb="FF1F4E9A"/>
        <rFont val="Arial"/>
        <family val="0"/>
        <charset val="1"/>
      </rPr>
      <t xml:space="preserve">KSB MCPK 125-80-315 EE</t>
    </r>
    <r>
      <rPr>
        <sz val="9"/>
        <color rgb="FF1F4E9A"/>
        <rFont val="Arial"/>
        <family val="0"/>
        <charset val="1"/>
      </rPr>
      <t xml:space="preserve">, OP M482301617,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M482301617 | Q 120 m3/h; H 51 mca; 1775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0132-0137 | </t>
    </r>
    <r>
      <rPr>
        <strike val="true"/>
        <sz val="9"/>
        <color rgb="FF000000"/>
        <rFont val="Arial"/>
        <family val="0"/>
        <charset val="1"/>
      </rPr>
      <t xml:space="preserve">ANP Fig. 151</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6: TAG B-3108, MEGACPK 125-080-315, 1 un., Finame 03279333, R$ 87.307,12 sem impostos / R$ 101.981,67 com impostos (ICMS 5,1394 %, PIS/COFINS 9,25 %, IPI 0 %), 150 dias. 
</t>
    </r>
    <r>
      <rPr>
        <b val="true"/>
        <sz val="9"/>
        <color rgb="FF000000"/>
        <rFont val="Arial"/>
        <family val="0"/>
        <charset val="1"/>
      </rPr>
      <t xml:space="preserve">• B-3110: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etanol hidratado;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B-3110</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BPAM-SCAR-CET-01-22-01, equip. 000000121724,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153: </t>
    </r>
    <r>
      <rPr>
        <strike val="true"/>
        <sz val="9"/>
        <color rgb="FF1F4E9A"/>
        <rFont val="Arial"/>
        <family val="0"/>
        <charset val="1"/>
      </rPr>
      <t xml:space="preserve">KSB MCPK 125-80-315 EE</t>
    </r>
    <r>
      <rPr>
        <sz val="9"/>
        <color rgb="FF1F4E9A"/>
        <rFont val="Arial"/>
        <family val="0"/>
        <charset val="1"/>
      </rPr>
      <t xml:space="preserve">, OP M482301619, Q 120 m3/h, H 52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Etanol hidratado - reserva da B-3109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(M482301619); não lida em campo. Serviço em campo "Etanol hidratado - reserva da </t>
    </r>
    <r>
      <rPr>
        <strike val="true"/>
        <sz val="9"/>
        <color rgb="FF000000"/>
        <rFont val="Arial"/>
        <family val="0"/>
        <charset val="1"/>
      </rPr>
      <t xml:space="preserve">B-3109</t>
    </r>
    <r>
      <rPr>
        <sz val="9"/>
        <color rgb="FF000000"/>
        <rFont val="Arial"/>
        <family val="0"/>
        <charset val="1"/>
      </rPr>
      <t xml:space="preserve">" × lista de linhas "etanol hidratado".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0095-0101 | </t>
    </r>
    <r>
      <rPr>
        <strike val="true"/>
        <sz val="9"/>
        <color rgb="FF000000"/>
        <rFont val="Arial"/>
        <family val="0"/>
        <charset val="1"/>
      </rPr>
      <t xml:space="preserve">ANP Fig. 153</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8: TAG B-3110, MEGACPK 125-080-315, 1 un., Finame 03279333, R$ 87.307,12 sem impostos / R$ 101.981,67 com impostos (ICMS 5,1394 %, PIS/COFINS 9,25 %, IPI 0 %), 150 dias. 
</t>
    </r>
    <r>
      <rPr>
        <b val="true"/>
        <sz val="9"/>
        <color rgb="FF000000"/>
        <rFont val="Arial"/>
        <family val="0"/>
        <charset val="1"/>
      </rPr>
      <t xml:space="preserve">• B-3113: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BPAM-SCAR-CET-01-31-01, equip. 000000121779,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156: </t>
    </r>
    <r>
      <rPr>
        <strike val="true"/>
        <sz val="9"/>
        <color rgb="FF1F4E9A"/>
        <rFont val="Arial"/>
        <family val="0"/>
        <charset val="1"/>
      </rPr>
      <t xml:space="preserve">KSB MCPK 125-80-315 EE</t>
    </r>
    <r>
      <rPr>
        <sz val="9"/>
        <color rgb="FF1F4E9A"/>
        <rFont val="Arial"/>
        <family val="0"/>
        <charset val="1"/>
      </rPr>
      <t xml:space="preserve">, OP M482301615, Q 120 m3/h, H 54 mca, 1775 rpm, 163 kg, </t>
    </r>
    <r>
      <rPr>
        <strike val="true"/>
        <sz val="9"/>
        <color rgb="FF1F4E9A"/>
        <rFont val="Arial"/>
        <family val="0"/>
        <charset val="1"/>
      </rPr>
      <t xml:space="preserve">ano 2024</t>
    </r>
    <r>
      <rPr>
        <sz val="9"/>
        <color rgb="FF1F4E9A"/>
        <rFont val="Arial"/>
        <family val="0"/>
        <charset val="1"/>
      </rPr>
      <t xml:space="preserve">; campo: MCPK (serie 315) EE | OP M482301615 | Q 120 m3/h; H 54 mca; 1775 rpm; 163 kg | OD S10 / OD S500 - reserva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S10 / OD S500 - reserva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0146-0151 | </t>
    </r>
    <r>
      <rPr>
        <strike val="true"/>
        <sz val="9"/>
        <color rgb="FF000000"/>
        <rFont val="Arial"/>
        <family val="0"/>
        <charset val="1"/>
      </rPr>
      <t xml:space="preserve">ANP Fig. 156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11: TAG B-3113, MEGACPK 125-080-315, 1 un., Finame 03279333, R$ 87.307,12 sem impostos / R$ 101.981,67 com impostos (ICMS 5,1394 %, PIS/COFINS 9,25 %, IPI 0 %), 150 dias. 
</t>
    </r>
    <r>
      <rPr>
        <b val="true"/>
        <sz val="9"/>
        <color rgb="FF000000"/>
        <rFont val="Arial"/>
        <family val="0"/>
        <charset val="1"/>
      </rPr>
      <t xml:space="preserve">• B-3114: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BPAM-SCAR-CET-01-01-01, equip. 000000121603,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157: KSB MCPK 125-080-315 EE, OP M482301622, Q 120 m3/h, H 50 mca, 1775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M482301622 | Q 120 m3/h; H 50 mca; 1775 rpm; 158 kg | Biodiesel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125-080-315 EE</t>
    </r>
    <r>
      <rPr>
        <sz val="9"/>
        <color rgb="FF000000"/>
        <rFont val="Arial"/>
        <family val="0"/>
        <charset val="1"/>
      </rPr>
      <t xml:space="preserve">) = crítica (125-080-315). </t>
    </r>
    <r>
      <rPr>
        <strike val="true"/>
        <sz val="9"/>
        <color rgb="FF000000"/>
        <rFont val="Arial"/>
        <family val="0"/>
        <charset val="1"/>
      </rPr>
      <t xml:space="preserve">OP confere campo × ANP.</t>
    </r>
    <r>
      <rPr>
        <sz val="9"/>
        <color rgb="FF000000"/>
        <rFont val="Arial"/>
        <family val="0"/>
        <charset val="1"/>
      </rPr>
      <t xml:space="preserve"> Serviço em campo "Biodiesel - carreg. ferroviario" × lista de linhas "biodiesel".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0090-0094 | </t>
    </r>
    <r>
      <rPr>
        <strike val="true"/>
        <sz val="9"/>
        <color rgb="FF000000"/>
        <rFont val="Arial"/>
        <family val="0"/>
        <charset val="1"/>
      </rPr>
      <t xml:space="preserve">ANP Fig. 157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12: TAG B-3114, MEGACPK 125-080-315, 1 un., Finame 03279333, R$ 87.307,12 sem impostos / R$ 101.981,67 com impostos (ICMS 5,1394 %, PIS/COFINS 9,25 %, IPI 0 %), 150 dias. 
</t>
    </r>
    <r>
      <rPr>
        <b val="true"/>
        <sz val="9"/>
        <color rgb="FF000000"/>
        <rFont val="Arial"/>
        <family val="0"/>
        <charset val="1"/>
      </rPr>
      <t xml:space="preserve">• B-3115: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BPAM-SCAR-CET-01-04-01, equip. 000000121621,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158: KSB MCPK 125-?80-315 EE (digito coberto), OP M482301623, Q 120 m3/h, H 50 mca, 17?5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M4623016?? | H 50 mca | Biodiesel - reserva ferroviario </t>
    </r>
    <r>
      <rPr>
        <b val="true"/>
        <sz val="9"/>
        <color rgb="FF000000"/>
        <rFont val="Arial"/>
        <family val="0"/>
        <charset val="1"/>
      </rPr>
      <t xml:space="preserve">Obs.: </t>
    </r>
    <r>
      <rPr>
        <sz val="9"/>
        <color rgb="FF000000"/>
        <rFont val="Arial"/>
        <family val="0"/>
        <charset val="1"/>
      </rPr>
      <t xml:space="preserve">Modelo lido parcialmente (MCPK 125-?80-315 EE (digito coberto)); compatível com a crítica (125-080-315). OP lida parcialmente em campo (M4623016??); ANP completa M482301623. Serviço em campo "Biodiesel - reserva ferroviario"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0085-0089 | </t>
    </r>
    <r>
      <rPr>
        <strike val="true"/>
        <sz val="9"/>
        <color rgb="FF000000"/>
        <rFont val="Arial"/>
        <family val="0"/>
        <charset val="1"/>
      </rPr>
      <t xml:space="preserve">ANP Fig. 158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13: TAG B-3115, MEGACPK 125-080-315, 1 un., Finame 03279333, R$ 87.307,12 sem impostos / R$ 101.981,67 com impostos (ICMS 5,1394 %, PIS/COFINS 9,25 %, IPI 0 %), 150 dias. 
</t>
    </r>
    <r>
      <rPr>
        <b val="true"/>
        <sz val="9"/>
        <color rgb="FF000000"/>
        <rFont val="Arial"/>
        <family val="0"/>
        <charset val="1"/>
      </rPr>
      <t xml:space="preserve">• B-3111: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B-3111</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BPAM-SCAR-CET-01-07-01, equip. 000000121636,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154: </t>
    </r>
    <r>
      <rPr>
        <strike val="true"/>
        <sz val="9"/>
        <color rgb="FF1F4E9A"/>
        <rFont val="Arial"/>
        <family val="0"/>
        <charset val="1"/>
      </rPr>
      <t xml:space="preserve">KSB MCPK 125-80-315 EE</t>
    </r>
    <r>
      <rPr>
        <sz val="9"/>
        <color rgb="FF1F4E9A"/>
        <rFont val="Arial"/>
        <family val="0"/>
        <charset val="1"/>
      </rPr>
      <t xml:space="preserve">, OP M482301620, Q 72 m3/h, H 53 mca, 1775 rpm, 163 kg, </t>
    </r>
    <r>
      <rPr>
        <strike val="true"/>
        <sz val="9"/>
        <color rgb="FF1F4E9A"/>
        <rFont val="Arial"/>
        <family val="0"/>
        <charset val="1"/>
      </rPr>
      <t xml:space="preserve">ano 2024</t>
    </r>
    <r>
      <rPr>
        <sz val="9"/>
        <color rgb="FF1F4E9A"/>
        <rFont val="Arial"/>
        <family val="0"/>
        <charset val="1"/>
      </rPr>
      <t xml:space="preserve">; campo: MCPK 1?0-80-315 EE | OP N4823016?0 | Q 72 m3/h; H 53 mca; 1775 rpm; 163 kg | Biodiesel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(N4823016?0); ANP completa M482301620. Serviço em campo "Biodiesel - carreg. rodoviario"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0079, 0082-0084 | </t>
    </r>
    <r>
      <rPr>
        <strike val="true"/>
        <sz val="9"/>
        <color rgb="FF000000"/>
        <rFont val="Arial"/>
        <family val="0"/>
        <charset val="1"/>
      </rPr>
      <t xml:space="preserve">ANP Fig. 154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9: TAG B-3111,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9 da cotação KSB), não da linha 6. 
</t>
    </r>
    <r>
      <rPr>
        <b val="true"/>
        <sz val="9"/>
        <color rgb="FF000000"/>
        <rFont val="Arial"/>
        <family val="0"/>
        <charset val="1"/>
      </rPr>
      <t xml:space="preserve">• B-3112: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BPAM-SCAR-CET-01-10-01, equip. 000000121656,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155: </t>
    </r>
    <r>
      <rPr>
        <strike val="true"/>
        <sz val="9"/>
        <color rgb="FF1F4E9A"/>
        <rFont val="Arial"/>
        <family val="0"/>
        <charset val="1"/>
      </rPr>
      <t xml:space="preserve">KSB MCPK 125-80-315 EE</t>
    </r>
    <r>
      <rPr>
        <sz val="9"/>
        <color rgb="FF1F4E9A"/>
        <rFont val="Arial"/>
        <family val="0"/>
        <charset val="1"/>
      </rPr>
      <t xml:space="preserve">, OP M482301621, Q 72 m3/h, H 53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 | 1775 rpm | Biodiesel - reserva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(M4823016??); ANP completa M482301621. Serviço em campo "Biodiesel - reserva"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0074-0076, 0080, 0081 | </t>
    </r>
    <r>
      <rPr>
        <strike val="true"/>
        <sz val="9"/>
        <color rgb="FF000000"/>
        <rFont val="Arial"/>
        <family val="0"/>
        <charset val="1"/>
      </rPr>
      <t xml:space="preserve">ANP Fig. 155</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10: TAG B-3112,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10 da cotação KSB), não da linha 6. </t>
    </r>
  </si>
  <si>
    <t xml:space="preserve">B-3103</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</si>
  <si>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B-3103 BOMBA CENTRIFUGA – local BPAM-SCAR-CET-01-34-01, equip. 000000121798, ABC B.Placa/campo: ANP Fig. 146: KSB MCPK 125-80-315 EE, OP M482301611, Q 120 m3/h, H 52 mca, 1775 rpm, 163 kg, ano 2024; campo: MCPK (serie 315) | Gasolina A - carreg. rodoviario</t>
    </r>
  </si>
  <si>
    <t xml:space="preserve">MCPK 125-80-315 EE</t>
  </si>
  <si>
    <t xml:space="preserve">Q 120 m3/h; H 52 mca; 1775 rpm</t>
  </si>
  <si>
    <t xml:space="preserve">OP M482301611</t>
  </si>
  <si>
    <t xml:space="preserve">B-3103 / 000000121798</t>
  </si>
  <si>
    <t xml:space="preserve">↑ NF do conjunto</t>
  </si>
  <si>
    <t xml:space="preserve">Modelo da placa (MCPK 125-80-315 EE) = crítica (125-080-315). OP só na ANP (M482301611); não lida em campo. Serviço em campo "Gasolina A - carreg. rodoviario" × lista de linhas "gasolina". Confronto campo×ANP: Parcial – ANP preenche OP nao lida/parcial em campo. Fabricação 2024 compatível com NF de 2024.</t>
  </si>
  <si>
    <t xml:space="preserve">0125-0131 | ANP Fig. 146</t>
  </si>
  <si>
    <t xml:space="preserve">KSB RAS0051138 Rev. 10 (11/12/2023), item 1: TAG B-3103, MEGACPK 125-080-315, 1 un., Finame 03279333, R$ 87.307,12 sem impostos / R$ 101.981,67 com impostos (ICMS 5,1394 %, PIS/COFINS 9,25 %, IPI 0 %), 150 dias.</t>
  </si>
  <si>
    <t xml:space="preserve">B-3104</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</si>
  <si>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B-3104 BOMBA CENTRIFUGA – local BPAM-SCAR-CET-01-37-01, equip. 000000121816, ABC B.Placa/campo: ANP Fig. 147: KSB MCPK 125-80-315 EE, OP M482301612, Q 120 m3/h, H 52 mca, 1775 rpm, 163 kg, ano 2024; campo: MCPK 12?-80-315 EE | Q 120 m3/h | Gasolina A - carreg. rodoviario</t>
    </r>
  </si>
  <si>
    <t xml:space="preserve">OP M482301612</t>
  </si>
  <si>
    <t xml:space="preserve">B-3104 / 000000121816</t>
  </si>
  <si>
    <t xml:space="preserve">Modelo da placa (MCPK 125-80-315 EE) = crítica (125-080-315). OP só na ANP (M482301612); não lida em campo. Serviço em campo "Gasolina A - carreg. rodoviario" × lista de linhas "gasolina". Confronto campo×ANP: Parcial – ANP preenche OP nao lida/parcial em campo. Fabricação 2024 compatível com NF de 2024.</t>
  </si>
  <si>
    <t xml:space="preserve">0118-0124 | ANP Fig. 147</t>
  </si>
  <si>
    <t xml:space="preserve">KSB RAS0051138 Rev. 10 (11/12/2023), item 2: TAG B-3104, MEGACPK 125-080-315, 1 un., Finame 03279333, R$ 87.307,12 sem impostos / R$ 101.981,67 com impostos (ICMS 5,1394 %, PIS/COFINS 9,25 %, IPI 0 %), 150 dias.</t>
  </si>
  <si>
    <t xml:space="preserve">B-3105</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</si>
  <si>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B-3105 BOMBA CENTRIFUGA – local BPAM-SCAR-CET-01-40-01, equip. 000000121831, ABC B.Placa/campo: ANP Fig. 148: KSB MCPK 125-80-315 EE, OP M482301613, Q 120 m3/h, H 54 mca, 1775 rpm, 163 kg, ano 2024; campo: MCPK (serie 315) | Q 120 m3/h | OD S10 - carreg. rodoviario</t>
    </r>
  </si>
  <si>
    <t xml:space="preserve">Q 120 m3/h; H 54 mca; 1775 rpm</t>
  </si>
  <si>
    <t xml:space="preserve">OP M482301613</t>
  </si>
  <si>
    <t xml:space="preserve">B-3105 / 000000121831</t>
  </si>
  <si>
    <t xml:space="preserve">Modelo da placa (MCPK 125-80-315 EE) = crítica (125-080-315). OP só na ANP (M482301613); não lida em campo. Serviço em campo "OD S10 - carreg. rodoviario" × lista de linhas "óleo diesel S10". Confronto campo×ANP: Parcial – ANP preenche OP nao lida/parcial em campo. Fabricação 2024 compatível com NF de 2024.</t>
  </si>
  <si>
    <t xml:space="preserve">0157-0160 | ANP Fig. 148</t>
  </si>
  <si>
    <t xml:space="preserve">KSB RAS0051138 Rev. 10 (11/12/2023), item 3: TAG B-3105, MEGACPK 125-080-315, 1 un., Finame 03279333, R$ 87.307,12 sem impostos / R$ 101.981,67 com impostos (ICMS 5,1394 %, PIS/COFINS 9,25 %, IPI 0 %), 150 dias.</t>
  </si>
  <si>
    <t xml:space="preserve">B-3106</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</si>
  <si>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B-3106 BOMBA CENTRIFUGA – local BPAM-SCAR-CET-01-43-01, equip. 000000121849, ABC B.Placa/campo: ANP Fig. 149: KSB MCPK 125-80-315 EE, OP M482301614, Q 120 m3/h, H 54 mca, 1775 rpm, 163 kg, ano 2024; campo: MCPK 125-80-315 EE | OP M482301614 | Q 120 m3/h; H 54 mca; 1775 rpm; 163 kg | OD S10 - carreg. rodoviario</t>
    </r>
  </si>
  <si>
    <t xml:space="preserve">OP M482301614</t>
  </si>
  <si>
    <t xml:space="preserve">B-3106 / 000000121849</t>
  </si>
  <si>
    <t xml:space="preserve">Modelo da placa (MCPK 125-80-315 EE) = crítica (125-080-315). OP confere campo × ANP. Serviço em campo "OD S10 - carreg. rodoviario" × lista de linhas "óleo diesel S10". Confronto campo×ANP: S – OP confere. Fabricação 2024 compatível com NF de 2024.</t>
  </si>
  <si>
    <t xml:space="preserve">0152-0156 | ANP Fig. 149</t>
  </si>
  <si>
    <t xml:space="preserve">KSB RAS0051138 Rev. 10 (11/12/2023), item 4: TAG B-3106, MEGACPK 125-080-315, 1 un., Finame 03279333, R$ 87.307,12 sem impostos / R$ 101.981,67 com impostos (ICMS 5,1394 %, PIS/COFINS 9,25 %, IPI 0 %), 150 dias.</t>
  </si>
  <si>
    <t xml:space="preserve">B-3107</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</si>
  <si>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B-3107 BOMBA CENTRIFUGA – local BPAM-SCAR-CET-01-25-01, equip. 000000121746, ABC B.Placa/campo: ANP Fig. 150: KSB MCPK 125-80-315 EE, OP M482301616, Q 120 m3/h, H 51 mca, 1775 rpm, 163 kg, ano 2024; campo: MCPK 125-80-315 EE | OP M482301616 | Q 120 m3/h; H 51 mca; 1772 rpm; 163 kg | OD S500 - carreg. rodoviario</t>
    </r>
  </si>
  <si>
    <t xml:space="preserve">Q 120 m3/h; H 51 mca; 1775 rpm</t>
  </si>
  <si>
    <t xml:space="preserve">OP M482301616</t>
  </si>
  <si>
    <t xml:space="preserve">B-3107 / 000000121746</t>
  </si>
  <si>
    <t xml:space="preserve">Modelo da placa (MCPK 125-80-315 EE) = crítica (125-080-315). OP confere campo × ANP. Serviço em campo "OD S500 - carreg. rodoviario" × lista de linhas "óleo diesel S500". Confronto campo×ANP: S – OP confere. Fabricação 2024 compatível com NF de 2024.</t>
  </si>
  <si>
    <t xml:space="preserve">0138-0145 | ANP Fig. 150</t>
  </si>
  <si>
    <t xml:space="preserve">KSB RAS0051138 Rev. 10 (11/12/2023), item 5: TAG B-3107, MEGACPK 125-080-315, 1 un., Finame 03279333, R$ 87.307,12 sem impostos / R$ 101.981,67 com impostos (ICMS 5,1394 %, PIS/COFINS 9,25 %, IPI 0 %), 150 dias.</t>
  </si>
  <si>
    <t xml:space="preserve">B-3108</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</si>
  <si>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B-3108 BOMBA CENTRIFUGA – local BPAM-SCAR-CET-01-28-01, equip. 000000121764, ABC B.Placa/campo: ANP Fig. 151: KSB MCPK 125-80-315 EE, OP M482301617, Q 120 m3/h, H 51 mca, 1775 rpm, 163 kg, ano 2024; campo: MCPK 125-80-315 EE | OP M482301617 | Q 120 m3/h; H 51 mca; 1775 rpm; 163 kg | OD S500 - carreg. rodoviario</t>
    </r>
  </si>
  <si>
    <t xml:space="preserve">OP M482301617</t>
  </si>
  <si>
    <t xml:space="preserve">B-3108 / 000000121764</t>
  </si>
  <si>
    <t xml:space="preserve">0132-0137 | ANP Fig. 151</t>
  </si>
  <si>
    <t xml:space="preserve">KSB RAS0051138 Rev. 10 (11/12/2023), item 6: TAG B-3108, MEGACPK 125-080-315, 1 un., Finame 03279333, R$ 87.307,12 sem impostos / R$ 101.981,67 com impostos (ICMS 5,1394 %, PIS/COFINS 9,25 %, IPI 0 %), 150 dias.</t>
  </si>
  <si>
    <t xml:space="preserve">B-3110</t>
  </si>
  <si>
    <r>
      <rPr>
        <b val="true"/>
        <sz val="9"/>
        <color rgb="FFB38600"/>
        <rFont val="Arial"/>
        <family val="0"/>
        <charset val="1"/>
      </rPr>
      <t xml:space="preserve">Projeto: </t>
    </r>
    <r>
      <rPr>
        <sz val="9"/>
        <color rgb="FFB38600"/>
        <rFont val="Arial"/>
        <family val="0"/>
        <charset val="1"/>
      </rPr>
      <t xml:space="preserve">LI-3100-6105-001 (lista de linhas): produto etanol hidratado; sucção 6", recalque 6"; fluxograma DE-3100-1300-002.SAP: B-3110 BOMBA CENTRIFUGA – local BPAM-SCAR-CET-01-22-01, equip. 000000121724, ABC B.Placa/campo: ANP Fig. 153: KSB MCPK 125-80-315 EE, OP M482301619, Q 120 m3/h, H 52 mca, 1775 rpm, 163 kg, ano 2024; campo: MCPK (serie 315) | Etanol hidratado - reserva da B-3109</t>
    </r>
  </si>
  <si>
    <t xml:space="preserve">OP M482301619</t>
  </si>
  <si>
    <t xml:space="preserve">B-3110 / 000000121724</t>
  </si>
  <si>
    <t xml:space="preserve">Modelo da placa (MCPK 125-80-315 EE) = crítica (125-080-315). OP só na ANP (M482301619); não lida em campo. Serviço em campo "Etanol hidratado - reserva da B-3109" × lista de linhas "etanol hidratado". Confronto campo×ANP: Parcial – ANP preenche OP nao lida/parcial em campo. Fabricação 2024 compatível com NF de 2024.</t>
  </si>
  <si>
    <t xml:space="preserve">0095-0101 | ANP Fig. 153</t>
  </si>
  <si>
    <t xml:space="preserve">KSB RAS0051138 Rev. 10 (11/12/2023), item 8: TAG B-3110, MEGACPK 125-080-315, 1 un., Finame 03279333, R$ 87.307,12 sem impostos / R$ 101.981,67 com impostos (ICMS 5,1394 %, PIS/COFINS 9,25 %, IPI 0 %), 150 dias.</t>
  </si>
  <si>
    <t xml:space="preserve">B-3113</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</si>
  <si>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B-3113 BOMBA CENTRIFUGA – local BPAM-SCAR-CET-01-31-01, equip. 000000121779, ABC B.Placa/campo: ANP Fig. 156: KSB MCPK 125-80-315 EE, OP M482301615, Q 120 m3/h, H 54 mca, 1775 rpm, 163 kg, ano 2024; campo: MCPK (serie 315) EE | OP M482301615 | Q 120 m3/h; H 54 mca; 1775 rpm; 163 kg | OD S10 / OD S500 - reserva rodoviario</t>
    </r>
  </si>
  <si>
    <t xml:space="preserve">OP M482301615</t>
  </si>
  <si>
    <t xml:space="preserve">B-3113 / 000000121779</t>
  </si>
  <si>
    <t xml:space="preserve">Modelo da placa (MCPK 125-80-315 EE) = crítica (125-080-315). OP confere campo × ANP. Serviço em campo "OD S10 / OD S500 - reserva rodoviario" × lista de linhas "óleo diesel S500". Confronto campo×ANP: S – OP confere. Fabricação 2024 compatível com NF de 2024.</t>
  </si>
  <si>
    <t xml:space="preserve">0146-0151 | ANP Fig. 156</t>
  </si>
  <si>
    <t xml:space="preserve">KSB RAS0051138 Rev. 10 (11/12/2023), item 11: TAG B-3113, MEGACPK 125-080-315, 1 un., Finame 03279333, R$ 87.307,12 sem impostos / R$ 101.981,67 com impostos (ICMS 5,1394 %, PIS/COFINS 9,25 %, IPI 0 %), 150 dias.</t>
  </si>
  <si>
    <t xml:space="preserve">B-3114</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</si>
  <si>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B-3114 BOMBA CENTRIFUGA – local BPAM-SCAR-CET-01-01-01, equip. 000000121603, ABC B.Placa/campo: ANP Fig. 157: KSB MCPK 125-080-315 EE, OP M482301622, Q 120 m3/h, H 50 mca, 1775 rpm, 158 kg, ano 2024; campo: MCPK (serie 315) | OP M482301622 | Q 120 m3/h; H 50 mca; 1775 rpm; 158 kg | Biodiesel - carreg. ferroviario</t>
    </r>
  </si>
  <si>
    <t xml:space="preserve">MCPK 125-080-315 EE</t>
  </si>
  <si>
    <t xml:space="preserve">Q 120 m3/h; H 50 mca; 1775 rpm</t>
  </si>
  <si>
    <t xml:space="preserve">OP M482301622</t>
  </si>
  <si>
    <t xml:space="preserve">B-3114 / 000000121603</t>
  </si>
  <si>
    <t xml:space="preserve">Modelo da placa (MCPK 125-080-315 EE) = crítica (125-080-315). OP confere campo × ANP. Serviço em campo "Biodiesel - carreg. ferroviario" × lista de linhas "biodiesel". Confronto campo×ANP: S – OP confere. Fabricação 2024 compatível com NF de 2024.</t>
  </si>
  <si>
    <t xml:space="preserve">0090-0094 | ANP Fig. 157</t>
  </si>
  <si>
    <t xml:space="preserve">KSB RAS0051138 Rev. 10 (11/12/2023), item 12: TAG B-3114, MEGACPK 125-080-315, 1 un., Finame 03279333, R$ 87.307,12 sem impostos / R$ 101.981,67 com impostos (ICMS 5,1394 %, PIS/COFINS 9,25 %, IPI 0 %), 150 dias.</t>
  </si>
  <si>
    <t xml:space="preserve">B-3115</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</si>
  <si>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B-3115 BOMBA CENTRIFUGA – local BPAM-SCAR-CET-01-04-01, equip. 000000121621, ABC B.Placa/campo: ANP Fig. 158: KSB MCPK 125-?80-315 EE (digito coberto), OP M482301623, Q 120 m3/h, H 50 mca, 17?5 rpm, 158 kg, ano 2024; campo: MCPK (serie 315) | OP M4623016?? | H 50 mca | Biodiesel - reserva ferroviario</t>
    </r>
  </si>
  <si>
    <t xml:space="preserve">MCPK 125-?80-315 EE (digito coberto)</t>
  </si>
  <si>
    <t xml:space="preserve">Q 120 m3/h; H 50 mca; 17?5 rpm</t>
  </si>
  <si>
    <t xml:space="preserve">OP M482301623</t>
  </si>
  <si>
    <t xml:space="preserve">B-3115 / 000000121621</t>
  </si>
  <si>
    <t xml:space="preserve">Modelo lido parcialmente (MCPK 125-?80-315 EE (digito coberto)); compatível com a crítica (125-080-315). OP lida parcialmente em campo (M4623016??); ANP completa M482301623. Serviço em campo "Biodiesel - reserva ferroviario" × lista de linhas "biodiesel". Confronto campo×ANP: Parcial – ANP preenche OP nao lida/parcial em campo. Fabricação 2024 compatível com NF de 2024.</t>
  </si>
  <si>
    <t xml:space="preserve">0085-0089 | ANP Fig. 158</t>
  </si>
  <si>
    <t xml:space="preserve">KSB RAS0051138 Rev. 10 (11/12/2023), item 13: TAG B-3115, MEGACPK 125-080-315, 1 un., Finame 03279333, R$ 87.307,12 sem impostos / R$ 101.981,67 com impostos (ICMS 5,1394 %, PIS/COFINS 9,25 %, IPI 0 %), 150 dias.</t>
  </si>
  <si>
    <t xml:space="preserve">B-3116</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</si>
  <si>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B-3116 BOMBA CENTRIFUGA – local BPAM-SCAR-CET-01-13-01, equip. 000000121673, ABC B.Placa/campo: ANP Fig. 159: KSB MCPK 125-80-315 EE, OP M?82301624 (digito coberto), Q 120 m3/h, H 50 mca, 1771 rpm, 158 kg, ano 2024; campo: MCPK 1??-80-315 EE | OP ?2301624 | Q 120 m3/h; H 50 mca; 1771 rpm; 158 kg | Etanol anidro - carreg. ferroviario</t>
    </r>
  </si>
  <si>
    <t xml:space="preserve">Q 120 m3/h; H 50 mca; 1771 rpm</t>
  </si>
  <si>
    <t xml:space="preserve">OP M?82301624 (prov. M482301624)</t>
  </si>
  <si>
    <t xml:space="preserve">B-3116 / 000000121673</t>
  </si>
  <si>
    <t xml:space="preserve">Modelo da placa (MCPK 125-80-315 EE)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t>
  </si>
  <si>
    <t xml:space="preserve">0111-0117 | ANP Fig. 159</t>
  </si>
  <si>
    <t xml:space="preserve">KSB RAS0051138 Rev. 10 (11/12/2023), item 14: TAG B-3116, MEGACPK 125-080-315, 1 un., Finame 03279333, R$ 74.788,01 sem impostos / R$ 87.358,35 com impostos (ICMS 5,1394 %, PIS/COFINS 9,25 %, IPI 0 %), 150 dias.</t>
  </si>
  <si>
    <t xml:space="preserve">[CORREÇÃO v2: componente da linha 6; na base de 07/10 estava na linha 4] CORREÇÃO: componente da linha 6 (R$ 87.358,35, item 14 da cotação KSB), não da linha 4.</t>
  </si>
  <si>
    <t xml:space="preserve">B-3117</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</si>
  <si>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B-3117 BOMBA CENTRIFUGA – local BPAM-SCAR-CET-01-16-01, equip. 000000121691, ABC B.Placa/campo: ANP Fig. 160: KSB MCPK 125-80-315 EE, OP M482301625, Q 120 m3/h, H 50 mca, 1771 rpm, 158 kg, ano 2024; campo: MCPK (serie 315) | OP ?46530162? | Q 120 m3/h; H 50 mca; ~1775 rpm | Etanol anidro - reserva ferroviario</t>
    </r>
  </si>
  <si>
    <t xml:space="preserve">OP M482301625</t>
  </si>
  <si>
    <t xml:space="preserve">B-3117 / 000000121691</t>
  </si>
  <si>
    <t xml:space="preserve">Modelo da placa (MCPK 125-80-315 EE) = crítica (125-080-315). OP lida parcialmente em campo (?46530162?); ANP completa M482301625. Serviço em campo "Etanol anidro - reserva ferroviario" × lista de linhas "etanol anidro". Confronto campo×ANP: Parcial – ANP preenche OP nao lida/parcial em campo. Fabricação 2024 compatível com NF de 2024.</t>
  </si>
  <si>
    <t xml:space="preserve">0106-0110 | ANP Fig. 160</t>
  </si>
  <si>
    <t xml:space="preserve">KSB RAS0051138 Rev. 10 (11/12/2023), item 15: TAG B-3117, MEGACPK 125-080-315, 1 un., Finame 03279333, R$ 74.788,01 sem impostos / R$ 87.358,35 com impostos (ICMS 5,1394 %, PIS/COFINS 9,25 %, IPI 0 %), 150 dias.</t>
  </si>
  <si>
    <t xml:space="preserve">[CORREÇÃO v2: componente da linha 6; na base de 07/10 estava na linha 4] CORREÇÃO: componente da linha 6 (R$ 87.358,35, item 15 da cotação KSB), não da linha 4.</t>
  </si>
  <si>
    <t xml:space="preserve">Bomba de produto CETRAN 01 – 100-065-315 (B-3109)</t>
  </si>
  <si>
    <r>
      <rPr>
        <b val="true"/>
        <sz val="9"/>
        <color rgb="FF000000"/>
        <rFont val="Arial"/>
        <family val="0"/>
        <charset val="1"/>
      </rPr>
      <t xml:space="preserve">Crítica: </t>
    </r>
    <r>
      <rPr>
        <sz val="9"/>
        <color rgb="FF000000"/>
        <rFont val="Arial"/>
        <family val="0"/>
        <charset val="1"/>
      </rPr>
      <t xml:space="preserve">Bomba – KSB megacpk 100-065-315 – 1 un. × R$ 71.978,04 = R$ 71.978,04; fornecedor KSB Brasil Ltda; Finame 03279333.NF: NF 34370 de 15/08/2024 – KSB Brasil Ltda (CNPJ 60.680.873/0009-71): "Bomba KSB", R$ 1.328.703,93. Atribuição: NF 34370 (decomposição aritmética única).SAP: 1 de 1 TAGs cadastradas: B-3109.Projeto: LI-3100-6105-001: etanol anidro; fluxograma DE-3100-1300-002.</t>
    </r>
  </si>
  <si>
    <t xml:space="preserve">100-065-315</t>
  </si>
  <si>
    <t xml:space="preserve">Q 70 m³/h; H 42 mca; 1784 rpm</t>
  </si>
  <si>
    <t xml:space="preserve">OP M482301618 (ANP)</t>
  </si>
  <si>
    <t xml:space="preserve">1 TAGs no SAP</t>
  </si>
  <si>
    <t xml:space="preserve">34370</t>
  </si>
  <si>
    <t xml:space="preserve">15/08/2024</t>
  </si>
  <si>
    <t xml:space="preserve">NF 34370 (decomposição aritmética única)</t>
  </si>
  <si>
    <t xml:space="preserve">Placa: MCPK 100-65-315 EE, Q 70 m³/h, H 42 mca (campo e ANP). OP: campo leu M482301818, ANP M482301618 – a sequência das OPs (…1611-1625) indica 1618; registrado como divergência de leitura. B-3109 é a única 100-065-315 em campo.</t>
  </si>
  <si>
    <t xml:space="preserve">Cotação KSB RAS0051138 Rev. 10 (11/12/2023), item 7 – TAG B-3109, KSB MEGACPK 100-065-315, 1 un., Finame 03279333, R$ 61.620,83 sem impostos / R$ 71.978,04 com impostos (= linha 5); mesmo escopo MEGACPK da linha 4.</t>
  </si>
  <si>
    <t xml:space="preserve">Cotação = crítica (R$ 71.978,04, item 7, B-3109). A leitura de campo "OP M482301818" fica superada pela ANP (M482301618) e pela sequência das OPs. Finame 03279333 = crítica.</t>
  </si>
  <si>
    <r>
      <rPr>
        <b val="true"/>
        <sz val="9"/>
        <color rgb="FF000000"/>
        <rFont val="Arial"/>
        <family val="0"/>
        <charset val="1"/>
      </rPr>
      <t xml:space="preserve">LINHA 5 – Bomba de produto CETRAN 01 – 100-065-315 (B-3109) [CONJUNTO]
Crítica: </t>
    </r>
    <r>
      <rPr>
        <sz val="9"/>
        <color rgb="FF000000"/>
        <rFont val="Arial"/>
        <family val="0"/>
        <charset val="1"/>
      </rPr>
      <t xml:space="preserve">Bomba – KSB megacpk 100-065-315 – 1 un. × R$ 71.978,04 = R$ 71.978,04;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1 de 1 TAGs cadastradas: </t>
    </r>
    <r>
      <rPr>
        <strike val="true"/>
        <sz val="9"/>
        <color rgb="FF00703C"/>
        <rFont val="Arial"/>
        <family val="0"/>
        <charset val="1"/>
      </rPr>
      <t xml:space="preserve">B-3109</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etanol anidro; fluxograma DE-3100-1300-002.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R$ 71.978,04.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R$ 71.978,04, total R$ 71.978,04.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100-065-315. </t>
    </r>
    <r>
      <rPr>
        <b val="true"/>
        <sz val="9"/>
        <color rgb="FF1F4E9A"/>
        <rFont val="Arial"/>
        <family val="0"/>
        <charset val="1"/>
      </rPr>
      <t xml:space="preserve">Capacidade: </t>
    </r>
    <r>
      <rPr>
        <sz val="9"/>
        <color rgb="FF1F4E9A"/>
        <rFont val="Arial"/>
        <family val="0"/>
        <charset val="1"/>
      </rPr>
      <t xml:space="preserve">Q 70 m³/h; H 42 mca; 1784 rpm. </t>
    </r>
    <r>
      <rPr>
        <b val="true"/>
        <sz val="9"/>
        <color rgb="FF1F4E9A"/>
        <rFont val="Arial"/>
        <family val="0"/>
        <charset val="1"/>
      </rPr>
      <t xml:space="preserve">Série/OP: </t>
    </r>
    <r>
      <rPr>
        <sz val="9"/>
        <color rgb="FF1F4E9A"/>
        <rFont val="Arial"/>
        <family val="0"/>
        <charset val="1"/>
      </rPr>
      <t xml:space="preserve">OP M482301618 (ANP).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MCPK 100-65-315 EE, Q 70 m³/h, H 42 mca (campo e ANP). OP: campo leu M482301818, ANP M482301618 – a sequência das OPs (…1611-1625) indica 1618; registrado como divergência de leitura. </t>
    </r>
    <r>
      <rPr>
        <strike val="true"/>
        <sz val="9"/>
        <color rgb="FF000000"/>
        <rFont val="Arial"/>
        <family val="0"/>
        <charset val="1"/>
      </rPr>
      <t xml:space="preserve">B-3109</t>
    </r>
    <r>
      <rPr>
        <sz val="9"/>
        <color rgb="FF000000"/>
        <rFont val="Arial"/>
        <family val="0"/>
        <charset val="1"/>
      </rPr>
      <t xml:space="preserve"> é a única 100-065-315 em campo.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7 – TAG B-3109, KSB MEGACPK 100-065-315, 1 un., Finame 03279333, R$ 61.620,83 sem impostos / R$ 71.978,04 com impostos (= linha 5);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(R$ 71.978,04, item 7, B-3109). A leitura de campo "OP M482301818" fica superada pela ANP (M482301618) e pela sequência das OPs. Finame 03279333 = crítica. 
</t>
    </r>
    <r>
      <rPr>
        <b val="true"/>
        <sz val="9"/>
        <color rgb="FF000000"/>
        <rFont val="Arial"/>
        <family val="0"/>
        <charset val="1"/>
      </rPr>
      <t xml:space="preserve">COMPONENTES (1):
• B-3109: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etanol anidro;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B-3109</t>
    </r>
    <r>
      <rPr>
        <sz val="9"/>
        <color rgb="FF00703C"/>
        <rFont val="Arial"/>
        <family val="0"/>
        <charset val="1"/>
      </rPr>
      <t xml:space="preserve"> BOMBA CENTRIFUGA – local BPAM-SCAR-CET-01-19-01, equip. 000000121706, ABC B. </t>
    </r>
    <r>
      <rPr>
        <b val="true"/>
        <sz val="9"/>
        <color rgb="FF1F4E9A"/>
        <rFont val="Arial"/>
        <family val="0"/>
        <charset val="1"/>
      </rPr>
      <t xml:space="preserve">Placa/campo: </t>
    </r>
    <r>
      <rPr>
        <sz val="9"/>
        <color rgb="FF1F4E9A"/>
        <rFont val="Arial"/>
        <family val="0"/>
        <charset val="1"/>
      </rPr>
      <t xml:space="preserve">ANP Fig. 152: KSB </t>
    </r>
    <r>
      <rPr>
        <strike val="true"/>
        <sz val="9"/>
        <color rgb="FF1F4E9A"/>
        <rFont val="Arial"/>
        <family val="0"/>
        <charset val="1"/>
      </rPr>
      <t xml:space="preserve">MCPK 100-65-315 EE</t>
    </r>
    <r>
      <rPr>
        <sz val="9"/>
        <color rgb="FF1F4E9A"/>
        <rFont val="Arial"/>
        <family val="0"/>
        <charset val="1"/>
      </rPr>
      <t xml:space="preserve">, OP M482301618, Q 70 m3/h, H 42 mca, 1784 rpm, 150 kg, ano 2024; campo: </t>
    </r>
    <r>
      <rPr>
        <strike val="true"/>
        <sz val="9"/>
        <color rgb="FF1F4E9A"/>
        <rFont val="Arial"/>
        <family val="0"/>
        <charset val="1"/>
      </rPr>
      <t xml:space="preserve">MCPK 100-65-315 EE</t>
    </r>
    <r>
      <rPr>
        <sz val="9"/>
        <color rgb="FF1F4E9A"/>
        <rFont val="Arial"/>
        <family val="0"/>
        <charset val="1"/>
      </rPr>
      <t xml:space="preserve"> | OP M482301818 | Q 70 m3/h; H 42 mca; 1784 rpm; 150 kg | Etanol anidro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100-65-315 EE</t>
    </r>
    <r>
      <rPr>
        <sz val="9"/>
        <color rgb="FF000000"/>
        <rFont val="Arial"/>
        <family val="0"/>
        <charset val="1"/>
      </rPr>
      <t xml:space="preserv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 </t>
    </r>
    <r>
      <rPr>
        <b val="true"/>
        <sz val="9"/>
        <color rgb="FF000000"/>
        <rFont val="Arial"/>
        <family val="0"/>
        <charset val="1"/>
      </rPr>
      <t xml:space="preserve">Fotos: </t>
    </r>
    <r>
      <rPr>
        <sz val="9"/>
        <color rgb="FF000000"/>
        <rFont val="Arial"/>
        <family val="0"/>
        <charset val="1"/>
      </rPr>
      <t xml:space="preserve">0102-0105 | </t>
    </r>
    <r>
      <rPr>
        <strike val="true"/>
        <sz val="9"/>
        <color rgb="FF000000"/>
        <rFont val="Arial"/>
        <family val="0"/>
        <charset val="1"/>
      </rPr>
      <t xml:space="preserve">ANP Fig. 152</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7: TAG B-3109, MEGACPK 100-065-315, 1 un., Finame 03279333, R$ 61.620,83 sem impostos / R$ 71.978,04 com impostos (ICMS 5,1394 %, PIS/COFINS 9,25 %, IPI 0 %), 150 dias. </t>
    </r>
    <r>
      <rPr>
        <b val="true"/>
        <sz val="9"/>
        <color rgb="FF7030A0"/>
        <rFont val="Arial"/>
        <family val="0"/>
        <charset val="1"/>
      </rPr>
      <t xml:space="preserve">Novo v2: </t>
    </r>
    <r>
      <rPr>
        <sz val="9"/>
        <color rgb="FF7030A0"/>
        <rFont val="Arial"/>
        <family val="0"/>
        <charset val="1"/>
      </rPr>
      <t xml:space="preserve">OP definitiva M482301618 (ANP + sequência); a leitura de campo "…1818" foi erro de leitura (8 por 6). </t>
    </r>
  </si>
  <si>
    <t xml:space="preserve">B-3109</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</si>
  <si>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4"; fluxograma DE-3100-1300-002.SAP: B-3109 BOMBA CENTRIFUGA – local BPAM-SCAR-CET-01-19-01, equip. 000000121706, ABC B.Placa/campo: ANP Fig. 152: KSB MCPK 100-65-315 EE, OP M482301618, Q 70 m3/h, H 42 mca, 1784 rpm, 150 kg, ano 2024; campo: MCPK 100-65-315 EE | OP M482301818 | Q 70 m3/h; H 42 mca; 1784 rpm; 150 kg | Etanol anidro - carreg. rodoviario</t>
    </r>
  </si>
  <si>
    <t xml:space="preserve">MCPK 100-65-315 EE</t>
  </si>
  <si>
    <t xml:space="preserve">Q 70 m3/h; H 42 mca; 1784 rpm</t>
  </si>
  <si>
    <t xml:space="preserve">OP M482301618</t>
  </si>
  <si>
    <t xml:space="preserve">B-3109 / 000000121706</t>
  </si>
  <si>
    <t xml:space="preserve">Modelo da placa (MCPK 100-65-315 EE)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t>
  </si>
  <si>
    <t xml:space="preserve">KSB RAS0051138 Rev. 10 (11/12/2023), item 7: TAG B-3109, MEGACPK 100-065-315, 1 un., Finame 03279333, R$ 61.620,83 sem impostos / R$ 71.978,04 com impostos (ICMS 5,1394 %, PIS/COFINS 9,25 %, IPI 0 %), 150 dias.</t>
  </si>
  <si>
    <t xml:space="preserve">OP definitiva M482301618 (ANP + sequência); a leitura de campo "…1818" foi erro de leitura (8 por 6).</t>
  </si>
  <si>
    <t xml:space="preserve">Bombas de produto CETRAN 01 – 125-080-315 (2 un.)</t>
  </si>
  <si>
    <r>
      <rPr>
        <b val="true"/>
        <sz val="9"/>
        <color rgb="FF000000"/>
        <rFont val="Arial"/>
        <family val="0"/>
        <charset val="1"/>
      </rPr>
      <t xml:space="preserve">Crítica: </t>
    </r>
    <r>
      <rPr>
        <sz val="9"/>
        <color rgb="FF000000"/>
        <rFont val="Arial"/>
        <family val="0"/>
        <charset val="1"/>
      </rPr>
      <t xml:space="preserve">Bomba – KSB megacpk 125-080-315 – 2 un. × R$ 87.358,35 = R$ 174.716,70; fornecedor KSB Brasil Ltda; Finame 03279333.NF: NF 34511 de 10/09/2024 – KSB Brasil Ltda (CNPJ 60.680.873/0009-71): "Conjunto bomba KSB", R$ 1.139.300,87. Atribuição: NF 34511 (decomposição aritmética única).SAP: 2 de 2 TAGs cadastradas: B-3111, B-3112.Projeto: LI-3100-6105-001: biodiesel; fluxograma DE-3100-1300-002.</t>
    </r>
  </si>
  <si>
    <t xml:space="preserve">Q 72 m³/h; H 53 mca; 1775 rpm</t>
  </si>
  <si>
    <t xml:space="preserve">OP M482301620 e M482301621 (ANP)</t>
  </si>
  <si>
    <t xml:space="preserve">2 TAGs no SAP</t>
  </si>
  <si>
    <t xml:space="preserve">34511</t>
  </si>
  <si>
    <t xml:space="preserve">10/09/2024</t>
  </si>
  <si>
    <t xml:space="preserve">NF 34511 (decomposição aritmética única)</t>
  </si>
  <si>
    <t xml:space="preserve">Placas: MCPK 125-80-315 EE, Q 72 m³/h, H 53 mca (ANP Fig. 154/155). SAP cadastra as 2 TAGs. Vínculo por indício: B-3111/3112 são as únicas 125-80-315 com Q 72 m³/h e recalque de 4" no projeto (as demais 6"), compatível com o preço unitário menor da linha 6.</t>
  </si>
  <si>
    <t xml:space="preserve">Cotação KSB RAS0051138 Rev. 10 (11/12/2023), itens 14 e 15 – TAGs B-3116 e B-3117, KSB MEGACPK 125-080-315, R$ 74.788,01 sem impostos / R$ 87.358,35 com impostos cada = R$ 174.716,70 (= linha 6); Finame 03279333; mesmo escopo MEGACPK da linha 4.</t>
  </si>
  <si>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t>
  </si>
  <si>
    <r>
      <rPr>
        <b val="true"/>
        <sz val="9"/>
        <color rgb="FF000000"/>
        <rFont val="Arial"/>
        <family val="0"/>
        <charset val="1"/>
      </rPr>
      <t xml:space="preserve">LINHA 6 – Bombas de produto CETRAN 01 – 125-080-315 (2 un.) [CONJUNTO]
Crítica: </t>
    </r>
    <r>
      <rPr>
        <sz val="9"/>
        <color rgb="FF000000"/>
        <rFont val="Arial"/>
        <family val="0"/>
        <charset val="1"/>
      </rPr>
      <t xml:space="preserve">Bomba – KSB megacpk 125-080-315 – 2 un. × R$ 87.358,35 = R$ 174.716,70;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B-3111, B-3112. </t>
    </r>
    <r>
      <rPr>
        <b val="true"/>
        <sz val="9"/>
        <color rgb="FFB38600"/>
        <rFont val="Arial"/>
        <family val="0"/>
        <charset val="1"/>
      </rPr>
      <t xml:space="preserve">Projeto: </t>
    </r>
    <r>
      <rPr>
        <sz val="9"/>
        <color rgb="FFB38600"/>
        <rFont val="Arial"/>
        <family val="0"/>
        <charset val="1"/>
      </rPr>
      <t xml:space="preserve">LI-3100-6105-001: biodiesel; fluxograma DE-3100-1300-002.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R$ 174.716,70.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R$ 87.358,35, total R$ 174.716,70.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72 m³/h; H 53 mca; 1775 rpm. </t>
    </r>
    <r>
      <rPr>
        <b val="true"/>
        <sz val="9"/>
        <color rgb="FF1F4E9A"/>
        <rFont val="Arial"/>
        <family val="0"/>
        <charset val="1"/>
      </rPr>
      <t xml:space="preserve">Série/OP: </t>
    </r>
    <r>
      <rPr>
        <sz val="9"/>
        <color rgb="FF1F4E9A"/>
        <rFont val="Arial"/>
        <family val="0"/>
        <charset val="1"/>
      </rPr>
      <t xml:space="preserve">OP M482301620 e M482301621 (ANP).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MCPK 125-80-315 EE, Q 72 m³/h, H 53 mca (ANP Fig. 154/155). SAP cadastra as 2 TAGs. Vínculo por indício: </t>
    </r>
    <r>
      <rPr>
        <strike val="true"/>
        <sz val="9"/>
        <color rgb="FF000000"/>
        <rFont val="Arial"/>
        <family val="0"/>
        <charset val="1"/>
      </rPr>
      <t xml:space="preserve">B-3111</t>
    </r>
    <r>
      <rPr>
        <sz val="9"/>
        <color rgb="FF000000"/>
        <rFont val="Arial"/>
        <family val="0"/>
        <charset val="1"/>
      </rPr>
      <t xml:space="preserve">/3112 são as únicas 125-80-315 com Q 72 m³/h e recalque de 4" no projeto (as demais 6"), compatível com o preço unitário menor da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14 e 15 – TAGs B-3116 e B-3117, KSB MEGACPK 125-080-315, R$ 74.788,01 sem impostos / R$ 87.358,35 com impostos cada = R$ 174.716,70 (= linha 6);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 
</t>
    </r>
    <r>
      <rPr>
        <b val="true"/>
        <sz val="9"/>
        <color rgb="FF000000"/>
        <rFont val="Arial"/>
        <family val="0"/>
        <charset val="1"/>
      </rPr>
      <t xml:space="preserve">COMPONENTES (2):
• B-3116: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etanol anidro;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B-3116</t>
    </r>
    <r>
      <rPr>
        <sz val="9"/>
        <color rgb="FF00703C"/>
        <rFont val="Arial"/>
        <family val="0"/>
        <charset val="1"/>
      </rPr>
      <t xml:space="preserve"> BOMBA CENTRIFUGA – local BPAM-SCAR-CET-01-13-01, equip. 000000121673, ABC B. </t>
    </r>
    <r>
      <rPr>
        <b val="true"/>
        <sz val="9"/>
        <color rgb="FF1F4E9A"/>
        <rFont val="Arial"/>
        <family val="0"/>
        <charset val="1"/>
      </rPr>
      <t xml:space="preserve">Placa/campo: </t>
    </r>
    <r>
      <rPr>
        <sz val="9"/>
        <color rgb="FF1F4E9A"/>
        <rFont val="Arial"/>
        <family val="0"/>
        <charset val="1"/>
      </rPr>
      <t xml:space="preserve">ANP Fig. 159: KSB </t>
    </r>
    <r>
      <rPr>
        <strike val="true"/>
        <sz val="9"/>
        <color rgb="FF1F4E9A"/>
        <rFont val="Arial"/>
        <family val="0"/>
        <charset val="1"/>
      </rPr>
      <t xml:space="preserve">MCPK 125-80-315 EE</t>
    </r>
    <r>
      <rPr>
        <sz val="9"/>
        <color rgb="FF1F4E9A"/>
        <rFont val="Arial"/>
        <family val="0"/>
        <charset val="1"/>
      </rPr>
      <t xml:space="preserve">, OP M?82301624 (digito coberto), Q 120 m3/h, H 50 mca, 1771 rpm, 158 kg, ano 2024; campo: MCPK 1??-80-315 EE | OP ?2301624 | Q 120 m3/h; H 50 mca; 1771 rpm; 158 kg | Etanol anidro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0111-0117 | </t>
    </r>
    <r>
      <rPr>
        <strike val="true"/>
        <sz val="9"/>
        <color rgb="FF000000"/>
        <rFont val="Arial"/>
        <family val="0"/>
        <charset val="1"/>
      </rPr>
      <t xml:space="preserve">ANP Fig. 159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14: TAG B-3116,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14 da cotação KSB), não da linha 4. 
</t>
    </r>
    <r>
      <rPr>
        <b val="true"/>
        <sz val="9"/>
        <color rgb="FF000000"/>
        <rFont val="Arial"/>
        <family val="0"/>
        <charset val="1"/>
      </rPr>
      <t xml:space="preserve">• B-3117: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etanol anidro;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BPAM-SCAR-CET-01-16-01, equip. 000000121691,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160: </t>
    </r>
    <r>
      <rPr>
        <strike val="true"/>
        <sz val="9"/>
        <color rgb="FF1F4E9A"/>
        <rFont val="Arial"/>
        <family val="0"/>
        <charset val="1"/>
      </rPr>
      <t xml:space="preserve">KSB MCPK 125-80-315 EE</t>
    </r>
    <r>
      <rPr>
        <sz val="9"/>
        <color rgb="FF1F4E9A"/>
        <rFont val="Arial"/>
        <family val="0"/>
        <charset val="1"/>
      </rPr>
      <t xml:space="preserve">, OP M482301625, Q 120 m3/h, H 50 mca, 1771 rpm, 158 kg, </t>
    </r>
    <r>
      <rPr>
        <strike val="true"/>
        <sz val="9"/>
        <color rgb="FF1F4E9A"/>
        <rFont val="Arial"/>
        <family val="0"/>
        <charset val="1"/>
      </rPr>
      <t xml:space="preserve">ano 2024</t>
    </r>
    <r>
      <rPr>
        <sz val="9"/>
        <color rgb="FF1F4E9A"/>
        <rFont val="Arial"/>
        <family val="0"/>
        <charset val="1"/>
      </rPr>
      <t xml:space="preserve">; campo: MCPK (serie 315) | OP ?46530162? | Q 120 m3/h; H 50 mca; ~1775 rpm | Etanol anidro - reserva ferroviario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(?46530162?); ANP completa M482301625. Serviço em campo "Etanol anidro - reserva ferroviario" × lista de linhas "etanol anidro".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0106-0110 | </t>
    </r>
    <r>
      <rPr>
        <strike val="true"/>
        <sz val="9"/>
        <color rgb="FF000000"/>
        <rFont val="Arial"/>
        <family val="0"/>
        <charset val="1"/>
      </rPr>
      <t xml:space="preserve">ANP Fig. 160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15: TAG B-3117,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15 da cotação KSB), não da linha 4. </t>
    </r>
  </si>
  <si>
    <t xml:space="preserve">B-3111</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</si>
  <si>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B-3111 BOMBA CENTRIFUGA – local BPAM-SCAR-CET-01-07-01, equip. 000000121636, ABC B.Placa/campo: ANP Fig. 154: KSB MCPK 125-80-315 EE, OP M482301620, Q 72 m3/h, H 53 mca, 1775 rpm, 163 kg, ano 2024; campo: MCPK 1?0-80-315 EE | OP N4823016?0 | Q 72 m3/h; H 53 mca; 1775 rpm; 163 kg | Biodiesel - carreg. rodoviario</t>
    </r>
  </si>
  <si>
    <t xml:space="preserve">Q 72 m3/h; H 53 mca; 1775 rpm</t>
  </si>
  <si>
    <t xml:space="preserve">OP M482301620</t>
  </si>
  <si>
    <t xml:space="preserve">B-3111 / 000000121636</t>
  </si>
  <si>
    <t xml:space="preserve">Modelo da placa (MCPK 125-80-315 EE) = crítica (125-080-315). OP lida parcialmente em campo (N4823016?0); ANP completa M482301620. Serviço em campo "Biodiesel - carreg. rodoviario" × lista de linhas "biodiesel". Confronto campo×ANP: Parcial – ANP preenche OP nao lida/parcial em campo. Fabricação 2024 compatível com NF de 2024.</t>
  </si>
  <si>
    <t xml:space="preserve">0079, 0082-0084 | ANP Fig. 154</t>
  </si>
  <si>
    <t xml:space="preserve">KSB RAS0051138 Rev. 10 (11/12/2023), item 9: TAG B-3111, MEGACPK 125-080-315, 1 un., Finame 03279333, R$ 87.307,12 sem impostos / R$ 101.981,67 com impostos (ICMS 5,1394 %, PIS/COFINS 9,25 %, IPI 0 %), 150 dias.</t>
  </si>
  <si>
    <t xml:space="preserve">[CORREÇÃO v2: componente da linha 4; na base de 07/10 estava na linha 6] CORREÇÃO: componente da linha 4 (R$ 101.981,67, item 9 da cotação KSB), não da linha 6.</t>
  </si>
  <si>
    <t xml:space="preserve">B-3112</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</si>
  <si>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B-3112 BOMBA CENTRIFUGA – local BPAM-SCAR-CET-01-10-01, equip. 000000121656, ABC B.Placa/campo: ANP Fig. 155: KSB MCPK 125-80-315 EE, OP M482301621, Q 72 m3/h, H 53 mca, 1775 rpm, 163 kg, ano 2024; campo: MCPK (serie 315) | OP M4823016?? | 1775 rpm | Biodiesel - reserva</t>
    </r>
  </si>
  <si>
    <t xml:space="preserve">OP M482301621</t>
  </si>
  <si>
    <t xml:space="preserve">B-3112 / 000000121656</t>
  </si>
  <si>
    <t xml:space="preserve">Modelo da placa (MCPK 125-80-315 EE) = crítica (125-080-315). OP lida parcialmente em campo (M4823016??); ANP completa M482301621. Serviço em campo "Biodiesel - reserva" × lista de linhas "biodiesel". Confronto campo×ANP: Parcial – ANP preenche OP nao lida/parcial em campo. Fabricação 2024 compatível com NF de 2024.</t>
  </si>
  <si>
    <t xml:space="preserve">0074-0076, 0080, 0081 | ANP Fig. 155</t>
  </si>
  <si>
    <t xml:space="preserve">KSB RAS0051138 Rev. 10 (11/12/2023), item 10: TAG B-3112, MEGACPK 125-080-315, 1 un., Finame 03279333, R$ 87.307,12 sem impostos / R$ 101.981,67 com impostos (ICMS 5,1394 %, PIS/COFINS 9,25 %, IPI 0 %), 150 dias.</t>
  </si>
  <si>
    <t xml:space="preserve">[CORREÇÃO v2: componente da linha 4; na base de 07/10 estava na linha 6] CORREÇÃO: componente da linha 4 (R$ 101.981,67, item 10 da cotação KSB), não da linha 6.</t>
  </si>
  <si>
    <t xml:space="preserve">Bombas CETRAN 02 (ferroviário) – 125-100-315 (2 un.)</t>
  </si>
  <si>
    <r>
      <rPr>
        <b val="true"/>
        <sz val="9"/>
        <color rgb="FF000000"/>
        <rFont val="Arial"/>
        <family val="0"/>
        <charset val="1"/>
      </rPr>
      <t xml:space="preserve">Crítica: </t>
    </r>
    <r>
      <rPr>
        <sz val="9"/>
        <color rgb="FF000000"/>
        <rFont val="Arial"/>
        <family val="0"/>
        <charset val="1"/>
      </rPr>
      <t xml:space="preserve">Bomba – KSB megacpk 125-100-315 – 2 un. × R$ 80.938,11 = R$ 161.876,22; fornecedor KSB Brasil Ltda; Finame 03279333.NF: NF 34511 de 10/09/2024 – KSB Brasil Ltda (CNPJ 60.680.873/0009-71): "Conjunto bomba KSB", R$ 1.139.300,87. Atribuição: NF 34511 (decomposição aritmética única).SAP: 2 de 2 TAGs cadastradas: B-3118, B-3119.Projeto: LI-3100-6105-001: gasolina; fluxograma DE-3100-1300-007.</t>
    </r>
  </si>
  <si>
    <t xml:space="preserve">125-100-315</t>
  </si>
  <si>
    <t xml:space="preserve">Q 180 m³/h; H 32 mca; motor 18,5 kW</t>
  </si>
  <si>
    <t xml:space="preserve">OP M482301626 e M482301627</t>
  </si>
  <si>
    <t xml:space="preserve">Placas KSB lidas em campo (lotes 1 e 3; B-3119 fechada no lote 3). Motores WEG W22Xd 180M/L, 18,5 kW/25 cv, Ex db IIB T4 Gb. ANP Fig. 167/168 sem leitura de placa. Vínculo por indício: B-3118/3119 são as únicas 125-100-315 com motor 18,5 kW (demais 30 kW) – preço unitário menor da linha 7.</t>
  </si>
  <si>
    <t xml:space="preserve">Cotação KSB RAS0051138 Rev. 10 (11/12/2023), itens 16 e 17 – TAGs B-3118 e B-3119, KSB MEGACPK 125-100-315, R$ 69.291,60 sem impostos / R$ 80.938,11 com impostos cada = R$ 161.876,22 (= linha 7); Finame 03279333.</t>
  </si>
  <si>
    <t xml:space="preserve">Cotação = crítica (itens 16-17, R$ 80.938,11 cada, B-3118/B-3119) – a atribuição por indício (motor 18,5 kW) está agora documentada.</t>
  </si>
  <si>
    <r>
      <rPr>
        <b val="true"/>
        <sz val="9"/>
        <color rgb="FF000000"/>
        <rFont val="Arial"/>
        <family val="0"/>
        <charset val="1"/>
      </rPr>
      <t xml:space="preserve">LINHA 7 – Bombas CETRAN 02 (ferroviário) – 125-100-315 (2 un.) [CONJUNTO]
Crítica: </t>
    </r>
    <r>
      <rPr>
        <sz val="9"/>
        <color rgb="FF000000"/>
        <rFont val="Arial"/>
        <family val="0"/>
        <charset val="1"/>
      </rPr>
      <t xml:space="preserve">Bomba – KSB megacpk 125-100-315 – 2 un. × R$ 80.938,11 = R$ 161.876,22;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B-3118, B-3119. </t>
    </r>
    <r>
      <rPr>
        <b val="true"/>
        <sz val="9"/>
        <color rgb="FFB38600"/>
        <rFont val="Arial"/>
        <family val="0"/>
        <charset val="1"/>
      </rPr>
      <t xml:space="preserve">Projeto: </t>
    </r>
    <r>
      <rPr>
        <sz val="9"/>
        <color rgb="FFB38600"/>
        <rFont val="Arial"/>
        <family val="0"/>
        <charset val="1"/>
      </rPr>
      <t xml:space="preserve">LI-3100-6105-001: gasolina;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R$ 161.876,22.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R$ 80.938,11, total R$ 161.876,22.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32 mca; motor 18,5 kW. </t>
    </r>
    <r>
      <rPr>
        <b val="true"/>
        <sz val="9"/>
        <color rgb="FF1F4E9A"/>
        <rFont val="Arial"/>
        <family val="0"/>
        <charset val="1"/>
      </rPr>
      <t xml:space="preserve">Série/OP: </t>
    </r>
    <r>
      <rPr>
        <sz val="9"/>
        <color rgb="FF1F4E9A"/>
        <rFont val="Arial"/>
        <family val="0"/>
        <charset val="1"/>
      </rPr>
      <t xml:space="preserve">OP M482301626 e M482301627.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lidas em campo (lotes 1 e 3; </t>
    </r>
    <r>
      <rPr>
        <strike val="true"/>
        <sz val="9"/>
        <color rgb="FF000000"/>
        <rFont val="Arial"/>
        <family val="0"/>
        <charset val="1"/>
      </rPr>
      <t xml:space="preserve">B-3119</t>
    </r>
    <r>
      <rPr>
        <sz val="9"/>
        <color rgb="FF000000"/>
        <rFont val="Arial"/>
        <family val="0"/>
        <charset val="1"/>
      </rPr>
      <t xml:space="preserve"> fechada no lote 3). Motores WEG W22Xd 180M/L, 18,5 kW/25 cv, Ex db IIB T4 Gb. ANP Fig. 167/168 sem leitura de placa. Vínculo por indício: </t>
    </r>
    <r>
      <rPr>
        <strike val="true"/>
        <sz val="9"/>
        <color rgb="FF000000"/>
        <rFont val="Arial"/>
        <family val="0"/>
        <charset val="1"/>
      </rPr>
      <t xml:space="preserve">B-3118</t>
    </r>
    <r>
      <rPr>
        <sz val="9"/>
        <color rgb="FF000000"/>
        <rFont val="Arial"/>
        <family val="0"/>
        <charset val="1"/>
      </rPr>
      <t xml:space="preserve">/3119 são as únicas 125-100-315 com motor 18,5 kW (demais 30 kW) – preço unitário menor da linha 7.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16 e 17 – TAGs B-3118 e B-3119, KSB MEGACPK 125-100-315, R$ 69.291,60 sem impostos / R$ 80.938,11 com impostos cada = R$ 161.876,22 (= linha 7); Finame 03279333. 
</t>
    </r>
    <r>
      <rPr>
        <b val="true"/>
        <sz val="9"/>
        <color rgb="FF7030A0"/>
        <rFont val="Arial"/>
        <family val="0"/>
        <charset val="1"/>
      </rPr>
      <t xml:space="preserve">Novo v2 (achados / correções / proposições): </t>
    </r>
    <r>
      <rPr>
        <sz val="9"/>
        <color rgb="FF7030A0"/>
        <rFont val="Arial"/>
        <family val="0"/>
        <charset val="1"/>
      </rPr>
      <t xml:space="preserve">Cotação = crítica (itens 16-17, R$ 80.938,11 cada, B-3118/B-3119) – a atribuição por indício (motor 18,5 kW) está agora documentada. 
</t>
    </r>
    <r>
      <rPr>
        <b val="true"/>
        <sz val="9"/>
        <color rgb="FF000000"/>
        <rFont val="Arial"/>
        <family val="0"/>
        <charset val="1"/>
      </rPr>
      <t xml:space="preserve">COMPONENTES (2):
• B-3118: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B-3118</t>
    </r>
    <r>
      <rPr>
        <sz val="9"/>
        <color rgb="FF00703C"/>
        <rFont val="Arial"/>
        <family val="0"/>
        <charset val="1"/>
      </rPr>
      <t xml:space="preserve"> BOMBA CENTRIFUGA – local BPAM-SCAR-CET-13-01-01, equip. 000000121928, ABC B. </t>
    </r>
    <r>
      <rPr>
        <b val="true"/>
        <sz val="9"/>
        <color rgb="FF1F4E9A"/>
        <rFont val="Arial"/>
        <family val="0"/>
        <charset val="1"/>
      </rPr>
      <t xml:space="preserve">Placa/campo: </t>
    </r>
    <r>
      <rPr>
        <sz val="9"/>
        <color rgb="FF1F4E9A"/>
        <rFont val="Arial"/>
        <family val="0"/>
        <charset val="1"/>
      </rPr>
      <t xml:space="preserve">KSB MCPK 125-100-315, OP M482301626, Q 180 m3/h; H 32 mca; 1776 rpm; 159 kg | MOTOR: </t>
    </r>
    <r>
      <rPr>
        <strike val="true"/>
        <sz val="9"/>
        <color rgb="FF1F4E9A"/>
        <rFont val="Arial"/>
        <family val="0"/>
        <charset val="1"/>
      </rPr>
      <t xml:space="preserve">WEG W22Xd | 180M/L</t>
    </r>
    <r>
      <rPr>
        <sz val="9"/>
        <color rgb="FF1F4E9A"/>
        <rFont val="Arial"/>
        <family val="0"/>
        <charset val="1"/>
      </rPr>
      <t xml:space="preserve"> | IPW55 247 kg | 220/380/440 V | 64,1/37,1/32,0 A | 18,5 kW / 25 CV | FS 1,00 | 1780 rpm | FP 0,82 | ISOL F | rend 92,4% | </t>
    </r>
    <r>
      <rPr>
        <strike val="true"/>
        <sz val="9"/>
        <color rgb="FF1F4E9A"/>
        <rFont val="Arial"/>
        <family val="0"/>
        <charset val="1"/>
      </rPr>
      <t xml:space="preserve">Ex db IIB T4 Gb</t>
    </r>
    <r>
      <rPr>
        <sz val="9"/>
        <color rgb="FF1F4E9A"/>
        <rFont val="Arial"/>
        <family val="0"/>
        <charset val="1"/>
      </rPr>
      <t xml:space="preserve">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gasolina. </t>
    </r>
    <r>
      <rPr>
        <b val="true"/>
        <sz val="9"/>
        <color rgb="FF000000"/>
        <rFont val="Arial"/>
        <family val="0"/>
        <charset val="1"/>
      </rPr>
      <t xml:space="preserve">Fotos: </t>
    </r>
    <r>
      <rPr>
        <sz val="9"/>
        <color rgb="FF000000"/>
        <rFont val="Arial"/>
        <family val="0"/>
        <charset val="1"/>
      </rPr>
      <t xml:space="preserve">0788-0791. </t>
    </r>
    <r>
      <rPr>
        <b val="true"/>
        <sz val="9"/>
        <color rgb="FF002060"/>
        <rFont val="Arial"/>
        <family val="0"/>
        <charset val="1"/>
      </rPr>
      <t xml:space="preserve">Cotação: </t>
    </r>
    <r>
      <rPr>
        <sz val="9"/>
        <color rgb="FF002060"/>
        <rFont val="Arial"/>
        <family val="0"/>
        <charset val="1"/>
      </rPr>
      <t xml:space="preserve">KSB RAS0051138 Rev. 10 (11/12/2023), item 16: TAG B-3118, MEGACPK 125-100-315, 1 un., Finame 03279333, R$ 69.291,60 sem impostos / R$ 80.938,11 com impostos (ICMS 5,1394 %, PIS/COFINS 9,25 %, IPI 0 %), 150 dias. 
</t>
    </r>
    <r>
      <rPr>
        <b val="true"/>
        <sz val="9"/>
        <color rgb="FF000000"/>
        <rFont val="Arial"/>
        <family val="0"/>
        <charset val="1"/>
      </rPr>
      <t xml:space="preserve">• B-3119: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B-3119</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BPAM-SCAR-CET-13-04-01, equip. 000000121949,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MCPK 125-100-315 EE, OP M482301627, Q 180 m3/h; H 32 mca; 1776 rpm; 159 kg | MOTOR: WEG W22Xdb 180M/L 247 kg 18,5 kW/25 CV 1780 rpm </t>
    </r>
    <r>
      <rPr>
        <strike val="true"/>
        <sz val="9"/>
        <color rgb="FF1F4E9A"/>
        <rFont val="Arial"/>
        <family val="0"/>
        <charset val="1"/>
      </rPr>
      <t xml:space="preserve">Ex db IIB T4 Gb</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gasolina.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0793-0796, 1068-1076. </t>
    </r>
    <r>
      <rPr>
        <b val="true"/>
        <sz val="9"/>
        <color rgb="FF002060"/>
        <rFont val="Arial"/>
        <family val="0"/>
        <charset val="1"/>
      </rPr>
      <t xml:space="preserve">Cotação: </t>
    </r>
    <r>
      <rPr>
        <sz val="9"/>
        <color rgb="FF002060"/>
        <rFont val="Arial"/>
        <family val="0"/>
        <charset val="1"/>
      </rPr>
      <t xml:space="preserve">KSB RAS0051138 Rev. 10 (11/12/2023), item 17: TAG B-3119, MEGACPK 125-100-315, 1 un., Finame 03279333, R$ 69.291,60 sem impostos / R$ 80.938,11 com impostos (ICMS 5,1394 %, PIS/COFINS 9,25 %, IPI 0 %), 150 dias. </t>
    </r>
  </si>
  <si>
    <t xml:space="preserve">B-3118</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</si>
  <si>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B-3118 BOMBA CENTRIFUGA – local BPAM-SCAR-CET-13-01-01, equip. 000000121928, ABC B.Placa/campo: KSB MCPK 125-100-315, OP M482301626, Q 180 m3/h; H 32 mca; 1776 rpm; 159 kg | MOTOR: WEG W22Xd | 180M/L | IPW55 247 kg | 220/380/440 V | 64,1/37,1/32,0 A | 18,5 kW / 25 CV | FS 1,00 | 1780 rpm | FP 0,82 | ISOL F | rend 92,4% | Ex db IIB T4 Gb | DNV 18.0055 X.</t>
    </r>
  </si>
  <si>
    <t xml:space="preserve">MCPK 125-100-315</t>
  </si>
  <si>
    <t xml:space="preserve">Q 180 m3/h; H 32 mca; 1776 rpm</t>
  </si>
  <si>
    <t xml:space="preserve">OP M482301626</t>
  </si>
  <si>
    <t xml:space="preserve">B-3118 / 000000121928</t>
  </si>
  <si>
    <t xml:space="preserve">Modelo da placa = crítica (125-100-315). Produto do projeto: gasolina.</t>
  </si>
  <si>
    <t xml:space="preserve">0788-0791</t>
  </si>
  <si>
    <t xml:space="preserve">KSB RAS0051138 Rev. 10 (11/12/2023), item 16: TAG B-3118, MEGACPK 125-100-315, 1 un., Finame 03279333, R$ 69.291,60 sem impostos / R$ 80.938,11 com impostos (ICMS 5,1394 %, PIS/COFINS 9,25 %, IPI 0 %), 150 dias.</t>
  </si>
  <si>
    <t xml:space="preserve">B-3119</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</si>
  <si>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B-3119 BOMBA CENTRIFUGA – local BPAM-SCAR-CET-13-04-01, equip. 000000121949, ABC B.Placa/campo: KSB MCPK 125-100-315 EE, OP M482301627, Q 180 m3/h; H 32 mca; 1776 rpm; 159 kg | MOTOR: WEG W22Xdb 180M/L 247 kg 18,5 kW/25 CV 1780 rpm Ex db IIB T4 Gb.</t>
    </r>
  </si>
  <si>
    <t xml:space="preserve">MCPK 125-100-315 EE</t>
  </si>
  <si>
    <t xml:space="preserve">OP M482301627</t>
  </si>
  <si>
    <t xml:space="preserve">B-3119 / 000000121949</t>
  </si>
  <si>
    <t xml:space="preserve">0793-0796, 1068-1076</t>
  </si>
  <si>
    <t xml:space="preserve">KSB RAS0051138 Rev. 10 (11/12/2023), item 17: TAG B-3119, MEGACPK 125-100-315, 1 un., Finame 03279333, R$ 69.291,60 sem impostos / R$ 80.938,11 com impostos (ICMS 5,1394 %, PIS/COFINS 9,25 %, IPI 0 %), 150 dias.</t>
  </si>
  <si>
    <t xml:space="preserve">Bombas CETRAN 02 (ferroviário) – 125-100-315 (3 un.)</t>
  </si>
  <si>
    <r>
      <rPr>
        <b val="true"/>
        <sz val="9"/>
        <color rgb="FF000000"/>
        <rFont val="Arial"/>
        <family val="0"/>
        <charset val="1"/>
      </rPr>
      <t xml:space="preserve">Crítica: </t>
    </r>
    <r>
      <rPr>
        <sz val="9"/>
        <color rgb="FF000000"/>
        <rFont val="Arial"/>
        <family val="0"/>
        <charset val="1"/>
      </rPr>
      <t xml:space="preserve">Bomba – KSB megacpk 125-100-315 – 3 un. × R$ 102.853,99 = R$ 308.561,97; fornecedor KSB Brasil Ltda; Finame 03279333.NF: NF 34511 de 10/09/2024 – KSB Brasil Ltda (CNPJ 60.680.873/0009-71): "Conjunto bomba KSB", R$ 1.139.300,87. Atribuição: NF 34511 (decomposição aritmética única).SAP: 3 de 3 TAGs cadastradas: B-3120, B-3121, B-3122.Projeto: LI-3100-6105-001: óleo diesel S10, óleo diesel S500; fluxograma DE-3100-1300-007.</t>
    </r>
  </si>
  <si>
    <t xml:space="preserve">Q 180 m³/h; H 39 a 42 mca; motor 30 kW</t>
  </si>
  <si>
    <t xml:space="preserve">OP M482301628 a M482301630</t>
  </si>
  <si>
    <t xml:space="preserve">3 TAGs no SAP</t>
  </si>
  <si>
    <t xml:space="preserve">Placas KSB e motores WEG W22Xd 200M/L 30 kW/40 cv lidos em campo. ANP Fig. 169-171 sem leitura de placa. B-3120 a B-3123 são idênticas (30 kW); divisão 3 + 1 entre as linhas 8 e 9 pela ordem das TAGs, sem documento.</t>
  </si>
  <si>
    <t xml:space="preserve">Cotação KSB RAS0051138 Rev. 10 (11/12/2023), itens 18, 20 e 21 – TAGs B-3120, B-3122 e B-3123, KSB MEGACPK 125-100-315, R$ 88.053,92 sem impostos / R$ 102.853,99 com impostos cada = R$ 308.561,97 (= linha 8); Finame 03279333.</t>
  </si>
  <si>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t>
  </si>
  <si>
    <r>
      <rPr>
        <b val="true"/>
        <sz val="9"/>
        <color rgb="FF000000"/>
        <rFont val="Arial"/>
        <family val="0"/>
        <charset val="1"/>
      </rPr>
      <t xml:space="preserve">LINHA 8 – Bombas CETRAN 02 (ferroviário) – 125-100-315 (3 un.) [CONJUNTO]
Crítica: </t>
    </r>
    <r>
      <rPr>
        <sz val="9"/>
        <color rgb="FF000000"/>
        <rFont val="Arial"/>
        <family val="0"/>
        <charset val="1"/>
      </rPr>
      <t xml:space="preserve">Bomba – KSB megacpk 125-100-315 – 3 un. × R$ 102.853,99 = R$ 308.561,97;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3 de 3 TAGs cadastradas: B-3120, B-3121, B-3122. </t>
    </r>
    <r>
      <rPr>
        <b val="true"/>
        <sz val="9"/>
        <color rgb="FFB38600"/>
        <rFont val="Arial"/>
        <family val="0"/>
        <charset val="1"/>
      </rPr>
      <t xml:space="preserve">Projeto: </t>
    </r>
    <r>
      <rPr>
        <sz val="9"/>
        <color rgb="FFB38600"/>
        <rFont val="Arial"/>
        <family val="0"/>
        <charset val="1"/>
      </rPr>
      <t xml:space="preserve">LI-3100-6105-001: óleo diesel S10,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R$ 308.561,97.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3, unitário R$ 102.853,99, total R$ 308.561,97.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a 42 mca; motor 30 kW. </t>
    </r>
    <r>
      <rPr>
        <b val="true"/>
        <sz val="9"/>
        <color rgb="FF1F4E9A"/>
        <rFont val="Arial"/>
        <family val="0"/>
        <charset val="1"/>
      </rPr>
      <t xml:space="preserve">Série/OP: </t>
    </r>
    <r>
      <rPr>
        <sz val="9"/>
        <color rgb="FF1F4E9A"/>
        <rFont val="Arial"/>
        <family val="0"/>
        <charset val="1"/>
      </rPr>
      <t xml:space="preserve">OP M482301628 a M482301630. </t>
    </r>
    <r>
      <rPr>
        <b val="true"/>
        <sz val="9"/>
        <color rgb="FF00703C"/>
        <rFont val="Arial"/>
        <family val="0"/>
        <charset val="1"/>
      </rPr>
      <t xml:space="preserve">TAG/SAP: </t>
    </r>
    <r>
      <rPr>
        <sz val="9"/>
        <color rgb="FF00703C"/>
        <rFont val="Arial"/>
        <family val="0"/>
        <charset val="1"/>
      </rPr>
      <t xml:space="preserve">3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e motores WEG W22Xd 200M/L 30 kW/40 cv lidos em campo. ANP Fig. 169-171 sem leitura de placa. </t>
    </r>
    <r>
      <rPr>
        <strike val="true"/>
        <sz val="9"/>
        <color rgb="FF000000"/>
        <rFont val="Arial"/>
        <family val="0"/>
        <charset val="1"/>
      </rPr>
      <t xml:space="preserve">B-3120</t>
    </r>
    <r>
      <rPr>
        <sz val="9"/>
        <color rgb="FF000000"/>
        <rFont val="Arial"/>
        <family val="0"/>
        <charset val="1"/>
      </rPr>
      <t xml:space="preserve"> a B-3123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18, 20 e 21 – TAGs B-3120, B-3122 e B-3123, KSB MEGACPK 125-100-315, R$ 88.053,92 sem impostos / R$ 102.853,99 com impostos cada = R$ 308.561,97 (= linha 8); Finame 03279333.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 
</t>
    </r>
    <r>
      <rPr>
        <b val="true"/>
        <sz val="9"/>
        <color rgb="FF000000"/>
        <rFont val="Arial"/>
        <family val="0"/>
        <charset val="1"/>
      </rPr>
      <t xml:space="preserve">COMPONENTES (3):
• B-3120: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B-3120</t>
    </r>
    <r>
      <rPr>
        <sz val="9"/>
        <color rgb="FF00703C"/>
        <rFont val="Arial"/>
        <family val="0"/>
        <charset val="1"/>
      </rPr>
      <t xml:space="preserve"> BOMBA CENTRIFUGA – local BPAM-SCAR-CET-13-07-01, equip. 000000121967, ABC B. </t>
    </r>
    <r>
      <rPr>
        <b val="true"/>
        <sz val="9"/>
        <color rgb="FF1F4E9A"/>
        <rFont val="Arial"/>
        <family val="0"/>
        <charset val="1"/>
      </rPr>
      <t xml:space="preserve">Placa/campo: </t>
    </r>
    <r>
      <rPr>
        <sz val="9"/>
        <color rgb="FF1F4E9A"/>
        <rFont val="Arial"/>
        <family val="0"/>
        <charset val="1"/>
      </rPr>
      <t xml:space="preserve">KSB MCPK 125-100-315 EE, OP M482301628, Q 180 m3/h; 1775 rpm; 163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0797-0802. </t>
    </r>
    <r>
      <rPr>
        <b val="true"/>
        <sz val="9"/>
        <color rgb="FF002060"/>
        <rFont val="Arial"/>
        <family val="0"/>
        <charset val="1"/>
      </rPr>
      <t xml:space="preserve">Cotação: </t>
    </r>
    <r>
      <rPr>
        <sz val="9"/>
        <color rgb="FF002060"/>
        <rFont val="Arial"/>
        <family val="0"/>
        <charset val="1"/>
      </rPr>
      <t xml:space="preserve">KSB RAS0051138 Rev. 10 (11/12/2023), item 18: TAG B-3120, MEGACPK 125-100-315, 1 un., Finame 03279333, R$ 88.053,92 sem impostos / R$ 102.853,99 com impostos (ICMS 5,1394 %, PIS/COFINS 9,25 %, IPI 0 %), 150 dias. 
</t>
    </r>
    <r>
      <rPr>
        <b val="true"/>
        <sz val="9"/>
        <color rgb="FF000000"/>
        <rFont val="Arial"/>
        <family val="0"/>
        <charset val="1"/>
      </rPr>
      <t xml:space="preserve">• B-3122: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BPAM-SCAR-CET-13-13-01, equip. 000000122006,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M482301630,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S500. </t>
    </r>
    <r>
      <rPr>
        <b val="true"/>
        <sz val="9"/>
        <color rgb="FF000000"/>
        <rFont val="Arial"/>
        <family val="0"/>
        <charset val="1"/>
      </rPr>
      <t xml:space="preserve">Fotos: </t>
    </r>
    <r>
      <rPr>
        <sz val="9"/>
        <color rgb="FF000000"/>
        <rFont val="Arial"/>
        <family val="0"/>
        <charset val="1"/>
      </rPr>
      <t xml:space="preserve">0812-0818. </t>
    </r>
    <r>
      <rPr>
        <b val="true"/>
        <sz val="9"/>
        <color rgb="FF002060"/>
        <rFont val="Arial"/>
        <family val="0"/>
        <charset val="1"/>
      </rPr>
      <t xml:space="preserve">Cotação: </t>
    </r>
    <r>
      <rPr>
        <sz val="9"/>
        <color rgb="FF002060"/>
        <rFont val="Arial"/>
        <family val="0"/>
        <charset val="1"/>
      </rPr>
      <t xml:space="preserve">KSB RAS0051138 Rev. 10 (11/12/2023), item 20: TAG B-3122, MEGACPK 125-100-315, 1 un., Finame 03279333, R$ 88.053,92 sem impostos / R$ 102.853,99 com impostos (ICMS 5,1394 %, PIS/COFINS 9,25 %, IPI 0 %), 150 dias. 
</t>
    </r>
    <r>
      <rPr>
        <b val="true"/>
        <sz val="9"/>
        <color rgb="FF000000"/>
        <rFont val="Arial"/>
        <family val="0"/>
        <charset val="1"/>
      </rPr>
      <t xml:space="preserve">• B-3123: </t>
    </r>
    <r>
      <rPr>
        <b val="true"/>
        <sz val="9"/>
        <color rgb="FF7030A0"/>
        <rFont val="Arial"/>
        <family val="0"/>
        <charset val="1"/>
      </rPr>
      <t xml:space="preserve">[CORREÇÃO v2: componente da linha 8; na base de 07/10 estava na linha 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BPAM-SCAR-CET-13-16-01, equip. 000000122027,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M482301631,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óleo diesel S500.</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0819-0826. </t>
    </r>
    <r>
      <rPr>
        <b val="true"/>
        <sz val="9"/>
        <color rgb="FF002060"/>
        <rFont val="Arial"/>
        <family val="0"/>
        <charset val="1"/>
      </rPr>
      <t xml:space="preserve">Cotação: </t>
    </r>
    <r>
      <rPr>
        <sz val="9"/>
        <color rgb="FF002060"/>
        <rFont val="Arial"/>
        <family val="0"/>
        <charset val="1"/>
      </rPr>
      <t xml:space="preserve">KSB RAS0051138 Rev. 10 (11/12/2023), item 21: TAG B-3123, MEGACPK 125-100-315, 1 un., Finame 03279333, R$ 88.053,92 sem impostos / R$ 102.853,99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8 (R$ 102.853,99, item 21 da cotação KSB), não da linha 9. </t>
    </r>
  </si>
  <si>
    <t xml:space="preserve">B-3120</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</si>
  <si>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B-3120 BOMBA CENTRIFUGA – local BPAM-SCAR-CET-13-07-01, equip. 000000121967, ABC B.Placa/campo: KSB MCPK 125-100-315 EE, OP M482301628, Q 180 m3/h; 1775 rpm; 163 kg | MOTOR: WEG W22Xd | 200M/L | IPW55 317 kg | 220/380/440 V | 102/59,1/51,0 A | 30 kW / 40 CV | FS 1,00 | 1780 rpm | FP 0,83 | ISOL F | rend 93,0% | Ex db IIB T4 Gb | DNV 18.0055 X.</t>
    </r>
  </si>
  <si>
    <t xml:space="preserve">Q 180 m3/h; 1775 rpm</t>
  </si>
  <si>
    <t xml:space="preserve">OP M482301628</t>
  </si>
  <si>
    <t xml:space="preserve">B-3120 / 000000121967</t>
  </si>
  <si>
    <t xml:space="preserve">Modelo da placa = crítica (125-100-315). Produto do projeto: óleo diesel S10.</t>
  </si>
  <si>
    <t xml:space="preserve">0797-0802</t>
  </si>
  <si>
    <t xml:space="preserve">KSB RAS0051138 Rev. 10 (11/12/2023), item 18: TAG B-3120, MEGACPK 125-100-315, 1 un., Finame 03279333, R$ 88.053,92 sem impostos / R$ 102.853,99 com impostos (ICMS 5,1394 %, PIS/COFINS 9,25 %, IPI 0 %), 150 dias.</t>
  </si>
  <si>
    <t xml:space="preserve">B-3121</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</si>
  <si>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B-3121 BOMBA CENTRIFUGA – local BPAM-SCAR-CET-13-10-01, equip. 000000121988, ABC B.Placa/campo: KSB MCPK 125-100-315 EE, OP M482301629, Q 180 m3/h; H 42 mca; 1775 rpm; 162 kg | MOTOR: WEG W22Xd | 200M/L | IPW55 317 kg | 220/380/440 V | 102/59,1/51,0 A | 30 kW / 40 CV | FS 1,00 | 1780 rpm | FP 0,83 | ISOL F | rend 93,0% | Ex db IIB T4 Gb | DNV 18.0055 X.</t>
    </r>
  </si>
  <si>
    <t xml:space="preserve">Q 180 m3/h; H 42 mca; 1775 rpm</t>
  </si>
  <si>
    <t xml:space="preserve">OP M482301629</t>
  </si>
  <si>
    <t xml:space="preserve">B-3121 / 000000121988</t>
  </si>
  <si>
    <t xml:space="preserve">KSB RAS0051138 Rev. 10 (11/12/2023), item 19: TAG B-3121, MEGACPK 125-100-315, 1 un., Finame 03279333, R$ 87.331,58 sem impostos / R$ 102.010,24 com impostos (ICMS 5,1394 %, PIS/COFINS 9,25 %, IPI 0 %), 150 dias.</t>
  </si>
  <si>
    <t xml:space="preserve">[CORREÇÃO v2: componente da linha 9; na base de 07/10 estava na linha 8] CORREÇÃO: componente da linha 9 (R$ 102.010,24, item 19 da cotação KSB), não da linha 8.</t>
  </si>
  <si>
    <t xml:space="preserve">B-3122</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</si>
  <si>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B-3122 BOMBA CENTRIFUGA – local BPAM-SCAR-CET-13-13-01, equip. 000000122006, ABC B.Placa/campo: KSB MCPK 125-100-315 EE, OP M482301630, Q 180 m3/h; H 39 mca; 1775 rpm; 162 kg | MOTOR: WEG W22Xd | 200M/L | IPW55 317 kg | 220/380/440 V | 102/59,1/51,0 A | 30 kW / 40 CV | FS 1,00 | 1780 rpm | FP 0,83 | ISOL F | rend 93,0% | Ex db IIB T4 Gb | DNV 18.0055 X.</t>
    </r>
  </si>
  <si>
    <t xml:space="preserve">Q 180 m3/h; H 39 mca; 1775 rpm</t>
  </si>
  <si>
    <t xml:space="preserve">OP M482301630</t>
  </si>
  <si>
    <t xml:space="preserve">B-3122 / 000000122006</t>
  </si>
  <si>
    <t xml:space="preserve">Modelo da placa = crítica (125-100-315). Produto do projeto: óleo diesel S500.</t>
  </si>
  <si>
    <t xml:space="preserve">0812-0818</t>
  </si>
  <si>
    <t xml:space="preserve">KSB RAS0051138 Rev. 10 (11/12/2023), item 20: TAG B-3122, MEGACPK 125-100-315, 1 un., Finame 03279333, R$ 88.053,92 sem impostos / R$ 102.853,99 com impostos (ICMS 5,1394 %, PIS/COFINS 9,25 %, IPI 0 %), 150 dias.</t>
  </si>
  <si>
    <t xml:space="preserve">Bomba CETRAN 02 (ferroviário) – 125-100-315 (1 un.)</t>
  </si>
  <si>
    <r>
      <rPr>
        <b val="true"/>
        <sz val="9"/>
        <color rgb="FF000000"/>
        <rFont val="Arial"/>
        <family val="0"/>
        <charset val="1"/>
      </rPr>
      <t xml:space="preserve">Crítica: </t>
    </r>
    <r>
      <rPr>
        <sz val="9"/>
        <color rgb="FF000000"/>
        <rFont val="Arial"/>
        <family val="0"/>
        <charset val="1"/>
      </rPr>
      <t xml:space="preserve">Bomba – KSB megacpk 125-100-315 – 1 un. × R$ 102.010,24 = R$ 102.010,24; fornecedor KSB Brasil Ltda; Finame 03279333.NF: NF 34511 de 10/09/2024 – KSB Brasil Ltda (CNPJ 60.680.873/0009-71): "Conjunto bomba KSB", R$ 1.139.300,87. Atribuição: NF 34511 (decomposição aritmética única).SAP: 1 de 1 TAGs cadastradas: B-3123.Projeto: LI-3100-6105-001: óleo diesel S500; fluxograma DE-3100-1300-007.</t>
    </r>
  </si>
  <si>
    <t xml:space="preserve">Q 180 m³/h; H 39 mca; motor 30 kW</t>
  </si>
  <si>
    <t xml:space="preserve">OP M482301631</t>
  </si>
  <si>
    <t xml:space="preserve">Placa KSB e motor WEG W22Xd 200M/L 30 kW lidos em campo. ANP Fig. 172 sem leitura de placa. B-3120 a B-3123 são idênticas (30 kW); divisão 3 + 1 entre as linhas 8 e 9 pela ordem das TAGs, sem documento.</t>
  </si>
  <si>
    <t xml:space="preserve">Cotação KSB RAS0051138 Rev. 10 (11/12/2023), item 19 – TAG B-3121, KSB MEGACPK 125-100-315, R$ 87.331,58 sem impostos / R$ 102.010,24 com impostos (= linha 9); Finame 03279333.</t>
  </si>
  <si>
    <t xml:space="preserve">CORREÇÃO: a bomba da linha 9 é a B-3121 (cotação KSB item 19, R$ 102.010,24), não a B-3123, que pertence à linha 8 (R$ 102.853,99).</t>
  </si>
  <si>
    <r>
      <rPr>
        <b val="true"/>
        <sz val="9"/>
        <color rgb="FF000000"/>
        <rFont val="Arial"/>
        <family val="0"/>
        <charset val="1"/>
      </rPr>
      <t xml:space="preserve">LINHA 9 – Bomba CETRAN 02 (ferroviário) – 125-100-315 (1 un.) [CONJUNTO]
Crítica: </t>
    </r>
    <r>
      <rPr>
        <sz val="9"/>
        <color rgb="FF000000"/>
        <rFont val="Arial"/>
        <family val="0"/>
        <charset val="1"/>
      </rPr>
      <t xml:space="preserve">Bomba – KSB megacpk 125-100-315 – 1 un. × R$ 102.010,24 = R$ 102.010,24;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1 de 1 TAGs cadastradas: B-3123. </t>
    </r>
    <r>
      <rPr>
        <b val="true"/>
        <sz val="9"/>
        <color rgb="FFB38600"/>
        <rFont val="Arial"/>
        <family val="0"/>
        <charset val="1"/>
      </rPr>
      <t xml:space="preserve">Projeto: </t>
    </r>
    <r>
      <rPr>
        <sz val="9"/>
        <color rgb="FFB38600"/>
        <rFont val="Arial"/>
        <family val="0"/>
        <charset val="1"/>
      </rPr>
      <t xml:space="preserve">LI-3100-6105-001: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R$ 102.010,24.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R$ 102.010,24, total R$ 102.010,24.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mca; motor 30 kW. </t>
    </r>
    <r>
      <rPr>
        <b val="true"/>
        <sz val="9"/>
        <color rgb="FF1F4E9A"/>
        <rFont val="Arial"/>
        <family val="0"/>
        <charset val="1"/>
      </rPr>
      <t xml:space="preserve">Série/OP: </t>
    </r>
    <r>
      <rPr>
        <sz val="9"/>
        <color rgb="FF1F4E9A"/>
        <rFont val="Arial"/>
        <family val="0"/>
        <charset val="1"/>
      </rPr>
      <t xml:space="preserve">OP M482301631.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KSB e motor WEG W22Xd 200M/L 30 kW lidos em campo. ANP Fig. 172 sem leitura de placa. B-3120 a </t>
    </r>
    <r>
      <rPr>
        <strike val="true"/>
        <sz val="9"/>
        <color rgb="FF000000"/>
        <rFont val="Arial"/>
        <family val="0"/>
        <charset val="1"/>
      </rPr>
      <t xml:space="preserve">B-3123</t>
    </r>
    <r>
      <rPr>
        <sz val="9"/>
        <color rgb="FF000000"/>
        <rFont val="Arial"/>
        <family val="0"/>
        <charset val="1"/>
      </rPr>
      <t xml:space="preserve">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19 – TAG B-3121, KSB MEGACPK 125-100-315, R$ 87.331,58 sem impostos / R$ 102.010,24 com impostos (= linha 9); Finame 03279333. 
</t>
    </r>
    <r>
      <rPr>
        <b val="true"/>
        <sz val="9"/>
        <color rgb="FF7030A0"/>
        <rFont val="Arial"/>
        <family val="0"/>
        <charset val="1"/>
      </rPr>
      <t xml:space="preserve">Novo v2 (achados / correções / proposições): </t>
    </r>
    <r>
      <rPr>
        <sz val="9"/>
        <color rgb="FF7030A0"/>
        <rFont val="Arial"/>
        <family val="0"/>
        <charset val="1"/>
      </rPr>
      <t xml:space="preserve">CORREÇÃO: a bomba da linha 9 é a B-3121 (cotação KSB item 19, R$ 102.010,24), não a B-3123, que pertence à linha 8 (R$ 102.853,99). 
</t>
    </r>
    <r>
      <rPr>
        <b val="true"/>
        <sz val="9"/>
        <color rgb="FF000000"/>
        <rFont val="Arial"/>
        <family val="0"/>
        <charset val="1"/>
      </rPr>
      <t xml:space="preserve">COMPONENTES (1):
• B-3121: </t>
    </r>
    <r>
      <rPr>
        <b val="true"/>
        <sz val="9"/>
        <color rgb="FF7030A0"/>
        <rFont val="Arial"/>
        <family val="0"/>
        <charset val="1"/>
      </rPr>
      <t xml:space="preserve">[CORREÇÃO v2: componente da linha 9; na base de 07/10 estava na linha 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B-3121</t>
    </r>
    <r>
      <rPr>
        <sz val="9"/>
        <color rgb="FF00703C"/>
        <rFont val="Arial"/>
        <family val="0"/>
        <charset val="1"/>
      </rPr>
      <t xml:space="preserve"> BOMBA CENTRIFUGA – local BPAM-SCAR-CET-13-10-01, equip. 000000121988, ABC B. </t>
    </r>
    <r>
      <rPr>
        <b val="true"/>
        <sz val="9"/>
        <color rgb="FF1F4E9A"/>
        <rFont val="Arial"/>
        <family val="0"/>
        <charset val="1"/>
      </rPr>
      <t xml:space="preserve">Placa/campo: </t>
    </r>
    <r>
      <rPr>
        <sz val="9"/>
        <color rgb="FF1F4E9A"/>
        <rFont val="Arial"/>
        <family val="0"/>
        <charset val="1"/>
      </rPr>
      <t xml:space="preserve">KSB MCPK 125-100-315 EE, OP M482301629, Q 180 m3/h; H 42 mca; 1775 rpm; 162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0804-0809. </t>
    </r>
    <r>
      <rPr>
        <b val="true"/>
        <sz val="9"/>
        <color rgb="FF002060"/>
        <rFont val="Arial"/>
        <family val="0"/>
        <charset val="1"/>
      </rPr>
      <t xml:space="preserve">Cotação: </t>
    </r>
    <r>
      <rPr>
        <sz val="9"/>
        <color rgb="FF002060"/>
        <rFont val="Arial"/>
        <family val="0"/>
        <charset val="1"/>
      </rPr>
      <t xml:space="preserve">KSB RAS0051138 Rev. 10 (11/12/2023), item 19: TAG B-3121, MEGACPK 125-100-315, 1 un., Finame 03279333, R$ 87.331,58 sem impostos / R$ 102.010,24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9 (R$ 102.010,24, item 19 da cotação KSB), não da linha 8. </t>
    </r>
  </si>
  <si>
    <t xml:space="preserve">B-3123</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</si>
  <si>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B-3123 BOMBA CENTRIFUGA – local BPAM-SCAR-CET-13-16-01, equip. 000000122027, ABC B.Placa/campo: KSB MCPK 125-100-315 EE, OP M482301631, Q 180 m3/h; H 39 mca; 1775 rpm; 162 kg | MOTOR: WEG W22Xd | 200M/L | IPW55 317 kg | 220/380/440 V | 102/59,1/51,0 A | 30 kW / 40 CV | FS 1,00 | 1780 rpm | FP 0,83 | ISOL F | rend 93,0% | Ex db IIB T4 Gb | DNV 18.0055 X.</t>
    </r>
  </si>
  <si>
    <t xml:space="preserve">B-3123 / 000000122027</t>
  </si>
  <si>
    <t xml:space="preserve">0819-0826</t>
  </si>
  <si>
    <t xml:space="preserve">KSB RAS0051138 Rev. 10 (11/12/2023), item 21: TAG B-3123, MEGACPK 125-100-315, 1 un., Finame 03279333, R$ 88.053,92 sem impostos / R$ 102.853,99 com impostos (ICMS 5,1394 %, PIS/COFINS 9,25 %, IPI 0 %), 150 dias.</t>
  </si>
  <si>
    <t xml:space="preserve">[CORREÇÃO v2: componente da linha 8; na base de 07/10 estava na linha 9] CORREÇÃO: componente da linha 8 (R$ 102.853,99, item 21 da cotação KSB), não da linha 9.</t>
  </si>
  <si>
    <t xml:space="preserve">Bombas de efluentes/drenagem – Megaflow V 80-250 K (2 un.)</t>
  </si>
  <si>
    <r>
      <rPr>
        <b val="true"/>
        <sz val="9"/>
        <color rgb="FF000000"/>
        <rFont val="Arial"/>
        <family val="0"/>
        <charset val="1"/>
      </rPr>
      <t xml:space="preserve">Crítica: </t>
    </r>
    <r>
      <rPr>
        <sz val="9"/>
        <color rgb="FF000000"/>
        <rFont val="Arial"/>
        <family val="0"/>
        <charset val="1"/>
      </rPr>
      <t xml:space="preserve">Bomba – KSB megaflow V 80-250 K – 2 un. × R$ 94.086,20 = R$ 188.172,40; fornecedor KSB Brasil Ltda; Finame 03279333.NF: NF 34511 de 10/09/2024 – KSB Brasil Ltda (CNPJ 60.680.873/0009-71): "Conjunto bomba KSB", R$ 1.139.300,87. Atribuição: NF 34511 (decomposição aritmética única).SAP: TAGs não constam na base SAP (seleção).Projeto: LI-3100-6105-001: drenagem; fluxograma DE-3100-1400-002.</t>
    </r>
  </si>
  <si>
    <t xml:space="preserve">megaflow V 80-250 K</t>
  </si>
  <si>
    <t xml:space="preserve">Q 35 m³/h; H 25 mca; motor 15 kW</t>
  </si>
  <si>
    <t xml:space="preserve">OP M502300011 e M502300012</t>
  </si>
  <si>
    <t xml:space="preserve">Placas KSB Megaflow V 80-250 K (verticais) lidas no lote 3 – corrige a ressalva antiga de "bombas subterrâneas sem placa". Não constam na base SAP (seleção). Projeto: drenagem (DE-3100-1400-002).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</si>
  <si>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t>
  </si>
  <si>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t>
  </si>
  <si>
    <r>
      <rPr>
        <b val="true"/>
        <sz val="9"/>
        <color rgb="FF000000"/>
        <rFont val="Arial"/>
        <family val="0"/>
        <charset val="1"/>
      </rPr>
      <t xml:space="preserve">LINHA 10 – Bombas de efluentes/drenagem – Megaflow V 80-250 K (2 un.) [CONJUNTO]
Crítica: </t>
    </r>
    <r>
      <rPr>
        <sz val="9"/>
        <color rgb="FF000000"/>
        <rFont val="Arial"/>
        <family val="0"/>
        <charset val="1"/>
      </rPr>
      <t xml:space="preserve">Bomba – KSB megaflow V 80-250 K – 2 un. × R$ 94.086,20 = R$ 188.172,40;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R$ 188.172,40.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R$ 94.086,20, total R$ 188.172,40.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35 m³/h; H 25 mca; motor 15 kW. </t>
    </r>
    <r>
      <rPr>
        <b val="true"/>
        <sz val="9"/>
        <color rgb="FF1F4E9A"/>
        <rFont val="Arial"/>
        <family val="0"/>
        <charset val="1"/>
      </rPr>
      <t xml:space="preserve">Série/OP: </t>
    </r>
    <r>
      <rPr>
        <sz val="9"/>
        <color rgb="FF1F4E9A"/>
        <rFont val="Arial"/>
        <family val="0"/>
        <charset val="1"/>
      </rPr>
      <t xml:space="preserve">OP M502300011 e M502300012.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Megaflow V 80-250 K (verticais) lidas no lote 3 – corrige a ressalva antiga de "bombas subterrâneas sem placa". Não constam na base SAP (seleção). Projeto: drenagem (</t>
    </r>
    <r>
      <rPr>
        <strike val="true"/>
        <sz val="9"/>
        <color rgb="FF000000"/>
        <rFont val="Arial"/>
        <family val="0"/>
        <charset val="1"/>
      </rPr>
      <t xml:space="preserve">DE-3100-1400-002</t>
    </r>
    <r>
      <rPr>
        <sz val="9"/>
        <color rgb="FF000000"/>
        <rFont val="Arial"/>
        <family val="0"/>
        <charset val="1"/>
      </rPr>
      <t xml:space="preserve">). Dois pares distintos (B-3130/3131: Q 35 m³/h, H 25 mca, 15 kW; B-3132/3133: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 
</t>
    </r>
    <r>
      <rPr>
        <b val="true"/>
        <sz val="9"/>
        <color rgb="FF7030A0"/>
        <rFont val="Arial"/>
        <family val="0"/>
        <charset val="1"/>
      </rPr>
      <t xml:space="preserve">Novo v2 (achados / correções / proposições): </t>
    </r>
    <r>
      <rPr>
        <sz val="9"/>
        <color rgb="FF7030A0"/>
        <rFont val="Arial"/>
        <family val="0"/>
        <charset val="1"/>
      </rPr>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 
</t>
    </r>
    <r>
      <rPr>
        <b val="true"/>
        <sz val="9"/>
        <color rgb="FF000000"/>
        <rFont val="Arial"/>
        <family val="0"/>
        <charset val="1"/>
      </rPr>
      <t xml:space="preserve">COMPONENTES (2):
• B-3130: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MEGAFLOW V 80-250 K (vertical), OP M502300011, Q 35 m3/h; H 25 mca; 1775 rpm; 445 kg (total 650 kg) | MOTOR: WEG 220/380/440 V; 15 kW; 1775 rpm; FS 1,00; REG S1.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0779-0780, 1077-1082.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r>
      <rPr>
        <b val="true"/>
        <sz val="9"/>
        <color rgb="FF000000"/>
        <rFont val="Arial"/>
        <family val="0"/>
        <charset val="1"/>
      </rPr>
      <t xml:space="preserve">• B-3131: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M502300012, Q 35 m3/h; H 25 mca; 1775 rpm; 445 kg | MOTOR: WEG 220/380/440 V; 15 kW; 1775 rpm.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0771-0776, 1083-1086.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</si>
  <si>
    <t xml:space="preserve">B-3130</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</si>
  <si>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M502300011, Q 35 m3/h; H 25 mca; 1775 rpm; 445 kg (total 650 kg) | MOTOR: WEG 220/380/440 V; 15 kW; 1775 rpm; FS 1,00; REG S1.</t>
    </r>
  </si>
  <si>
    <t xml:space="preserve">MEGAFLOW V 80-250 K (vertical)</t>
  </si>
  <si>
    <t xml:space="preserve">Q 35 m3/h; H 25 mca; 1775 rpm</t>
  </si>
  <si>
    <t xml:space="preserve">OP M502300011</t>
  </si>
  <si>
    <t xml:space="preserve">Modelo da placa = crítica (megaflow V 80-250 K). Projeto: bomba de drenagem (recalque 3"). Sem cadastro SAP.</t>
  </si>
  <si>
    <t xml:space="preserve">0779-0780, 1077-1082</t>
  </si>
  <si>
    <t xml:space="preserve">KSB RAS0051138 Rev. 10, item 22: TAGs B-3130 / B-3131, MEGAFLOW V 80-250 K, R$ 80.547,76 sem impostos / R$ 94.086,20 com impostos por unidade.</t>
  </si>
  <si>
    <t xml:space="preserve">B-3131</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</si>
  <si>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M502300012, Q 35 m3/h; H 25 mca; 1775 rpm; 445 kg | MOTOR: WEG 220/380/440 V; 15 kW; 1775 rpm.</t>
    </r>
  </si>
  <si>
    <t xml:space="preserve">OP M502300012</t>
  </si>
  <si>
    <t xml:space="preserve">0771-0776, 1083-1086</t>
  </si>
  <si>
    <r>
      <rPr>
        <b val="true"/>
        <sz val="9"/>
        <color rgb="FF000000"/>
        <rFont val="Arial"/>
        <family val="0"/>
        <charset val="1"/>
      </rPr>
      <t xml:space="preserve">Crítica: </t>
    </r>
    <r>
      <rPr>
        <sz val="9"/>
        <color rgb="FF000000"/>
        <rFont val="Arial"/>
        <family val="0"/>
        <charset val="1"/>
      </rPr>
      <t xml:space="preserve">Bomba – KSB megaflow V 80-250 K – 2 un. × R$ 81.243,34 = R$ 162.486,68; fornecedor KSB Brasil Ltda; Finame 02171533.NF: NF 543048 de 09/09/2024 – KSB Brasil Ltda (CNPJ 60.680.873/0001-14): "Bomba Megaflow V80-250K", R$ 233.546,68. Atribuição: por descrição (Megaflow); excede a linha em R$ 71.060,00.SAP: TAGs não constam na base SAP (seleção).Projeto: LI-3100-6105-001: drenagem; fluxograma DE-3100-1400-002.</t>
    </r>
  </si>
  <si>
    <t xml:space="preserve">Q 50 m³/h; H 10 mca</t>
  </si>
  <si>
    <t xml:space="preserve">OP M502300013 e M502300014</t>
  </si>
  <si>
    <t xml:space="preserve">543048</t>
  </si>
  <si>
    <t xml:space="preserve">09/09/2024</t>
  </si>
  <si>
    <t xml:space="preserve">por descrição (Megaflow); excede a linha em R$ 71.060,00</t>
  </si>
  <si>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</si>
  <si>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23 – TAGs B-3132 / B-3133, KSB MEGAFLOW V 80-250 K, 2 un., R$ 69.552,91 sem impostos / R$ 81.243,34 com impostos cada = R$ 162.486,68 (= linha 11); Finame 03279333 (a crítica cita Finame 02171533).</t>
  </si>
  <si>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t>
  </si>
  <si>
    <r>
      <rPr>
        <b val="true"/>
        <sz val="9"/>
        <color rgb="FF000000"/>
        <rFont val="Arial"/>
        <family val="0"/>
        <charset val="1"/>
      </rPr>
      <t xml:space="preserve">LINHA 11 – Bombas de efluentes/drenagem – Megaflow V 80-250 K (2 un.) [CONJUNTO]
Crítica: </t>
    </r>
    <r>
      <rPr>
        <sz val="9"/>
        <color rgb="FF000000"/>
        <rFont val="Arial"/>
        <family val="0"/>
        <charset val="1"/>
      </rPr>
      <t xml:space="preserve">Bomba – KSB megaflow V 80-250 K – 2 un. × R$ 81.243,34 = R$ 162.486,68; fornecedor KSB Brasil Ltda; Finame 02171533. </t>
    </r>
    <r>
      <rPr>
        <b val="true"/>
        <sz val="9"/>
        <color rgb="FFC00000"/>
        <rFont val="Arial"/>
        <family val="0"/>
        <charset val="1"/>
      </rPr>
      <t xml:space="preserve">NF: </t>
    </r>
    <r>
      <rPr>
        <sz val="9"/>
        <color rgb="FFC00000"/>
        <rFont val="Arial"/>
        <family val="0"/>
        <charset val="1"/>
      </rPr>
      <t xml:space="preserve">NF 543048 de 09/09/2024 – </t>
    </r>
    <r>
      <rPr>
        <strike val="true"/>
        <sz val="9"/>
        <color rgb="FFC00000"/>
        <rFont val="Arial"/>
        <family val="0"/>
        <charset val="1"/>
      </rPr>
      <t xml:space="preserve">KSB Brasil Ltda</t>
    </r>
    <r>
      <rPr>
        <sz val="9"/>
        <color rgb="FFC00000"/>
        <rFont val="Arial"/>
        <family val="0"/>
        <charset val="1"/>
      </rPr>
      <t xml:space="preserve"> (CNPJ 60.680.873/0001-14): "Bomba Megaflow V80-250K", R$ 233.546,68. Atribuição: por descrição (Megaflow); excede a linha em R$ 71.060,00.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543048 de 09/09/2024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R$ 233.546,68. </t>
    </r>
    <r>
      <rPr>
        <b val="true"/>
        <sz val="9"/>
        <color rgb="FF000000"/>
        <rFont val="Arial"/>
        <family val="0"/>
        <charset val="1"/>
      </rPr>
      <t xml:space="preserve">Atribuição: </t>
    </r>
    <r>
      <rPr>
        <sz val="9"/>
        <color rgb="FF000000"/>
        <rFont val="Arial"/>
        <family val="0"/>
        <charset val="1"/>
      </rPr>
      <t xml:space="preserve">por descrição (Megaflow); excede a linha em R$ 71.060,00. </t>
    </r>
    <r>
      <rPr>
        <b val="true"/>
        <sz val="9"/>
        <color rgb="FF000000"/>
        <rFont val="Arial"/>
        <family val="0"/>
        <charset val="1"/>
      </rPr>
      <t xml:space="preserve">Crítica (colunas N-P): </t>
    </r>
    <r>
      <rPr>
        <sz val="9"/>
        <color rgb="FF000000"/>
        <rFont val="Arial"/>
        <family val="0"/>
        <charset val="1"/>
      </rPr>
      <t xml:space="preserve">qtd 2, unitário R$ 81.243,34, total R$ 162.486,68.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50 m³/h; H 10 mca. </t>
    </r>
    <r>
      <rPr>
        <b val="true"/>
        <sz val="9"/>
        <color rgb="FF1F4E9A"/>
        <rFont val="Arial"/>
        <family val="0"/>
        <charset val="1"/>
      </rPr>
      <t xml:space="preserve">Série/OP: </t>
    </r>
    <r>
      <rPr>
        <sz val="9"/>
        <color rgb="FF1F4E9A"/>
        <rFont val="Arial"/>
        <family val="0"/>
        <charset val="1"/>
      </rPr>
      <t xml:space="preserve">OP M502300013 e M502300014.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23 – TAGs B-3132 / B-3133, KSB MEGAFLOW V 80-250 K, 2 un., R$ 69.552,91 sem impostos / R$ 81.243,34 com impostos cada = R$ 162.486,68 (= linha 11); Finame 03279333 (a crítica cita Finame 02171533). 
</t>
    </r>
    <r>
      <rPr>
        <b val="true"/>
        <sz val="9"/>
        <color rgb="FF7030A0"/>
        <rFont val="Arial"/>
        <family val="0"/>
        <charset val="1"/>
      </rPr>
      <t xml:space="preserve">Novo v2 (achados / correções / proposições): </t>
    </r>
    <r>
      <rPr>
        <sz val="9"/>
        <color rgb="FF7030A0"/>
        <rFont val="Arial"/>
        <family val="0"/>
        <charset val="1"/>
      </rPr>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 
</t>
    </r>
    <r>
      <rPr>
        <b val="true"/>
        <sz val="9"/>
        <color rgb="FF000000"/>
        <rFont val="Arial"/>
        <family val="0"/>
        <charset val="1"/>
      </rPr>
      <t xml:space="preserve">COMPONENTES (2):
• B-3132: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MEGAFLOW V 80-250 K (vertical), OP M502300013,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0177-0179, 1047, 1048, 1052-1056.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r>
      <rPr>
        <b val="true"/>
        <sz val="9"/>
        <color rgb="FF000000"/>
        <rFont val="Arial"/>
        <family val="0"/>
        <charset val="1"/>
      </rPr>
      <t xml:space="preserve">• B-3133: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M502300014,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0175, 0176, 1049-1051.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</si>
  <si>
    <t xml:space="preserve">B-3132</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</si>
  <si>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M502300013, Q 50 m3/h; H 10 mca; 1740 rpm; 570 kg (total 650 kg).</t>
    </r>
  </si>
  <si>
    <t xml:space="preserve">Q 50 m3/h; H 10 mca; 1740 rpm</t>
  </si>
  <si>
    <t xml:space="preserve">OP M502300013</t>
  </si>
  <si>
    <t xml:space="preserve">0177-0179, 1047, 1048, 1052-1056</t>
  </si>
  <si>
    <t xml:space="preserve">KSB RAS0051138 Rev. 10, item 23: TAGs B-3132 / B-3133, MEGAFLOW V 80-250 K, R$ 69.552,91 sem impostos / R$ 81.243,34 com impostos por unidade.</t>
  </si>
  <si>
    <t xml:space="preserve">B-3133</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</si>
  <si>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M502300014, Q 50 m3/h; H 10 mca; 1740 rpm; 570 kg (total 650 kg).</t>
    </r>
  </si>
  <si>
    <t xml:space="preserve">OP M502300014</t>
  </si>
  <si>
    <t xml:space="preserve">0175, 0176, 1049-1051</t>
  </si>
  <si>
    <t xml:space="preserve">Bomba do sistema de água dos chuveiros de emergência – 050-032-200.1 (B-31100)</t>
  </si>
  <si>
    <r>
      <rPr>
        <b val="true"/>
        <sz val="9"/>
        <color rgb="FF000000"/>
        <rFont val="Arial"/>
        <family val="0"/>
        <charset val="1"/>
      </rPr>
      <t xml:space="preserve">Crítica: </t>
    </r>
    <r>
      <rPr>
        <sz val="9"/>
        <color rgb="FF000000"/>
        <rFont val="Arial"/>
        <family val="0"/>
        <charset val="1"/>
      </rPr>
      <t xml:space="preserve">Bomba – KSB megacpk 050-032-200.1 – 1 un. × R$ 76.802,33 = R$ 76.802,33; fornecedor KSB Brasil Ltda; Finame 02171533.NF: NF 34370 de 15/08/2024 – KSB Brasil Ltda (CNPJ 60.680.873/0009-71): "Bomba KSB", R$ 1.328.703,93. Atribuição: NF 34370 (decomposição aritmética única).SAP: TAGs não constam na base SAP (seleção).Projeto: LI-3100-6107-001: B-31100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t>
    </r>
  </si>
  <si>
    <t xml:space="preserve">050-032-200.1</t>
  </si>
  <si>
    <t xml:space="preserve">Q 10 m³/h; H 57 mca; 3554 rpm</t>
  </si>
  <si>
    <t xml:space="preserve">OP M482301632</t>
  </si>
  <si>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t>
  </si>
  <si>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t>
  </si>
  <si>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t>
  </si>
  <si>
    <r>
      <rPr>
        <b val="true"/>
        <sz val="9"/>
        <color rgb="FF000000"/>
        <rFont val="Arial"/>
        <family val="0"/>
        <charset val="1"/>
      </rPr>
      <t xml:space="preserve">LINHA 12 – Bomba do sistema de água dos chuveiros de emergência – 050-032-200.1 (B-31100) [CONJUNTO]
Crítica: </t>
    </r>
    <r>
      <rPr>
        <sz val="9"/>
        <color rgb="FF000000"/>
        <rFont val="Arial"/>
        <family val="0"/>
        <charset val="1"/>
      </rPr>
      <t xml:space="preserve">Bomba – KSB megacpk 050-032-200.1 – 1 un. × R$ 76.802,33 = R$ 76.802,33; fornecedor KSB Brasil Ltda; Finame 02171533.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LI-3100-6107-001: </t>
    </r>
    <r>
      <rPr>
        <strike val="true"/>
        <sz val="9"/>
        <color rgb="FFB38600"/>
        <rFont val="Arial"/>
        <family val="0"/>
        <charset val="1"/>
      </rPr>
      <t xml:space="preserve">B-31100</t>
    </r>
    <r>
      <rPr>
        <sz val="9"/>
        <color rgb="FFB38600"/>
        <rFont val="Arial"/>
        <family val="0"/>
        <charset val="1"/>
      </rPr>
      <t xml:space="preserve">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R$ 76.802,33.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R$ 76.802,33, total R$ 76.802,33.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050-032-200.1. </t>
    </r>
    <r>
      <rPr>
        <b val="true"/>
        <sz val="9"/>
        <color rgb="FF1F4E9A"/>
        <rFont val="Arial"/>
        <family val="0"/>
        <charset val="1"/>
      </rPr>
      <t xml:space="preserve">Capacidade: </t>
    </r>
    <r>
      <rPr>
        <sz val="9"/>
        <color rgb="FF1F4E9A"/>
        <rFont val="Arial"/>
        <family val="0"/>
        <charset val="1"/>
      </rPr>
      <t xml:space="preserve">Q 10 m³/h; H 57 mca; 3554 rpm. </t>
    </r>
    <r>
      <rPr>
        <b val="true"/>
        <sz val="9"/>
        <color rgb="FF1F4E9A"/>
        <rFont val="Arial"/>
        <family val="0"/>
        <charset val="1"/>
      </rPr>
      <t xml:space="preserve">Série/OP: </t>
    </r>
    <r>
      <rPr>
        <sz val="9"/>
        <color rgb="FF1F4E9A"/>
        <rFont val="Arial"/>
        <family val="0"/>
        <charset val="1"/>
      </rPr>
      <t xml:space="preserve">OP M482301632.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 
</t>
    </r>
    <r>
      <rPr>
        <b val="true"/>
        <sz val="9"/>
        <color rgb="FF7030A0"/>
        <rFont val="Arial"/>
        <family val="0"/>
        <charset val="1"/>
      </rPr>
      <t xml:space="preserve">Novo v2 (achados / correções / proposições): </t>
    </r>
    <r>
      <rPr>
        <sz val="9"/>
        <color rgb="FF7030A0"/>
        <rFont val="Arial"/>
        <family val="0"/>
        <charset val="1"/>
      </rPr>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 
</t>
    </r>
    <r>
      <rPr>
        <b val="true"/>
        <sz val="9"/>
        <color rgb="FF000000"/>
        <rFont val="Arial"/>
        <family val="0"/>
        <charset val="1"/>
      </rPr>
      <t xml:space="preserve">COMPONENTES (1):
• B-31100: </t>
    </r>
    <r>
      <rPr>
        <b val="true"/>
        <sz val="9"/>
        <color rgb="FFB38600"/>
        <rFont val="Arial"/>
        <family val="0"/>
        <charset val="1"/>
      </rPr>
      <t xml:space="preserve">Projeto: </t>
    </r>
    <r>
      <rPr>
        <strike val="true"/>
        <sz val="9"/>
        <color rgb="FFB38600"/>
        <rFont val="Arial"/>
        <family val="0"/>
        <charset val="1"/>
      </rPr>
      <t xml:space="preserve">LI-3100-6107</t>
    </r>
    <r>
      <rPr>
        <sz val="9"/>
        <color rgb="FFB38600"/>
        <rFont val="Arial"/>
        <family val="0"/>
        <charset val="1"/>
      </rPr>
      <t xml:space="preserve">: Q 10,0 m³/h, AMT 57 mca, 3500 rpm, 7,5 cv (</t>
    </r>
    <r>
      <rPr>
        <strike val="true"/>
        <sz val="9"/>
        <color rgb="FFB38600"/>
        <rFont val="Arial"/>
        <family val="0"/>
        <charset val="1"/>
      </rPr>
      <t xml:space="preserve">FD-3100-2500-028</t>
    </r>
    <r>
      <rPr>
        <sz val="9"/>
        <color rgb="FFB38600"/>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t>
    </r>
    <r>
      <rPr>
        <strike val="true"/>
        <sz val="9"/>
        <color rgb="FF1F4E9A"/>
        <rFont val="Arial"/>
        <family val="0"/>
        <charset val="1"/>
      </rPr>
      <t xml:space="preserve">MCPK 50-32-200.1 GG</t>
    </r>
    <r>
      <rPr>
        <sz val="9"/>
        <color rgb="FF1F4E9A"/>
        <rFont val="Arial"/>
        <family val="0"/>
        <charset val="1"/>
      </rPr>
      <t xml:space="preserve">, OP M482301632, Q 10 m³/h, H 57 mca, 3554 rpm, 50 kg; botoeira "BOMBA 3160". </t>
    </r>
    <r>
      <rPr>
        <b val="true"/>
        <sz val="9"/>
        <color rgb="FF000000"/>
        <rFont val="Arial"/>
        <family val="0"/>
        <charset val="1"/>
      </rPr>
      <t xml:space="preserve">Obs.: </t>
    </r>
    <r>
      <rPr>
        <sz val="9"/>
        <color rgb="FF000000"/>
        <rFont val="Arial"/>
        <family val="0"/>
        <charset val="1"/>
      </rPr>
      <t xml:space="preserve">Placa = lista de itens especiais (vazão e altura idênticas). Motor e painel do skid não lidos. </t>
    </r>
    <r>
      <rPr>
        <b val="true"/>
        <sz val="9"/>
        <color rgb="FF000000"/>
        <rFont val="Arial"/>
        <family val="0"/>
        <charset val="1"/>
      </rPr>
      <t xml:space="preserve">Fotos: </t>
    </r>
    <r>
      <rPr>
        <sz val="9"/>
        <color rgb="FF000000"/>
        <rFont val="Arial"/>
        <family val="0"/>
        <charset val="1"/>
      </rPr>
      <t xml:space="preserve">1029-1038. </t>
    </r>
    <r>
      <rPr>
        <b val="true"/>
        <sz val="9"/>
        <color rgb="FF002060"/>
        <rFont val="Arial"/>
        <family val="0"/>
        <charset val="1"/>
      </rPr>
      <t xml:space="preserve">Cotação: </t>
    </r>
    <r>
      <rPr>
        <sz val="9"/>
        <color rgb="FF002060"/>
        <rFont val="Arial"/>
        <family val="0"/>
        <charset val="1"/>
      </rPr>
      <t xml:space="preserve">KSB RAS0051138 Rev. 10, item 24: TAG "H-31100", MEGACPK 050-032-200.1, R$ 63.557,05 sem impostos / R$ 76.802,33 com IPI 3,25 %; fornecida em skid com painel, inversor, tanque de expansão, pressostato, válvulas e manômetro; motor W22 IR3 Premium (área não classificada). </t>
    </r>
    <r>
      <rPr>
        <b val="true"/>
        <sz val="9"/>
        <color rgb="FF7030A0"/>
        <rFont val="Arial"/>
        <family val="0"/>
        <charset val="1"/>
      </rPr>
      <t xml:space="preserve">Novo v2: </t>
    </r>
    <r>
      <rPr>
        <sz val="9"/>
        <color rgb="FF7030A0"/>
        <rFont val="Arial"/>
        <family val="0"/>
        <charset val="1"/>
      </rPr>
      <t xml:space="preserve">TAG tripla: H-31100 (cotação KSB) = B-31100 (LI-3100-6107) = "BOMBA 3160" (botoeira). O skid inclui painel, inversor, tanque de expansão, pressostato e válvulas por contrato. </t>
    </r>
  </si>
  <si>
    <t xml:space="preserve">B-31100</t>
  </si>
  <si>
    <r>
      <rPr>
        <b val="true"/>
        <sz val="9"/>
        <color rgb="FFB38600"/>
        <rFont val="Arial"/>
        <family val="0"/>
        <charset val="1"/>
      </rPr>
      <t xml:space="preserve">Projeto: </t>
    </r>
    <r>
      <rPr>
        <sz val="9"/>
        <color rgb="FFB38600"/>
        <rFont val="Arial"/>
        <family val="0"/>
        <charset val="1"/>
      </rPr>
      <t xml:space="preserve">LI-3100-6107: Q 10,0 m³/h, AMT 57 mca, 3500 rpm, 7,5 cv (FD-3100-2500-028).Placa/campo: KSB MCPK 50-32-200.1 GG, OP M482301632, Q 10 m³/h, H 57 mca, 3554 rpm, 50 kg; botoeira "BOMBA 3160".</t>
    </r>
  </si>
  <si>
    <t xml:space="preserve">MCPK 50-32-200.1 GG</t>
  </si>
  <si>
    <t xml:space="preserve">Placa = lista de itens especiais (vazão e altura idênticas). Motor e painel do skid não lidos.</t>
  </si>
  <si>
    <t xml:space="preserve">KSB RAS0051138 Rev. 10, item 24: TAG "H-31100", MEGACPK 050-032-200.1, R$ 63.557,05 sem impostos / R$ 76.802,33 com IPI 3,25 %; fornecida em skid com painel, inversor, tanque de expansão, pressostato, válvulas e manômetro; motor W22 IR3 Premium (área não classificada).</t>
  </si>
  <si>
    <t xml:space="preserve">TAG tripla: H-31100 (cotação KSB) = B-31100 (LI-3100-6107) = "BOMBA 3160" (botoeira). O skid inclui painel, inversor, tanque de expansão, pressostato e válvulas por contrato.</t>
  </si>
  <si>
    <t xml:space="preserve">Bombas de descarga rodoviária – 125-100-250 (B-3124 e B-3125)</t>
  </si>
  <si>
    <r>
      <rPr>
        <b val="true"/>
        <sz val="9"/>
        <color rgb="FF000000"/>
        <rFont val="Arial"/>
        <family val="0"/>
        <charset val="1"/>
      </rPr>
      <t xml:space="preserve">Crítica: </t>
    </r>
    <r>
      <rPr>
        <sz val="9"/>
        <color rgb="FF000000"/>
        <rFont val="Arial"/>
        <family val="0"/>
        <charset val="1"/>
      </rPr>
      <t xml:space="preserve">Bomba – KSB megacpk 125-100-250 – 2 un. × R$ 80.053,43 = R$ 160.106,86; fornecedor KSB Brasil Ltda; Finame 03279333.NF: NF 34370 de 15/08/2024 – KSB Brasil Ltda (CNPJ 60.680.873/0009-71): "Bomba KSB", R$ 1.328.703,93. Atribuição: NF 34370 (decomposição aritmética única).SAP: 2 de 2 TAGs cadastradas: B-3124, B-3125.Projeto: LI-3100-6105-001: HC (descarga); fluxograma DE-3100-1300-003.</t>
    </r>
  </si>
  <si>
    <t xml:space="preserve">125-100-250</t>
  </si>
  <si>
    <t xml:space="preserve">Q 140,82 m³/h; H 33,19 mca; 1721 rpm (ANP)</t>
  </si>
  <si>
    <t xml:space="preserve">OP M482301633 e M482301634</t>
  </si>
  <si>
    <t xml:space="preserve">Placas (campo e ANP Fig. 177/178): MCPK 125-100-250 EE, OP M482301633/34, H 33,19 mca, 1721 rpm. Campo leu "Q 82" (parcial) e peso 140 kg na B-3124; ANP lê Q 140,82 m³/h e 131 kg. Serviço: o projeto (LI-6105, produto HC, DE-3100-1300-003)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t>
  </si>
  <si>
    <t xml:space="preserve">Cotação KSB RAS0051138 Rev. 10 (11/12/2023), item 25 – TAGs B-3124/25, KSB MEGACPK 125-100-250, 2 un., R$ 68.534,22 sem impostos / R$ 80.053,43 com impostos cada = R$ 160.106,86 (= linha 13); Finame 03279333; mesmo escopo MEGACPK da linha 4.</t>
  </si>
  <si>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t>
  </si>
  <si>
    <r>
      <rPr>
        <b val="true"/>
        <sz val="9"/>
        <color rgb="FF000000"/>
        <rFont val="Arial"/>
        <family val="0"/>
        <charset val="1"/>
      </rPr>
      <t xml:space="preserve">LINHA 13 – Bombas de descarga rodoviária – 125-100-250 (B-3124 e B-3125) [CONJUNTO]
Crítica: </t>
    </r>
    <r>
      <rPr>
        <sz val="9"/>
        <color rgb="FF000000"/>
        <rFont val="Arial"/>
        <family val="0"/>
        <charset val="1"/>
      </rPr>
      <t xml:space="preserve">Bomba – KSB megacpk 125-100-250 – 2 un. × R$ 80.053,43 = R$ 160.106,86;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2 de 2 TAGs cadastradas: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B-3125</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HC (descarga); fluxograma DE-3100-1300-003.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R$ 160.106,86.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R$ 80.053,43, total R$ 160.106,86.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125-100-250. </t>
    </r>
    <r>
      <rPr>
        <b val="true"/>
        <sz val="9"/>
        <color rgb="FF1F4E9A"/>
        <rFont val="Arial"/>
        <family val="0"/>
        <charset val="1"/>
      </rPr>
      <t xml:space="preserve">Capacidade: </t>
    </r>
    <r>
      <rPr>
        <sz val="9"/>
        <color rgb="FF1F4E9A"/>
        <rFont val="Arial"/>
        <family val="0"/>
        <charset val="1"/>
      </rPr>
      <t xml:space="preserve">Q 140,82 m³/h; H 33,19 mca; 1721 rpm (ANP). </t>
    </r>
    <r>
      <rPr>
        <b val="true"/>
        <sz val="9"/>
        <color rgb="FF1F4E9A"/>
        <rFont val="Arial"/>
        <family val="0"/>
        <charset val="1"/>
      </rPr>
      <t xml:space="preserve">Série/OP: </t>
    </r>
    <r>
      <rPr>
        <sz val="9"/>
        <color rgb="FF1F4E9A"/>
        <rFont val="Arial"/>
        <family val="0"/>
        <charset val="1"/>
      </rPr>
      <t xml:space="preserve">OP M482301633 e M482301634.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(campo e ANP Fig. 177/178): MCPK 125-100-250 EE, OP M482301633/34, H 33,19 mca, 1721 rpm. Campo leu "Q 82" (parcial) e peso 140 kg na </t>
    </r>
    <r>
      <rPr>
        <strike val="true"/>
        <sz val="9"/>
        <color rgb="FF000000"/>
        <rFont val="Arial"/>
        <family val="0"/>
        <charset val="1"/>
      </rPr>
      <t xml:space="preserve">B-3124</t>
    </r>
    <r>
      <rPr>
        <sz val="9"/>
        <color rgb="FF000000"/>
        <rFont val="Arial"/>
        <family val="0"/>
        <charset val="1"/>
      </rPr>
      <t xml:space="preserve">; ANP lê Q 140,82 m³/h e 131 kg. Serviço: o projeto (LI-6105, produto HC, </t>
    </r>
    <r>
      <rPr>
        <strike val="true"/>
        <sz val="9"/>
        <color rgb="FF000000"/>
        <rFont val="Arial"/>
        <family val="0"/>
        <charset val="1"/>
      </rPr>
      <t xml:space="preserve">DE-3100-1300-003</t>
    </r>
    <r>
      <rPr>
        <sz val="9"/>
        <color rgb="FF000000"/>
        <rFont val="Arial"/>
        <family val="0"/>
        <charset val="1"/>
      </rPr>
      <t xml:space="preserve">)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25 – TAGs B-3124/25, KSB MEGACPK 125-100-250, 2 un., R$ 68.534,22 sem impostos / R$ 80.053,43 com impostos cada = R$ 160.106,86 (= linha 13);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 
</t>
    </r>
    <r>
      <rPr>
        <b val="true"/>
        <sz val="9"/>
        <color rgb="FF000000"/>
        <rFont val="Arial"/>
        <family val="0"/>
        <charset val="1"/>
      </rPr>
      <t xml:space="preserve">COMPONENTES (2):
• B-3124: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HC (descarga); sucção 6", recalque 6"; fluxograma </t>
    </r>
    <r>
      <rPr>
        <strike val="true"/>
        <sz val="9"/>
        <color rgb="FFB38600"/>
        <rFont val="Arial"/>
        <family val="0"/>
        <charset val="1"/>
      </rPr>
      <t xml:space="preserve">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BPAM-SCAR-PTM-10-01-19, equip. 000000122667, ABC B. </t>
    </r>
    <r>
      <rPr>
        <b val="true"/>
        <sz val="9"/>
        <color rgb="FF1F4E9A"/>
        <rFont val="Arial"/>
        <family val="0"/>
        <charset val="1"/>
      </rPr>
      <t xml:space="preserve">Placa/campo: </t>
    </r>
    <r>
      <rPr>
        <sz val="9"/>
        <color rgb="FF1F4E9A"/>
        <rFont val="Arial"/>
        <family val="0"/>
        <charset val="1"/>
      </rPr>
      <t xml:space="preserve">ANP Fig. 177: KSB </t>
    </r>
    <r>
      <rPr>
        <strike val="true"/>
        <sz val="9"/>
        <color rgb="FF1F4E9A"/>
        <rFont val="Arial"/>
        <family val="0"/>
        <charset val="1"/>
      </rPr>
      <t xml:space="preserve">MCPK 125-100-250 EE</t>
    </r>
    <r>
      <rPr>
        <sz val="9"/>
        <color rgb="FF1F4E9A"/>
        <rFont val="Arial"/>
        <family val="0"/>
        <charset val="1"/>
      </rPr>
      <t xml:space="preserve">, OP M482301633, Q 140,82 m3/h, H 33,19 mca, 1721 rpm, 131 kg, ano 2024; campo: </t>
    </r>
    <r>
      <rPr>
        <strike val="true"/>
        <sz val="9"/>
        <color rgb="FF1F4E9A"/>
        <rFont val="Arial"/>
        <family val="0"/>
        <charset val="1"/>
      </rPr>
      <t xml:space="preserve">MCPK 125-100-250 EE</t>
    </r>
    <r>
      <rPr>
        <sz val="9"/>
        <color rgb="FF1F4E9A"/>
        <rFont val="Arial"/>
        <family val="0"/>
        <charset val="1"/>
      </rPr>
      <t xml:space="preserve"> | OP M482301633 | Q 82 m3/h; H 33,19 mca; 1721 rpm; 140 kg | Carregamento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125-100-250 EE</t>
    </r>
    <r>
      <rPr>
        <sz val="9"/>
        <color rgb="FF000000"/>
        <rFont val="Arial"/>
        <family val="0"/>
        <charset val="1"/>
      </rPr>
      <t xml:space="preserve">) = crítica (125-100-250). OP confere campo × ANP. Serviço em campo "Carregamento" × lista de linhas "HC (descarga)". Confronto campo×ANP: N – OP confere. Q campo 82 x ANP 140,82 m3/h (campo leu so a parte decimal); peso campo 140 kg x ANP 131 kg. Fabricação 2024 compatível com NF de 2024. </t>
    </r>
    <r>
      <rPr>
        <b val="true"/>
        <sz val="9"/>
        <color rgb="FF000000"/>
        <rFont val="Arial"/>
        <family val="0"/>
        <charset val="1"/>
      </rPr>
      <t xml:space="preserve">Fotos: </t>
    </r>
    <r>
      <rPr>
        <sz val="9"/>
        <color rgb="FF000000"/>
        <rFont val="Arial"/>
        <family val="0"/>
        <charset val="1"/>
      </rPr>
      <t xml:space="preserve">0273-0275 | </t>
    </r>
    <r>
      <rPr>
        <strike val="true"/>
        <sz val="9"/>
        <color rgb="FF000000"/>
        <rFont val="Arial"/>
        <family val="0"/>
        <charset val="1"/>
      </rPr>
      <t xml:space="preserve">ANP Fig. 177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A" do skid 14d (ANP Fig. 175); comprada da KSB (item 25). 
</t>
    </r>
    <r>
      <rPr>
        <b val="true"/>
        <sz val="9"/>
        <color rgb="FF000000"/>
        <rFont val="Arial"/>
        <family val="0"/>
        <charset val="1"/>
      </rPr>
      <t xml:space="preserve">• B-3125: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HC (descarga); sucção 6", recalque 6"; fluxograma </t>
    </r>
    <r>
      <rPr>
        <strike val="true"/>
        <sz val="9"/>
        <color rgb="FFB38600"/>
        <rFont val="Arial"/>
        <family val="0"/>
        <charset val="1"/>
      </rPr>
      <t xml:space="preserve">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B-3125</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BPAM-SCAR-PTM-10-04-19, equip. 000000122691,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178: </t>
    </r>
    <r>
      <rPr>
        <strike val="true"/>
        <sz val="9"/>
        <color rgb="FF1F4E9A"/>
        <rFont val="Arial"/>
        <family val="0"/>
        <charset val="1"/>
      </rPr>
      <t xml:space="preserve">KSB MCPK 125-100-250 EE</t>
    </r>
    <r>
      <rPr>
        <sz val="9"/>
        <color rgb="FF1F4E9A"/>
        <rFont val="Arial"/>
        <family val="0"/>
        <charset val="1"/>
      </rPr>
      <t xml:space="preserve">, OP M482301634, Q 140,82 m3/h, H 33,19 mca, 1721 rpm, 131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125-100-250 EE</t>
    </r>
    <r>
      <rPr>
        <sz val="9"/>
        <color rgb="FF1F4E9A"/>
        <rFont val="Arial"/>
        <family val="0"/>
        <charset val="1"/>
      </rPr>
      <t xml:space="preserve"> | OP M482301634 | Q 82 m3/h; H 33,19 mca; 1721 rpm; 131 kg | Carregamento </t>
    </r>
    <r>
      <rPr>
        <b val="true"/>
        <sz val="9"/>
        <color rgb="FF000000"/>
        <rFont val="Arial"/>
        <family val="0"/>
        <charset val="1"/>
      </rPr>
      <t xml:space="preserve">Obs.: </t>
    </r>
    <r>
      <rPr>
        <strike val="true"/>
        <sz val="9"/>
        <color rgb="FF000000"/>
        <rFont val="Arial"/>
        <family val="0"/>
        <charset val="1"/>
      </rPr>
      <t xml:space="preserve">Modelo da placa (MCPK 125-100-250 EE) = crítica (125-100-250).</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"Carregamento" × lista de linhas "HC (descarga)". </t>
    </r>
    <r>
      <rPr>
        <strike val="true"/>
        <sz val="9"/>
        <color rgb="FF000000"/>
        <rFont val="Arial"/>
        <family val="0"/>
        <charset val="1"/>
      </rPr>
      <t xml:space="preserve">Confronto campo×ANP: N – OP confere.</t>
    </r>
    <r>
      <rPr>
        <sz val="9"/>
        <color rgb="FF000000"/>
        <rFont val="Arial"/>
        <family val="0"/>
        <charset val="1"/>
      </rPr>
      <t xml:space="preserve"> Q campo 82 x ANP 140,82 m3/h (campo leu so a parte decimal); peso campo 131 kg x ANP 131 kg.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0263-0266 | </t>
    </r>
    <r>
      <rPr>
        <strike val="true"/>
        <sz val="9"/>
        <color rgb="FF000000"/>
        <rFont val="Arial"/>
        <family val="0"/>
        <charset val="1"/>
      </rPr>
      <t xml:space="preserve">ANP Fig. 178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B" do skid 14d (ANP Fig. 176); comprada da KSB (item 25). </t>
    </r>
  </si>
  <si>
    <t xml:space="preserve">B-3124</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</si>
  <si>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B-3124 BOMBA CENTRIFUGA DESCARREG – local BPAM-SCAR-PTM-10-01-19, equip. 000000122667, ABC B.Placa/campo: ANP Fig. 177: KSB MCPK 125-100-250 EE, OP M482301633, Q 140,82 m3/h, H 33,19 mca, 1721 rpm, 131 kg, ano 2024; campo: MCPK 125-100-250 EE | OP M482301633 | Q 82 m3/h; H 33,19 mca; 1721 rpm; 140 kg | Carregamento</t>
    </r>
  </si>
  <si>
    <t xml:space="preserve">MCPK 125-100-250 EE</t>
  </si>
  <si>
    <t xml:space="preserve">Q 140,82 m3/h; H 33,19 mca; 1721 rpm</t>
  </si>
  <si>
    <t xml:space="preserve">OP M482301633</t>
  </si>
  <si>
    <t xml:space="preserve">B-3124 / 000000122667</t>
  </si>
  <si>
    <t xml:space="preserve">Modelo da placa (MCPK 125-100-250 EE) = crítica (125-100-250). OP confere campo × ANP. Serviço em campo "Carregamento" × lista de linhas "HC (descarga)". Confronto campo×ANP: N – OP confere. Q campo 82 x ANP 140,82 m3/h (campo leu so a parte decimal); peso campo 140 kg x ANP 131 kg. Fabricação 2024 compatível com NF de 2024.</t>
  </si>
  <si>
    <t xml:space="preserve">0273-0275 | ANP Fig. 177</t>
  </si>
  <si>
    <t xml:space="preserve">KSB RAS0051138 Rev. 10, item 25: TAGs B-3124/25, MEGACPK 125-100-250, R$ 68.534,22 sem impostos / R$ 80.053,43 com impostos por unidade.</t>
  </si>
  <si>
    <t xml:space="preserve">Provável "bomba de descarregamento lado A" do skid 14d (ANP Fig. 175); comprada da KSB (item 25).</t>
  </si>
  <si>
    <t xml:space="preserve">B-3125</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</si>
  <si>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B-3125 BOMBA CENTRIFUGA DESCARREG – local BPAM-SCAR-PTM-10-04-19, equip. 000000122691, ABC B.Placa/campo: ANP Fig. 178: KSB MCPK 125-100-250 EE, OP M482301634, Q 140,82 m3/h, H 33,19 mca, 1721 rpm, 131 kg, ano 2024; campo: MCPK 125-100-250 EE | OP M482301634 | Q 82 m3/h; H 33,19 mca; 1721 rpm; 131 kg | Carregamento</t>
    </r>
  </si>
  <si>
    <t xml:space="preserve">OP M482301634</t>
  </si>
  <si>
    <t xml:space="preserve">B-3125 / 000000122691</t>
  </si>
  <si>
    <t xml:space="preserve">Modelo da placa (MCPK 125-100-250 EE) = crítica (125-100-250). OP confere campo × ANP. Serviço em campo "Carregamento" × lista de linhas "HC (descarga)". Confronto campo×ANP: N – OP confere. Q campo 82 x ANP 140,82 m3/h (campo leu so a parte decimal); peso campo 131 kg x ANP 131 kg. Fabricação 2024 compatível com NF de 2024.</t>
  </si>
  <si>
    <t xml:space="preserve">0263-0266 | ANP Fig. 178</t>
  </si>
  <si>
    <t xml:space="preserve">Provável "bomba de descarregamento lado B" do skid 14d (ANP Fig. 176); comprada da KSB (item 25).</t>
  </si>
  <si>
    <t xml:space="preserve">Conjunto de skids de carregamento rodoviário e ferroviário (linha 14 = 14a a 14e)</t>
  </si>
  <si>
    <r>
      <rPr>
        <b val="true"/>
        <sz val="9"/>
        <color rgb="FF000000"/>
        <rFont val="Arial"/>
        <family val="0"/>
        <charset val="1"/>
      </rPr>
      <t xml:space="preserve">Crítica: </t>
    </r>
    <r>
      <rPr>
        <sz val="9"/>
        <color rgb="FF000000"/>
        <rFont val="Arial"/>
        <family val="0"/>
        <charset val="1"/>
      </rPr>
      <t xml:space="preserve">Conjunto de skids de carregamento rodoviário e ferroviário, Metroval Controle de Fluídos Ltda., Finame 03204045; total da linha 14 = R$ 8.992.832,34 (14a + 14b + 14c + 14d + 14e).NF: 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R$ 43.262,03.SAP: skids, braços, medidores, válvulas e presets não constam na base SAP (seleção).Projeto: DE-3100-5100-001/-006 (arranjo geral): plataformas PLCCT-01 e PLCCT-02 (carregamento de caminhão-tanque), PLDCT-03 (descarga de caminhão-tanque), ilhas 01 a 07; não há lista de equipamentos Metroval no dossiê.</t>
    </r>
  </si>
  <si>
    <t xml:space="preserve">Metroval (crítica) / Redlands, TSPRO, Toptech, Alutal, Ecoserv (campo e NFs)</t>
  </si>
  <si>
    <t xml:space="preserve">41385; 42239; 7032; 7488; 11642; 11726; 1621; 91; 110; 142; 161; 26460; 4965</t>
  </si>
  <si>
    <t xml:space="preserve">02/07/2024 a 13/11/2024</t>
  </si>
  <si>
    <t xml:space="preserve">Metroval, PHD Master, TSPRO, Redlands, Ecoserv, MKG</t>
  </si>
  <si>
    <t xml:space="preserve">NFs do grupo sem a 1551 (atribuída ao 14d). Grupo: NF R$ 9.073.319,40 × crítica R$ 8.992.832,34 = excesso de R$ 80.487,06.</t>
  </si>
  <si>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t>
  </si>
  <si>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t>
  </si>
  <si>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t>
  </si>
  <si>
    <r>
      <rPr>
        <b val="true"/>
        <sz val="9"/>
        <color rgb="FF000000"/>
        <rFont val="Arial"/>
        <family val="0"/>
        <charset val="1"/>
      </rPr>
      <t xml:space="preserve">LINHA 14 – Conjunto de skids de carregamento rodoviário e ferroviário (linha 14 = 14a a 14e) [GRUPO]
Crítica: </t>
    </r>
    <r>
      <rPr>
        <sz val="9"/>
        <color rgb="FF000000"/>
        <rFont val="Arial"/>
        <family val="0"/>
        <charset val="1"/>
      </rPr>
      <t xml:space="preserve">Conjunto de skids de carregamento rodoviário e ferroviário, Metroval Controle de Fluídos Ltda., Finame 03204045; total da linha 14 = R$ 8.992.832,34 (14a + 14b + 14c + 14d + 14e). </t>
    </r>
    <r>
      <rPr>
        <b val="true"/>
        <sz val="9"/>
        <color rgb="FFC00000"/>
        <rFont val="Arial"/>
        <family val="0"/>
        <charset val="1"/>
      </rPr>
      <t xml:space="preserve">NF: </t>
    </r>
    <r>
      <rPr>
        <sz val="9"/>
        <color rgb="FFC00000"/>
        <rFont val="Arial"/>
        <family val="0"/>
        <charset val="1"/>
      </rPr>
      <t xml:space="preserve">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 </t>
    </r>
    <r>
      <rPr>
        <b val="true"/>
        <sz val="9"/>
        <color rgb="FF00703C"/>
        <rFont val="Arial"/>
        <family val="0"/>
        <charset val="1"/>
      </rPr>
      <t xml:space="preserve">SAP: </t>
    </r>
    <r>
      <rPr>
        <sz val="9"/>
        <color rgb="FF00703C"/>
        <rFont val="Arial"/>
        <family val="0"/>
        <charset val="1"/>
      </rPr>
      <t xml:space="preserve">skids, braços, medidores, válvulas e presets não constam na base SAP (seleção). </t>
    </r>
    <r>
      <rPr>
        <b val="true"/>
        <sz val="9"/>
        <color rgb="FFB38600"/>
        <rFont val="Arial"/>
        <family val="0"/>
        <charset val="1"/>
      </rPr>
      <t xml:space="preserve">Projeto: </t>
    </r>
    <r>
      <rPr>
        <sz val="9"/>
        <color rgb="FFB38600"/>
        <rFont val="Arial"/>
        <family val="0"/>
        <charset val="1"/>
      </rPr>
      <t xml:space="preserve">DE-3100-5100-001/-006 (arranjo geral): plataformas PLCCT-01 e PLCCT-02 (carregamento de caminhão-tanque), PLDCT-03 (descarga de caminhão-tanque), ilhas 01 a 07; não há lista de equipamentos Metroval no dossiê. 
</t>
    </r>
    <r>
      <rPr>
        <b val="true"/>
        <sz val="9"/>
        <color rgb="FFC00000"/>
        <rFont val="Arial"/>
        <family val="0"/>
        <charset val="1"/>
      </rPr>
      <t xml:space="preserve">NF (colunas K-Q): </t>
    </r>
    <r>
      <rPr>
        <sz val="9"/>
        <color rgb="FFC00000"/>
        <rFont val="Arial"/>
        <family val="0"/>
        <charset val="1"/>
      </rPr>
      <t xml:space="preserve">NF nº 41385; 42239; 7032; 7488; 11642; 11726; 1621; 91; 110; 142; 161; 26460; 4965 de 02/07/2024 a 13/11/2024 – Metroval, PHD Master, TSPRO, Redlands, Ecoserv, MKG – valor comprovado R$ 7.344.806,15. </t>
    </r>
    <r>
      <rPr>
        <b val="true"/>
        <sz val="9"/>
        <color rgb="FF000000"/>
        <rFont val="Arial"/>
        <family val="0"/>
        <charset val="1"/>
      </rPr>
      <t xml:space="preserve">Atribuição: </t>
    </r>
    <r>
      <rPr>
        <sz val="9"/>
        <color rgb="FF000000"/>
        <rFont val="Arial"/>
        <family val="0"/>
        <charset val="1"/>
      </rPr>
      <t xml:space="preserve">NFs do grupo sem a 1551 (atribuída ao 14d). Grupo: NF R$ 9.073.319,40 × crítica R$ 8.992.832,34 = excesso de R$ 80.487,06..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Redlands, TSPRO, Toptech, Alutal, Ecoserv (campo e NFs).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 
</t>
    </r>
    <r>
      <rPr>
        <b val="true"/>
        <sz val="9"/>
        <color rgb="FF002060"/>
        <rFont val="Arial"/>
        <family val="0"/>
        <charset val="1"/>
      </rPr>
      <t xml:space="preserve">Cotação OPE154: </t>
    </r>
    <r>
      <rPr>
        <sz val="9"/>
        <color rgb="FF002060"/>
        <rFont val="Arial"/>
        <family val="0"/>
        <charset val="1"/>
      </rPr>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 
</t>
    </r>
    <r>
      <rPr>
        <b val="true"/>
        <sz val="9"/>
        <color rgb="FF7030A0"/>
        <rFont val="Arial"/>
        <family val="0"/>
        <charset val="1"/>
      </rPr>
      <t xml:space="preserve">Novo v2 (achados / correções / proposições): </t>
    </r>
    <r>
      <rPr>
        <sz val="9"/>
        <color rgb="FF7030A0"/>
        <rFont val="Arial"/>
        <family val="0"/>
        <charset val="1"/>
      </rPr>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 
Subconjuntos: 14a, 14b, 14c, 14d, 14e e "14 (comp.)" – ver as células únicas próprias. </t>
    </r>
  </si>
  <si>
    <t xml:space="preserve">Skid + plataforma TOP LOADING (PLCCT – 2 posições, 7 pontos)</t>
  </si>
  <si>
    <r>
      <rPr>
        <b val="true"/>
        <sz val="9"/>
        <color rgb="FF000000"/>
        <rFont val="Arial"/>
        <family val="0"/>
        <charset val="1"/>
      </rPr>
      <t xml:space="preserve">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03204045.NF: sem NF própria; provável NF 41385 (Metroval, 02/07/2024, "sistema de carregamento rodoviário bottomload e topload", R$ 4.881.799,51) junto com o 14b.SAP: não consta na base SAP (seleção).Projeto: DE-3100-5100-006: plataformas de carregamento PLCCT-01/PLCCT-02; LI-3100-6107: trole com trava-quedas PLCCT-01/02 (1,5 t), chuveiros H-3143 a 3145 "plataforma de carregamento rodoviário – top".</t>
    </r>
  </si>
  <si>
    <t xml:space="preserve">Metroval (skid) / Redlands (braços)</t>
  </si>
  <si>
    <t xml:space="preserve">braços Redlands CC3201408310 4"</t>
  </si>
  <si>
    <t xml:space="preserve">7 pontos (2 GC, 2 S10, 2 S500, 1 EH) – crítica</t>
  </si>
  <si>
    <t xml:space="preserve">braços nº 3632 a 3637</t>
  </si>
  <si>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t>
  </si>
  <si>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t>
  </si>
  <si>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t>
  </si>
  <si>
    <r>
      <rPr>
        <b val="true"/>
        <sz val="9"/>
        <color rgb="FF000000"/>
        <rFont val="Arial"/>
        <family val="0"/>
        <charset val="1"/>
      </rPr>
      <t xml:space="preserve">LINHA 14a – Skid + plataforma TOP LOADING (PLCCT – 2 posições, 7 pontos) [CONJUNTO]
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02/07/2024, "sistema de carregamento rodoviário bottomload e topload", R$ 4.881.799,51) junto com o 14b.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DE-3100-5100-006: plataformas de carregamento PLCCT-01/PLCCT-02; LI-3100-6107: trole com trava-quedas PLCCT-01/02 (1,5 t), chuveiros H-3143 a 3145 "plataforma de carregamento rodoviário – top". </t>
    </r>
    <r>
      <rPr>
        <b val="true"/>
        <sz val="9"/>
        <color rgb="FF000000"/>
        <rFont val="Arial"/>
        <family val="0"/>
        <charset val="1"/>
      </rPr>
      <t xml:space="preserve">Crítica (colunas N-P): </t>
    </r>
    <r>
      <rPr>
        <sz val="9"/>
        <color rgb="FF000000"/>
        <rFont val="Arial"/>
        <family val="0"/>
        <charset val="1"/>
      </rPr>
      <t xml:space="preserve">qtd 1, unitário R$ 2.273.264,11, total R$ 2.273.264,11.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(skid) / Redlands (braços). </t>
    </r>
    <r>
      <rPr>
        <b val="true"/>
        <sz val="9"/>
        <color rgb="FF1F4E9A"/>
        <rFont val="Arial"/>
        <family val="0"/>
        <charset val="1"/>
      </rPr>
      <t xml:space="preserve">Modelo: </t>
    </r>
    <r>
      <rPr>
        <sz val="9"/>
        <color rgb="FF1F4E9A"/>
        <rFont val="Arial"/>
        <family val="0"/>
        <charset val="1"/>
      </rPr>
      <t xml:space="preserve">braços Redlands CC3201408310 4".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braços nº 3632 a 3637.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 </t>
    </r>
    <r>
      <rPr>
        <b val="true"/>
        <sz val="9"/>
        <color rgb="FF000000"/>
        <rFont val="Arial"/>
        <family val="0"/>
        <charset val="1"/>
      </rPr>
      <t xml:space="preserve">Fotos (coluna U): </t>
    </r>
    <r>
      <rPr>
        <sz val="9"/>
        <color rgb="FF000000"/>
        <rFont val="Arial"/>
        <family val="0"/>
        <charset val="1"/>
      </rPr>
      <t xml:space="preserve">0732-0768 | ANP Fig. 97, 98, 106, 108. 
</t>
    </r>
    <r>
      <rPr>
        <b val="true"/>
        <sz val="9"/>
        <color rgb="FF002060"/>
        <rFont val="Arial"/>
        <family val="0"/>
        <charset val="1"/>
      </rPr>
      <t xml:space="preserve">Cotação OPE154: </t>
    </r>
    <r>
      <rPr>
        <sz val="9"/>
        <color rgb="FF002060"/>
        <rFont val="Arial"/>
        <family val="0"/>
        <charset val="1"/>
      </rPr>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 
</t>
    </r>
    <r>
      <rPr>
        <b val="true"/>
        <sz val="9"/>
        <color rgb="FF7030A0"/>
        <rFont val="Arial"/>
        <family val="0"/>
        <charset val="1"/>
      </rPr>
      <t xml:space="preserve">Novo v2 (achados / correções / proposições): </t>
    </r>
    <r>
      <rPr>
        <sz val="9"/>
        <color rgb="FF7030A0"/>
        <rFont val="Arial"/>
        <family val="0"/>
        <charset val="1"/>
      </rPr>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 
</t>
    </r>
    <r>
      <rPr>
        <b val="true"/>
        <sz val="9"/>
        <color rgb="FF000000"/>
        <rFont val="Arial"/>
        <family val="0"/>
        <charset val="1"/>
      </rPr>
      <t xml:space="preserve">COMPONENTES (6):
• BR-3101: </t>
    </r>
    <r>
      <rPr>
        <b val="true"/>
        <sz val="9"/>
        <color rgb="FF1F4E9A"/>
        <rFont val="Arial"/>
        <family val="0"/>
        <charset val="1"/>
      </rPr>
      <t xml:space="preserve">Placa/campo: </t>
    </r>
    <r>
      <rPr>
        <sz val="9"/>
        <color rgb="FF1F4E9A"/>
        <rFont val="Arial"/>
        <family val="0"/>
        <charset val="1"/>
      </rPr>
      <t xml:space="preserve">braço de carregamento superior Redlands </t>
    </r>
    <r>
      <rPr>
        <strike val="true"/>
        <sz val="9"/>
        <color rgb="FF1F4E9A"/>
        <rFont val="Arial"/>
        <family val="0"/>
        <charset val="1"/>
      </rPr>
      <t xml:space="preserve">CC3201408310</t>
    </r>
    <r>
      <rPr>
        <sz val="9"/>
        <color rgb="FF1F4E9A"/>
        <rFont val="Arial"/>
        <family val="0"/>
        <charset val="1"/>
      </rPr>
      <t xml:space="preserve">, Ø 4", nº 3632,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z val="9"/>
        <color rgb="FF000000"/>
        <rFont val="Arial"/>
        <family val="0"/>
        <charset val="1"/>
      </rPr>
      <t xml:space="preserve">Placa completa. Sem dado teórico individual; vínculo à linha 14a pela posição (top loading). </t>
    </r>
    <r>
      <rPr>
        <b val="true"/>
        <sz val="9"/>
        <color rgb="FF000000"/>
        <rFont val="Arial"/>
        <family val="0"/>
        <charset val="1"/>
      </rPr>
      <t xml:space="preserve">Fotos: </t>
    </r>
    <r>
      <rPr>
        <sz val="9"/>
        <color rgb="FF000000"/>
        <rFont val="Arial"/>
        <family val="0"/>
        <charset val="1"/>
      </rPr>
      <t xml:space="preserve">0732, 0733. </t>
    </r>
    <r>
      <rPr>
        <b val="true"/>
        <sz val="9"/>
        <color rgb="FF7030A0"/>
        <rFont val="Arial"/>
        <family val="0"/>
        <charset val="1"/>
      </rPr>
      <t xml:space="preserve">Novo v2: </t>
    </r>
    <r>
      <rPr>
        <sz val="9"/>
        <color rgb="FF7030A0"/>
        <rFont val="Arial"/>
        <family val="0"/>
        <charset val="1"/>
      </rPr>
      <t xml:space="preserve">Braços Redlands sem cotação própria no OPE154; Redlands aparece na lista de faturamento direto da Metroval (NFs 11642 = escadas; 11726 = "itens diversos", R$ 49.425,00 – candidata aos braços ou peças). 
</t>
    </r>
    <r>
      <rPr>
        <b val="true"/>
        <sz val="9"/>
        <color rgb="FF000000"/>
        <rFont val="Arial"/>
        <family val="0"/>
        <charset val="1"/>
      </rPr>
      <t xml:space="preserve">• BR-3102: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3633,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0738-0740. 
</t>
    </r>
    <r>
      <rPr>
        <b val="true"/>
        <sz val="9"/>
        <color rgb="FF000000"/>
        <rFont val="Arial"/>
        <family val="0"/>
        <charset val="1"/>
      </rPr>
      <t xml:space="preserve">• BR-3103: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3634, P.C. 11715 / 11716,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0766-0768. 
</t>
    </r>
    <r>
      <rPr>
        <b val="true"/>
        <sz val="9"/>
        <color rgb="FF000000"/>
        <rFont val="Arial"/>
        <family val="0"/>
        <charset val="1"/>
      </rPr>
      <t xml:space="preserve">• BR-3104: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3635,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0764. 
</t>
    </r>
    <r>
      <rPr>
        <b val="true"/>
        <sz val="9"/>
        <color rgb="FF000000"/>
        <rFont val="Arial"/>
        <family val="0"/>
        <charset val="1"/>
      </rPr>
      <t xml:space="preserve">• BR-3105: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3636, </t>
    </r>
    <r>
      <rPr>
        <strike val="true"/>
        <sz val="9"/>
        <color rgb="FF1F4E9A"/>
        <rFont val="Arial"/>
        <family val="0"/>
        <charset val="1"/>
      </rPr>
      <t xml:space="preserve">P.C. 11715 / 11716</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0759, 0761, 0762. 
</t>
    </r>
    <r>
      <rPr>
        <b val="true"/>
        <sz val="9"/>
        <color rgb="FF000000"/>
        <rFont val="Arial"/>
        <family val="0"/>
        <charset val="1"/>
      </rPr>
      <t xml:space="preserve">• BR-3106: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3637,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0751-0754. </t>
    </r>
  </si>
  <si>
    <t xml:space="preserve">BR-3101</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</si>
  <si>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3632, P.C. 11715, 2024.</t>
    </r>
  </si>
  <si>
    <t xml:space="preserve">Redlands</t>
  </si>
  <si>
    <t xml:space="preserve">CC3201408310</t>
  </si>
  <si>
    <t xml:space="preserve">Ø 4"</t>
  </si>
  <si>
    <t xml:space="preserve">nº 3632</t>
  </si>
  <si>
    <t xml:space="preserve">Placa completa. Sem dado teórico individual; vínculo à linha 14a pela posição (top loading).</t>
  </si>
  <si>
    <t xml:space="preserve">0732, 0733</t>
  </si>
  <si>
    <t xml:space="preserve">Braços Redlands sem cotação própria no OPE154; Redlands aparece na lista de faturamento direto da Metroval (NFs 11642 = escadas; 11726 = "itens diversos", R$ 49.425,00 – candidata aos braços ou peças).</t>
  </si>
  <si>
    <t xml:space="preserve">BR-3102</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</si>
  <si>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3633, P.C. 11715, 2024.</t>
    </r>
  </si>
  <si>
    <t xml:space="preserve">nº 3633</t>
  </si>
  <si>
    <t xml:space="preserve">0738-0740</t>
  </si>
  <si>
    <t xml:space="preserve">BR-3103</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</si>
  <si>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3634, P.C. 11715 / 11716, 2024.</t>
    </r>
  </si>
  <si>
    <t xml:space="preserve">nº 3634</t>
  </si>
  <si>
    <t xml:space="preserve">0766-0768</t>
  </si>
  <si>
    <t xml:space="preserve">BR-3104</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</si>
  <si>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3635, P.C. 11715, 2024.</t>
    </r>
  </si>
  <si>
    <t xml:space="preserve">nº 3635</t>
  </si>
  <si>
    <t xml:space="preserve">0764</t>
  </si>
  <si>
    <t xml:space="preserve">BR-3105</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</si>
  <si>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3636, P.C. 11715 / 11716, 2024.</t>
    </r>
  </si>
  <si>
    <t xml:space="preserve">nº 3636</t>
  </si>
  <si>
    <t xml:space="preserve">0759, 0761, 0762</t>
  </si>
  <si>
    <t xml:space="preserve">BR-3106</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</si>
  <si>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3637, P.C. 11715, 2024.</t>
    </r>
  </si>
  <si>
    <t xml:space="preserve">nº 3637</t>
  </si>
  <si>
    <t xml:space="preserve">0751-0754</t>
  </si>
  <si>
    <r>
      <rPr>
        <b val="true"/>
        <sz val="9"/>
        <color rgb="FF000000"/>
        <rFont val="Arial"/>
        <family val="0"/>
        <charset val="1"/>
      </rPr>
      <t xml:space="preserve">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03204045.NF: sem NF própria; provável NF 41385 (Metroval) junto com o 14a.SAP: não consta na base SAP (seleção).Projeto: LI-3100-6107: chuveiros/lava-olhos e trole "plataforma bottom / carregamento rodoviário – bottom" (confirma a existência das posições bottom no projeto).</t>
    </r>
  </si>
  <si>
    <t xml:space="preserve">Metroval / Toptech (presets)</t>
  </si>
  <si>
    <t xml:space="preserve">presets Toptech MultiLoad II Ex / EXL</t>
  </si>
  <si>
    <t xml:space="preserve">Em campo só os presets BOTTOM-3107/3108 (Toptech MultiLoad II Ex) e um preset sem TAG (MultiLoad II EXL, lote 3) foram caracterizados, sem nº de série. Os 7 braços de bottom loading (acoplador API, braço de vapor) NÃO foram caracterizados. Parte dos FT/FCV da seção "componentes sem vínculo" pode pertencer a esta unidade.</t>
  </si>
  <si>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t>
  </si>
  <si>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t>
  </si>
  <si>
    <r>
      <rPr>
        <b val="true"/>
        <sz val="9"/>
        <color rgb="FF000000"/>
        <rFont val="Arial"/>
        <family val="0"/>
        <charset val="1"/>
      </rPr>
      <t xml:space="preserve">LINHA 14b – Unidade BOTTOM LOADING (2 posições, 7 pontos) [CONJUNTO]
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junto com o 14a.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chuveiros/lava-olhos e trole "plataforma bottom / carregamento rodoviário – bottom" (confirma a existência das posições bottom no projeto). </t>
    </r>
    <r>
      <rPr>
        <b val="true"/>
        <sz val="9"/>
        <color rgb="FF000000"/>
        <rFont val="Arial"/>
        <family val="0"/>
        <charset val="1"/>
      </rPr>
      <t xml:space="preserve">Crítica (colunas N-P): </t>
    </r>
    <r>
      <rPr>
        <sz val="9"/>
        <color rgb="FF000000"/>
        <rFont val="Arial"/>
        <family val="0"/>
        <charset val="1"/>
      </rPr>
      <t xml:space="preserve">qtd 1, unitário R$ 1.917.733,79, total R$ 1.917.733,79.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 Toptech (presets). </t>
    </r>
    <r>
      <rPr>
        <b val="true"/>
        <sz val="9"/>
        <color rgb="FF1F4E9A"/>
        <rFont val="Arial"/>
        <family val="0"/>
        <charset val="1"/>
      </rPr>
      <t xml:space="preserve">Modelo: </t>
    </r>
    <r>
      <rPr>
        <sz val="9"/>
        <color rgb="FF1F4E9A"/>
        <rFont val="Arial"/>
        <family val="0"/>
        <charset val="1"/>
      </rPr>
      <t xml:space="preserve">presets Toptech MultiLoad II Ex / EXL.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Em campo só os presets BOTTOM-3107/3108 (Toptech </t>
    </r>
    <r>
      <rPr>
        <strike val="true"/>
        <sz val="9"/>
        <color rgb="FF000000"/>
        <rFont val="Arial"/>
        <family val="0"/>
        <charset val="1"/>
      </rPr>
      <t xml:space="preserve">MultiLoad II Ex</t>
    </r>
    <r>
      <rPr>
        <sz val="9"/>
        <color rgb="FF000000"/>
        <rFont val="Arial"/>
        <family val="0"/>
        <charset val="1"/>
      </rPr>
      <t xml:space="preserve">) e um preset sem TAG (MultiLoad II EXL, lote 3) foram caracterizados, sem nº de série. Os 7 braços de bottom loading (acoplador API, braço de vapor) NÃO foram caracterizados. Parte dos FT/FCV da seção "componentes sem vínculo" pode pertencer a esta unidade. </t>
    </r>
    <r>
      <rPr>
        <b val="true"/>
        <sz val="9"/>
        <color rgb="FF000000"/>
        <rFont val="Arial"/>
        <family val="0"/>
        <charset val="1"/>
      </rPr>
      <t xml:space="preserve">Fotos (coluna U): </t>
    </r>
    <r>
      <rPr>
        <sz val="9"/>
        <color rgb="FF000000"/>
        <rFont val="Arial"/>
        <family val="0"/>
        <charset val="1"/>
      </rPr>
      <t xml:space="preserve">0475, 0476, 0990-0991. 
</t>
    </r>
    <r>
      <rPr>
        <b val="true"/>
        <sz val="9"/>
        <color rgb="FF002060"/>
        <rFont val="Arial"/>
        <family val="0"/>
        <charset val="1"/>
      </rPr>
      <t xml:space="preserve">Cotação OPE154: </t>
    </r>
    <r>
      <rPr>
        <sz val="9"/>
        <color rgb="FF002060"/>
        <rFont val="Arial"/>
        <family val="0"/>
        <charset val="1"/>
      </rPr>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 
</t>
    </r>
    <r>
      <rPr>
        <b val="true"/>
        <sz val="9"/>
        <color rgb="FF7030A0"/>
        <rFont val="Arial"/>
        <family val="0"/>
        <charset val="1"/>
      </rPr>
      <t xml:space="preserve">Novo v2 (achados / correções / proposições): </t>
    </r>
    <r>
      <rPr>
        <sz val="9"/>
        <color rgb="FF7030A0"/>
        <rFont val="Arial"/>
        <family val="0"/>
        <charset val="1"/>
      </rPr>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 
</t>
    </r>
    <r>
      <rPr>
        <b val="true"/>
        <sz val="9"/>
        <color rgb="FF000000"/>
        <rFont val="Arial"/>
        <family val="0"/>
        <charset val="1"/>
      </rPr>
      <t xml:space="preserve">COMPONENTES (3):
• BOTTOM-3107: </t>
    </r>
    <r>
      <rPr>
        <b val="true"/>
        <sz val="9"/>
        <color rgb="FF1F4E9A"/>
        <rFont val="Arial"/>
        <family val="0"/>
        <charset val="1"/>
      </rPr>
      <t xml:space="preserve">Placa/campo: </t>
    </r>
    <r>
      <rPr>
        <sz val="9"/>
        <color rgb="FF1F4E9A"/>
        <rFont val="Arial"/>
        <family val="0"/>
        <charset val="1"/>
      </rPr>
      <t xml:space="preserve">Computador de vazao (presset A) – TOPTECH, </t>
    </r>
    <r>
      <rPr>
        <strike val="true"/>
        <sz val="9"/>
        <color rgb="FF1F4E9A"/>
        <rFont val="Arial"/>
        <family val="0"/>
        <charset val="1"/>
      </rPr>
      <t xml:space="preserve">MultiLoad II Ex</t>
    </r>
    <r>
      <rPr>
        <sz val="9"/>
        <color rgb="FF1F4E9A"/>
        <rFont val="Arial"/>
        <family val="0"/>
        <charset val="1"/>
      </rPr>
      <t xml:space="preserve">, Carregamento rodoviario. </t>
    </r>
    <r>
      <rPr>
        <b val="true"/>
        <sz val="9"/>
        <color rgb="FF000000"/>
        <rFont val="Arial"/>
        <family val="0"/>
        <charset val="1"/>
      </rPr>
      <t xml:space="preserve">Obs.: </t>
    </r>
    <r>
      <rPr>
        <sz val="9"/>
        <color rgb="FF000000"/>
        <rFont val="Arial"/>
        <family val="0"/>
        <charset val="1"/>
      </rPr>
      <t xml:space="preserve">Sem dado teórico individual. Pendente/ilegível: no de serie, ano. </t>
    </r>
    <r>
      <rPr>
        <b val="true"/>
        <sz val="9"/>
        <color rgb="FF000000"/>
        <rFont val="Arial"/>
        <family val="0"/>
        <charset val="1"/>
      </rPr>
      <t xml:space="preserve">Fotos: </t>
    </r>
    <r>
      <rPr>
        <sz val="9"/>
        <color rgb="FF000000"/>
        <rFont val="Arial"/>
        <family val="0"/>
        <charset val="1"/>
      </rPr>
      <t xml:space="preserve">0475. 
</t>
    </r>
    <r>
      <rPr>
        <b val="true"/>
        <sz val="9"/>
        <color rgb="FF000000"/>
        <rFont val="Arial"/>
        <family val="0"/>
        <charset val="1"/>
      </rPr>
      <t xml:space="preserve">• BOTTOM-3108: </t>
    </r>
    <r>
      <rPr>
        <b val="true"/>
        <sz val="9"/>
        <color rgb="FF1F4E9A"/>
        <rFont val="Arial"/>
        <family val="0"/>
        <charset val="1"/>
      </rPr>
      <t xml:space="preserve">Placa/campo: </t>
    </r>
    <r>
      <rPr>
        <sz val="9"/>
        <color rgb="FF1F4E9A"/>
        <rFont val="Arial"/>
        <family val="0"/>
        <charset val="1"/>
      </rPr>
      <t xml:space="preserve">Computador de vazao (presset B) – TOPTECH, </t>
    </r>
    <r>
      <rPr>
        <strike val="true"/>
        <sz val="9"/>
        <color rgb="FF1F4E9A"/>
        <rFont val="Arial"/>
        <family val="0"/>
        <charset val="1"/>
      </rPr>
      <t xml:space="preserve">MultiLoad II Ex</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no de serie, ano. </t>
    </r>
    <r>
      <rPr>
        <b val="true"/>
        <sz val="9"/>
        <color rgb="FF000000"/>
        <rFont val="Arial"/>
        <family val="0"/>
        <charset val="1"/>
      </rPr>
      <t xml:space="preserve">Fotos: </t>
    </r>
    <r>
      <rPr>
        <sz val="9"/>
        <color rgb="FF000000"/>
        <rFont val="Arial"/>
        <family val="0"/>
        <charset val="1"/>
      </rPr>
      <t xml:space="preserve">0476. 
</t>
    </r>
    <r>
      <rPr>
        <b val="true"/>
        <sz val="9"/>
        <color rgb="FF000000"/>
        <rFont val="Arial"/>
        <family val="0"/>
        <charset val="1"/>
      </rPr>
      <t xml:space="preserve">• (sem TAG) – Preset de carregamento: </t>
    </r>
    <r>
      <rPr>
        <b val="true"/>
        <sz val="9"/>
        <color rgb="FF1F4E9A"/>
        <rFont val="Arial"/>
        <family val="0"/>
        <charset val="1"/>
      </rPr>
      <t xml:space="preserve">Placa/campo: </t>
    </r>
    <r>
      <rPr>
        <sz val="9"/>
        <color rgb="FF1F4E9A"/>
        <rFont val="Arial"/>
        <family val="0"/>
        <charset val="1"/>
      </rPr>
      <t xml:space="preserve">Preset de carregamento – TOPTECH, MultiLoad II EXL,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TAG e plaqueta. </t>
    </r>
    <r>
      <rPr>
        <b val="true"/>
        <sz val="9"/>
        <color rgb="FF000000"/>
        <rFont val="Arial"/>
        <family val="0"/>
        <charset val="1"/>
      </rPr>
      <t xml:space="preserve">Fotos: </t>
    </r>
    <r>
      <rPr>
        <sz val="9"/>
        <color rgb="FF000000"/>
        <rFont val="Arial"/>
        <family val="0"/>
        <charset val="1"/>
      </rPr>
      <t xml:space="preserve">0990-0991. </t>
    </r>
  </si>
  <si>
    <t xml:space="preserve">BOTTOM-3107</t>
  </si>
  <si>
    <r>
      <rPr>
        <b val="true"/>
        <sz val="9"/>
        <color rgb="FF1F4E9A"/>
        <rFont val="Arial"/>
        <family val="0"/>
        <charset val="1"/>
      </rPr>
      <t xml:space="preserve">Placa/campo: </t>
    </r>
    <r>
      <rPr>
        <sz val="9"/>
        <color rgb="FF1F4E9A"/>
        <rFont val="Arial"/>
        <family val="0"/>
        <charset val="1"/>
      </rPr>
      <t xml:space="preserve">Computador de vazao (presset A) – TOPTECH, MultiLoad II Ex, Carregamento rodoviario.</t>
    </r>
  </si>
  <si>
    <t xml:space="preserve">TOPTECH</t>
  </si>
  <si>
    <t xml:space="preserve">MultiLoad II Ex</t>
  </si>
  <si>
    <t xml:space="preserve">Sem dado teórico individual. Pendente/ilegível: no de serie, ano.</t>
  </si>
  <si>
    <t xml:space="preserve">0475</t>
  </si>
  <si>
    <t xml:space="preserve">BOTTOM-3108</t>
  </si>
  <si>
    <r>
      <rPr>
        <b val="true"/>
        <sz val="9"/>
        <color rgb="FF1F4E9A"/>
        <rFont val="Arial"/>
        <family val="0"/>
        <charset val="1"/>
      </rPr>
      <t xml:space="preserve">Placa/campo: </t>
    </r>
    <r>
      <rPr>
        <sz val="9"/>
        <color rgb="FF1F4E9A"/>
        <rFont val="Arial"/>
        <family val="0"/>
        <charset val="1"/>
      </rPr>
      <t xml:space="preserve">Computador de vazao (presset B) – TOPTECH, MultiLoad II Ex, Carregamento rodoviario.</t>
    </r>
  </si>
  <si>
    <t xml:space="preserve">0476</t>
  </si>
  <si>
    <t xml:space="preserve">(sem TAG) – Preset de carregamento</t>
  </si>
  <si>
    <r>
      <rPr>
        <b val="true"/>
        <sz val="9"/>
        <color rgb="FF1F4E9A"/>
        <rFont val="Arial"/>
        <family val="0"/>
        <charset val="1"/>
      </rPr>
      <t xml:space="preserve">Placa/campo: </t>
    </r>
    <r>
      <rPr>
        <sz val="9"/>
        <color rgb="FF1F4E9A"/>
        <rFont val="Arial"/>
        <family val="0"/>
        <charset val="1"/>
      </rPr>
      <t xml:space="preserve">Preset de carregamento – TOPTECH, MultiLoad II EXL, Carregamento.</t>
    </r>
  </si>
  <si>
    <t xml:space="preserve">MultiLoad II EXL</t>
  </si>
  <si>
    <t xml:space="preserve">Sem dado teórico individual. Pendente/ilegível: TAG e plaqueta.</t>
  </si>
  <si>
    <t xml:space="preserve">0990-0991</t>
  </si>
  <si>
    <r>
      <rPr>
        <b val="true"/>
        <sz val="9"/>
        <color rgb="FF000000"/>
        <rFont val="Arial"/>
        <family val="0"/>
        <charset val="1"/>
      </rPr>
      <t xml:space="preserve">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03204045.NF: nenhuma NF da relação descreve este skid; não identificável.SAP: não consta na base SAP (seleção).Projeto: sem lista própria no dossiê.</t>
    </r>
  </si>
  <si>
    <t xml:space="preserve">Metroval</t>
  </si>
  <si>
    <t xml:space="preserve">PLCVT-01 / U-3105</t>
  </si>
  <si>
    <t xml:space="preserve">vazão máx. 120 m³/h por braço; 4 braços; projeto 10 kgf/cm², operação 3 kgf/cm²</t>
  </si>
  <si>
    <t xml:space="preserve">placa da unidade sem nº de série</t>
  </si>
  <si>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t>
  </si>
  <si>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t>
  </si>
  <si>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t>
  </si>
  <si>
    <r>
      <rPr>
        <b val="true"/>
        <sz val="9"/>
        <color rgb="FF000000"/>
        <rFont val="Arial"/>
        <family val="0"/>
        <charset val="1"/>
      </rPr>
      <t xml:space="preserve">LINHA 14c – Skid de carregamento de vagões-tanque PLCVT-01 / U-3105 (4 pontos) [CONJUNTO]
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 </t>
    </r>
    <r>
      <rPr>
        <b val="true"/>
        <sz val="9"/>
        <color rgb="FFC00000"/>
        <rFont val="Arial"/>
        <family val="0"/>
        <charset val="1"/>
      </rPr>
      <t xml:space="preserve">NF: </t>
    </r>
    <r>
      <rPr>
        <sz val="9"/>
        <color rgb="FFC00000"/>
        <rFont val="Arial"/>
        <family val="0"/>
        <charset val="1"/>
      </rPr>
      <t xml:space="preserve">nenhuma NF da relação descreve este skid; não identificável.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sem lista própria no dossiê. </t>
    </r>
    <r>
      <rPr>
        <b val="true"/>
        <sz val="9"/>
        <color rgb="FF000000"/>
        <rFont val="Arial"/>
        <family val="0"/>
        <charset val="1"/>
      </rPr>
      <t xml:space="preserve">Crítica (colunas N-P): </t>
    </r>
    <r>
      <rPr>
        <sz val="9"/>
        <color rgb="FF000000"/>
        <rFont val="Arial"/>
        <family val="0"/>
        <charset val="1"/>
      </rPr>
      <t xml:space="preserve">qtd 1, unitário R$ 1.610.488,85, total R$ 1.610.488,85.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t>
    </r>
    <r>
      <rPr>
        <b val="true"/>
        <sz val="9"/>
        <color rgb="FF1F4E9A"/>
        <rFont val="Arial"/>
        <family val="0"/>
        <charset val="1"/>
      </rPr>
      <t xml:space="preserve">Modelo: </t>
    </r>
    <r>
      <rPr>
        <sz val="9"/>
        <color rgb="FF1F4E9A"/>
        <rFont val="Arial"/>
        <family val="0"/>
        <charset val="1"/>
      </rPr>
      <t xml:space="preserve">PLCVT-01 / U-3105. </t>
    </r>
    <r>
      <rPr>
        <b val="true"/>
        <sz val="9"/>
        <color rgb="FF1F4E9A"/>
        <rFont val="Arial"/>
        <family val="0"/>
        <charset val="1"/>
      </rPr>
      <t xml:space="preserve">Capacidade: </t>
    </r>
    <r>
      <rPr>
        <sz val="9"/>
        <color rgb="FF1F4E9A"/>
        <rFont val="Arial"/>
        <family val="0"/>
        <charset val="1"/>
      </rPr>
      <t xml:space="preserve">vazão máx. 120 m³/h por braço; 4 braços; projeto 10 kgf/cm², operação 3 kgf/cm². </t>
    </r>
    <r>
      <rPr>
        <b val="true"/>
        <sz val="9"/>
        <color rgb="FF1F4E9A"/>
        <rFont val="Arial"/>
        <family val="0"/>
        <charset val="1"/>
      </rPr>
      <t xml:space="preserve">Série/OP: </t>
    </r>
    <r>
      <rPr>
        <sz val="9"/>
        <color rgb="FF1F4E9A"/>
        <rFont val="Arial"/>
        <family val="0"/>
        <charset val="1"/>
      </rPr>
      <t xml:space="preserve">placa da unidade sem nº de série.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 </t>
    </r>
    <r>
      <rPr>
        <b val="true"/>
        <sz val="9"/>
        <color rgb="FF000000"/>
        <rFont val="Arial"/>
        <family val="0"/>
        <charset val="1"/>
      </rPr>
      <t xml:space="preserve">Fotos (coluna U): </t>
    </r>
    <r>
      <rPr>
        <sz val="9"/>
        <color rgb="FF000000"/>
        <rFont val="Arial"/>
        <family val="0"/>
        <charset val="1"/>
      </rPr>
      <t xml:space="preserve">0836-0881. 
</t>
    </r>
    <r>
      <rPr>
        <b val="true"/>
        <sz val="9"/>
        <color rgb="FF002060"/>
        <rFont val="Arial"/>
        <family val="0"/>
        <charset val="1"/>
      </rPr>
      <t xml:space="preserve">Cotação OPE154: </t>
    </r>
    <r>
      <rPr>
        <sz val="9"/>
        <color rgb="FF002060"/>
        <rFont val="Arial"/>
        <family val="0"/>
        <charset val="1"/>
      </rPr>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 
</t>
    </r>
    <r>
      <rPr>
        <b val="true"/>
        <sz val="9"/>
        <color rgb="FF7030A0"/>
        <rFont val="Arial"/>
        <family val="0"/>
        <charset val="1"/>
      </rPr>
      <t xml:space="preserve">Novo v2 (achados / correções / proposições): </t>
    </r>
    <r>
      <rPr>
        <sz val="9"/>
        <color rgb="FF7030A0"/>
        <rFont val="Arial"/>
        <family val="0"/>
        <charset val="1"/>
      </rPr>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 
</t>
    </r>
    <r>
      <rPr>
        <b val="true"/>
        <sz val="9"/>
        <color rgb="FF000000"/>
        <rFont val="Arial"/>
        <family val="0"/>
        <charset val="1"/>
      </rPr>
      <t xml:space="preserve">COMPONENTES (9):
• FT-3180: </t>
    </r>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 </t>
    </r>
    <r>
      <rPr>
        <b val="true"/>
        <sz val="9"/>
        <color rgb="FF000000"/>
        <rFont val="Arial"/>
        <family val="0"/>
        <charset val="1"/>
      </rPr>
      <t xml:space="preserve">Obs.: </t>
    </r>
    <r>
      <rPr>
        <sz val="9"/>
        <color rgb="FF000000"/>
        <rFont val="Arial"/>
        <family val="0"/>
        <charset val="1"/>
      </rPr>
      <t xml:space="preserve">Sem dado teórico individual. Só leitura de campo (sem 2ª fonte). </t>
    </r>
    <r>
      <rPr>
        <b val="true"/>
        <sz val="9"/>
        <color rgb="FF000000"/>
        <rFont val="Arial"/>
        <family val="0"/>
        <charset val="1"/>
      </rPr>
      <t xml:space="preserve">Fotos: </t>
    </r>
    <r>
      <rPr>
        <sz val="9"/>
        <color rgb="FF000000"/>
        <rFont val="Arial"/>
        <family val="0"/>
        <charset val="1"/>
      </rPr>
      <t xml:space="preserve">0878. 
</t>
    </r>
    <r>
      <rPr>
        <b val="true"/>
        <sz val="9"/>
        <color rgb="FF000000"/>
        <rFont val="Arial"/>
        <family val="0"/>
        <charset val="1"/>
      </rPr>
      <t xml:space="preserve">• FT-3181: </t>
    </r>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0842-0844. 
</t>
    </r>
    <r>
      <rPr>
        <b val="true"/>
        <sz val="9"/>
        <color rgb="FF000000"/>
        <rFont val="Arial"/>
        <family val="0"/>
        <charset val="1"/>
      </rPr>
      <t xml:space="preserve">• FT-3182: </t>
    </r>
    <r>
      <rPr>
        <b val="true"/>
        <sz val="9"/>
        <color rgb="FF1F4E9A"/>
        <rFont val="Arial"/>
        <family val="0"/>
        <charset val="1"/>
      </rPr>
      <t xml:space="preserve">Placa/campo: </t>
    </r>
    <r>
      <rPr>
        <strike val="true"/>
        <sz val="9"/>
        <color rgb="FF1F4E9A"/>
        <rFont val="Arial"/>
        <family val="0"/>
        <charset val="1"/>
      </rPr>
      <t xml:space="preserve">Medidor massico – Metroval, OI 600 SIMT/F2</t>
    </r>
    <r>
      <rPr>
        <sz val="9"/>
        <color rgb="FF1F4E9A"/>
        <rFont val="Arial"/>
        <family val="0"/>
        <charset val="1"/>
      </rPr>
      <t xml:space="preserve">, série 12538, 2024, </t>
    </r>
    <r>
      <rPr>
        <strike val="true"/>
        <sz val="9"/>
        <color rgb="FF1F4E9A"/>
        <rFont val="Arial"/>
        <family val="0"/>
        <charset val="1"/>
      </rPr>
      <t xml:space="preserve">Vazao min 300 / max 3000 | Conexao 4" 150#RF | Pressao max 19,5 | Temp max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0881. 
</t>
    </r>
    <r>
      <rPr>
        <b val="true"/>
        <sz val="9"/>
        <color rgb="FF000000"/>
        <rFont val="Arial"/>
        <family val="0"/>
        <charset val="1"/>
      </rPr>
      <t xml:space="preserve">• FCV-3180: </t>
    </r>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0868-0871. 
</t>
    </r>
    <r>
      <rPr>
        <b val="true"/>
        <sz val="9"/>
        <color rgb="FF000000"/>
        <rFont val="Arial"/>
        <family val="0"/>
        <charset val="1"/>
      </rPr>
      <t xml:space="preserve">• FCV-3181: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0316,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0316. Pendente/ilegível: associacao TAG x no de serie. </t>
    </r>
    <r>
      <rPr>
        <b val="true"/>
        <sz val="9"/>
        <color rgb="FF000000"/>
        <rFont val="Arial"/>
        <family val="0"/>
        <charset val="1"/>
      </rPr>
      <t xml:space="preserve">Fotos: </t>
    </r>
    <r>
      <rPr>
        <sz val="9"/>
        <color rgb="FF000000"/>
        <rFont val="Arial"/>
        <family val="0"/>
        <charset val="1"/>
      </rPr>
      <t xml:space="preserve">0850-0852. 
</t>
    </r>
    <r>
      <rPr>
        <b val="true"/>
        <sz val="9"/>
        <color rgb="FF000000"/>
        <rFont val="Arial"/>
        <family val="0"/>
        <charset val="1"/>
      </rPr>
      <t xml:space="preserve">• FCV-3182: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0873-0876. 
</t>
    </r>
    <r>
      <rPr>
        <b val="true"/>
        <sz val="9"/>
        <color rgb="FF000000"/>
        <rFont val="Arial"/>
        <family val="0"/>
        <charset val="1"/>
      </rPr>
      <t xml:space="preserve">• FCV-3183: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0315,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0315. Pendente/ilegível: associacao TAG x no de serie. </t>
    </r>
    <r>
      <rPr>
        <b val="true"/>
        <sz val="9"/>
        <color rgb="FF000000"/>
        <rFont val="Arial"/>
        <family val="0"/>
        <charset val="1"/>
      </rPr>
      <t xml:space="preserve">Fotos: </t>
    </r>
    <r>
      <rPr>
        <sz val="9"/>
        <color rgb="FF000000"/>
        <rFont val="Arial"/>
        <family val="0"/>
        <charset val="1"/>
      </rPr>
      <t xml:space="preserve">0855-0859. 
</t>
    </r>
    <r>
      <rPr>
        <b val="true"/>
        <sz val="9"/>
        <color rgb="FF000000"/>
        <rFont val="Arial"/>
        <family val="0"/>
        <charset val="1"/>
      </rPr>
      <t xml:space="preserve">• TE-3181A: </t>
    </r>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0846. 
</t>
    </r>
    <r>
      <rPr>
        <b val="true"/>
        <sz val="9"/>
        <color rgb="FF000000"/>
        <rFont val="Arial"/>
        <family val="0"/>
        <charset val="1"/>
      </rPr>
      <t xml:space="preserve">• TE-3183A: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377046, </t>
    </r>
    <r>
      <rPr>
        <strike val="true"/>
        <sz val="9"/>
        <color rgb="FF1F4E9A"/>
        <rFont val="Arial"/>
        <family val="0"/>
        <charset val="1"/>
      </rPr>
      <t xml:space="preserve">Ex ia IIC T6..T1 Ga</t>
    </r>
    <r>
      <rPr>
        <sz val="9"/>
        <color rgb="FF1F4E9A"/>
        <rFont val="Arial"/>
        <family val="0"/>
        <charset val="1"/>
      </rPr>
      <t xml:space="preserve"> |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0848. </t>
    </r>
  </si>
  <si>
    <t xml:space="preserve">FT-3180</t>
  </si>
  <si>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t>
    </r>
  </si>
  <si>
    <t xml:space="preserve">OI 600 SIMT/F2</t>
  </si>
  <si>
    <t xml:space="preserve">Vazao min 300 / max 3000 | Conexao 4" 150#RF | Pressao max 19,5 | Temp max 60 C</t>
  </si>
  <si>
    <t xml:space="preserve">12537</t>
  </si>
  <si>
    <t xml:space="preserve">Sem dado teórico individual. Só leitura de campo (sem 2ª fonte).</t>
  </si>
  <si>
    <t xml:space="preserve">0878</t>
  </si>
  <si>
    <t xml:space="preserve">FT-3181</t>
  </si>
  <si>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t>
    </r>
  </si>
  <si>
    <t xml:space="preserve">MTF 80</t>
  </si>
  <si>
    <t xml:space="preserve">Classe exatidao 0,3 | QMM 100 | Temp max 60 min -20 | Pressao 19,58 | Vazao 150/15</t>
  </si>
  <si>
    <t xml:space="preserve">01361123</t>
  </si>
  <si>
    <t xml:space="preserve">0842-0844</t>
  </si>
  <si>
    <t xml:space="preserve">FT-3182</t>
  </si>
  <si>
    <r>
      <rPr>
        <b val="true"/>
        <sz val="9"/>
        <color rgb="FF1F4E9A"/>
        <rFont val="Arial"/>
        <family val="0"/>
        <charset val="1"/>
      </rPr>
      <t xml:space="preserve">Placa/campo: </t>
    </r>
    <r>
      <rPr>
        <sz val="9"/>
        <color rgb="FF1F4E9A"/>
        <rFont val="Arial"/>
        <family val="0"/>
        <charset val="1"/>
      </rPr>
      <t xml:space="preserve">Medidor massico – Metroval, OI 600 SIMT/F2, série 12538, 2024, Vazao min 300 / max 3000 | Conexao 4" 150#RF | Pressao max 19,5 | Temp max 60 C, Biodiesel B100.</t>
    </r>
  </si>
  <si>
    <t xml:space="preserve">12538</t>
  </si>
  <si>
    <t xml:space="preserve">0881</t>
  </si>
  <si>
    <t xml:space="preserve">FCV-3180</t>
  </si>
  <si>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t>
    </r>
  </si>
  <si>
    <t xml:space="preserve">VCDM-100</t>
  </si>
  <si>
    <t xml:space="preserve">DN 100 mm; T.max 70 C; PN 10 bar</t>
  </si>
  <si>
    <t xml:space="preserve">0313</t>
  </si>
  <si>
    <t xml:space="preserve">Sem dado teórico individual. Só leitura de campo (sem 2ª fonte). Pendente/ilegível: ano de fabricacao.</t>
  </si>
  <si>
    <t xml:space="preserve">0868-0871</t>
  </si>
  <si>
    <t xml:space="preserve">FCV-3181</t>
  </si>
  <si>
    <r>
      <rPr>
        <b val="true"/>
        <sz val="9"/>
        <color rgb="FF1F4E9A"/>
        <rFont val="Arial"/>
        <family val="0"/>
        <charset val="1"/>
      </rPr>
      <t xml:space="preserve">Placa/campo: </t>
    </r>
    <r>
      <rPr>
        <sz val="9"/>
        <color rgb="FF1F4E9A"/>
        <rFont val="Arial"/>
        <family val="0"/>
        <charset val="1"/>
      </rPr>
      <t xml:space="preserve">Valvula de controle de vazao – Metroval, VCDM-100, série 0316, DN 100 mm; T.max 70 C; PN 10 bar, Combustiveis.</t>
    </r>
  </si>
  <si>
    <t xml:space="preserve">0316</t>
  </si>
  <si>
    <t xml:space="preserve">Sem dado teórico individual. Só leitura de campo (sem 2ª fonte). antes "0315 ou 0316" - fechado 0316. Pendente/ilegível: associacao TAG x no de serie.</t>
  </si>
  <si>
    <t xml:space="preserve">0850-0852</t>
  </si>
  <si>
    <t xml:space="preserve">FCV-3182</t>
  </si>
  <si>
    <r>
      <rPr>
        <b val="true"/>
        <sz val="9"/>
        <color rgb="FF1F4E9A"/>
        <rFont val="Arial"/>
        <family val="0"/>
        <charset val="1"/>
      </rPr>
      <t xml:space="preserve">Placa/campo: </t>
    </r>
    <r>
      <rPr>
        <sz val="9"/>
        <color rgb="FF1F4E9A"/>
        <rFont val="Arial"/>
        <family val="0"/>
        <charset val="1"/>
      </rPr>
      <t xml:space="preserve">Valvula de controle de vazao – Metroval, VCDM-100, série 0314, DN 100 mm; T.max 70 C; PN 10 bar, Combustiveis.</t>
    </r>
  </si>
  <si>
    <t xml:space="preserve">0314</t>
  </si>
  <si>
    <t xml:space="preserve">0873-0876</t>
  </si>
  <si>
    <t xml:space="preserve">FCV-3183</t>
  </si>
  <si>
    <r>
      <rPr>
        <b val="true"/>
        <sz val="9"/>
        <color rgb="FF1F4E9A"/>
        <rFont val="Arial"/>
        <family val="0"/>
        <charset val="1"/>
      </rPr>
      <t xml:space="preserve">Placa/campo: </t>
    </r>
    <r>
      <rPr>
        <sz val="9"/>
        <color rgb="FF1F4E9A"/>
        <rFont val="Arial"/>
        <family val="0"/>
        <charset val="1"/>
      </rPr>
      <t xml:space="preserve">Valvula de controle de vazao – Metroval, VCDM-100, série 0315, DN 100 mm; T.max 70 C; PN 10 bar, Combustiveis.</t>
    </r>
  </si>
  <si>
    <t xml:space="preserve">0315</t>
  </si>
  <si>
    <t xml:space="preserve">Sem dado teórico individual. Só leitura de campo (sem 2ª fonte). antes "0315 ou 0316" - fechado 0315. Pendente/ilegível: associacao TAG x no de serie.</t>
  </si>
  <si>
    <t xml:space="preserve">0855-0859</t>
  </si>
  <si>
    <t xml:space="preserve">TE-3181A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</si>
  <si>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t>
    </r>
  </si>
  <si>
    <t xml:space="preserve">ALUTAL</t>
  </si>
  <si>
    <t xml:space="preserve">CEX-A-00015</t>
  </si>
  <si>
    <t xml:space="preserve">Ex ia IIC T6..T1 Ga | Ex ic IIC | IP66W/IP66X | INMETRO</t>
  </si>
  <si>
    <t xml:space="preserve">377046</t>
  </si>
  <si>
    <t xml:space="preserve">0846</t>
  </si>
  <si>
    <t xml:space="preserve">TE-3183A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</si>
  <si>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INMETRO, Instrumentacao.</t>
    </r>
  </si>
  <si>
    <t xml:space="preserve">Ex ia IIC T6..T1 Ga | INMETRO</t>
  </si>
  <si>
    <t xml:space="preserve">0848</t>
  </si>
  <si>
    <r>
      <rPr>
        <b val="true"/>
        <sz val="9"/>
        <color rgb="FF000000"/>
        <rFont val="Arial"/>
        <family val="0"/>
        <charset val="1"/>
      </rPr>
      <t xml:space="preserve">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03204045.NF: NF 1551 de 01/03/2024 – PHD Master Consultoria Ltda (CNPJ 68.806.496/0001-29): "Itens diversos", R$ 1.728.513,25 – valor exato da linha, emitente PHD MASTER CONSULTORIA, não Metroval.SAP: não há cadastro do skid; as bombas B-3124/B-3125 estão no SAP como "BOMBA CENTRIFUGA DESCARREG" (local PTM-10).Projeto: DE-3100-5100-006: plataforma de descarga PLDCT-03; LI-3100-6107: trole e chuveiros da "plataforma de descarga rodoviária"; LI-6105: linhas HC 1200-1205 das bombas B-3124/3125.</t>
    </r>
  </si>
  <si>
    <t xml:space="preserve">Metroval (crítica)</t>
  </si>
  <si>
    <t xml:space="preserve">não identificado</t>
  </si>
  <si>
    <t xml:space="preserve">2 bombas (crítica)</t>
  </si>
  <si>
    <t xml:space="preserve">1551</t>
  </si>
  <si>
    <t xml:space="preserve">01/03/2024</t>
  </si>
  <si>
    <t xml:space="preserve">PHD Master Consultoria Ltda (68.806.496/0001-29)</t>
  </si>
  <si>
    <t xml:space="preserve">valor exato; emitente PHD MASTER CONSULTORIA, não Metroval</t>
  </si>
  <si>
    <t xml:space="preserve">Sem caracterização de campo do skid. As imagens ANP Fig. 175/176 ("bomba de descarregamento de produto da plataforma rodoviária, lado A/B") mostram os mesmos conjuntos KSB/WEG das B-3124/B-3125 (Fig. 177/178, linha 13). Se as duas bombas do skid são as da linha 13, as bombas estão contadas duas vezes (KSB NF 34370 e PHD NF 1551). Pedir a composição do fornecimento da NF 1551.</t>
  </si>
  <si>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t>
  </si>
  <si>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t>
  </si>
  <si>
    <r>
      <rPr>
        <b val="true"/>
        <sz val="9"/>
        <color rgb="FF000000"/>
        <rFont val="Arial"/>
        <family val="0"/>
        <charset val="1"/>
      </rPr>
      <t xml:space="preserve">LINHA 14d – Skid de DESCARGA de caminhões-tanque com duas bombas (PLDCT-03) [CONJUNTO]
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 </t>
    </r>
    <r>
      <rPr>
        <b val="true"/>
        <sz val="9"/>
        <color rgb="FFC00000"/>
        <rFont val="Arial"/>
        <family val="0"/>
        <charset val="1"/>
      </rPr>
      <t xml:space="preserve">NF: </t>
    </r>
    <r>
      <rPr>
        <sz val="9"/>
        <color rgb="FFC00000"/>
        <rFont val="Arial"/>
        <family val="0"/>
        <charset val="1"/>
      </rPr>
      <t xml:space="preserve">NF 1551 de 01/03/2024 – PHD Master Consultoria Ltda (CNPJ 68.806.496/0001-29): "Itens diversos", R$ 1.728.513,25 – valor exato da linha, emitente PHD MASTER CONSULTORIA, não Metroval. </t>
    </r>
    <r>
      <rPr>
        <b val="true"/>
        <sz val="9"/>
        <color rgb="FF00703C"/>
        <rFont val="Arial"/>
        <family val="0"/>
        <charset val="1"/>
      </rPr>
      <t xml:space="preserve">SAP: </t>
    </r>
    <r>
      <rPr>
        <sz val="9"/>
        <color rgb="FF00703C"/>
        <rFont val="Arial"/>
        <family val="0"/>
        <charset val="1"/>
      </rPr>
      <t xml:space="preserve">não há cadastro do skid; as bombas B-3124/B-3125 estão no SAP como "BOMBA CENTRIFUGA DESCARREG" (local PTM-10). </t>
    </r>
    <r>
      <rPr>
        <b val="true"/>
        <sz val="9"/>
        <color rgb="FFB38600"/>
        <rFont val="Arial"/>
        <family val="0"/>
        <charset val="1"/>
      </rPr>
      <t xml:space="preserve">Projeto: </t>
    </r>
    <r>
      <rPr>
        <sz val="9"/>
        <color rgb="FFB38600"/>
        <rFont val="Arial"/>
        <family val="0"/>
        <charset val="1"/>
      </rPr>
      <t xml:space="preserve">DE-3100-5100-006: plataforma de descarga PLDCT-03; LI-3100-6107: trole e chuveiros da "plataforma de descarga rodoviária"; LI-6105: linhas HC 1200-1205 das bombas </t>
    </r>
    <r>
      <rPr>
        <strike val="true"/>
        <sz val="9"/>
        <color rgb="FFB38600"/>
        <rFont val="Arial"/>
        <family val="0"/>
        <charset val="1"/>
      </rPr>
      <t xml:space="preserve">B-3124</t>
    </r>
    <r>
      <rPr>
        <sz val="9"/>
        <color rgb="FFB38600"/>
        <rFont val="Arial"/>
        <family val="0"/>
        <charset val="1"/>
      </rPr>
      <t xml:space="preserve">/3125. 
</t>
    </r>
    <r>
      <rPr>
        <b val="true"/>
        <sz val="9"/>
        <color rgb="FFC00000"/>
        <rFont val="Arial"/>
        <family val="0"/>
        <charset val="1"/>
      </rPr>
      <t xml:space="preserve">NF (colunas K-Q): </t>
    </r>
    <r>
      <rPr>
        <sz val="9"/>
        <color rgb="FFC00000"/>
        <rFont val="Arial"/>
        <family val="0"/>
        <charset val="1"/>
      </rPr>
      <t xml:space="preserve">NF nº 1551 de 01/03/2024 – </t>
    </r>
    <r>
      <rPr>
        <strike val="true"/>
        <sz val="9"/>
        <color rgb="FFC00000"/>
        <rFont val="Arial"/>
        <family val="0"/>
        <charset val="1"/>
      </rPr>
      <t xml:space="preserve">PHD Master Consultoria Ltda</t>
    </r>
    <r>
      <rPr>
        <sz val="9"/>
        <color rgb="FFC00000"/>
        <rFont val="Arial"/>
        <family val="0"/>
        <charset val="1"/>
      </rPr>
      <t xml:space="preserve"> (</t>
    </r>
    <r>
      <rPr>
        <strike val="true"/>
        <sz val="9"/>
        <color rgb="FFC00000"/>
        <rFont val="Arial"/>
        <family val="0"/>
        <charset val="1"/>
      </rPr>
      <t xml:space="preserve">68.806.496/0001-29</t>
    </r>
    <r>
      <rPr>
        <sz val="9"/>
        <color rgb="FFC00000"/>
        <rFont val="Arial"/>
        <family val="0"/>
        <charset val="1"/>
      </rPr>
      <t xml:space="preserve">) – valor comprovado R$ 1.728.513,25. </t>
    </r>
    <r>
      <rPr>
        <b val="true"/>
        <sz val="9"/>
        <color rgb="FF000000"/>
        <rFont val="Arial"/>
        <family val="0"/>
        <charset val="1"/>
      </rPr>
      <t xml:space="preserve">Atribuição: </t>
    </r>
    <r>
      <rPr>
        <sz val="9"/>
        <color rgb="FF000000"/>
        <rFont val="Arial"/>
        <family val="0"/>
        <charset val="1"/>
      </rPr>
      <t xml:space="preserve">valor exato; emitente PHD MASTER CONSULTORIA, não Metroval. </t>
    </r>
    <r>
      <rPr>
        <b val="true"/>
        <sz val="9"/>
        <color rgb="FF000000"/>
        <rFont val="Arial"/>
        <family val="0"/>
        <charset val="1"/>
      </rPr>
      <t xml:space="preserve">Crítica (colunas N-P): </t>
    </r>
    <r>
      <rPr>
        <sz val="9"/>
        <color rgb="FF000000"/>
        <rFont val="Arial"/>
        <family val="0"/>
        <charset val="1"/>
      </rPr>
      <t xml:space="preserve">qtd 1, unitário R$ 1.728.513,25, total R$ 1.728.513,25. 
</t>
    </r>
    <r>
      <rPr>
        <b val="true"/>
        <sz val="9"/>
        <color rgb="FF000000"/>
        <rFont val="Arial"/>
        <family val="0"/>
        <charset val="1"/>
      </rPr>
      <t xml:space="preserve">Ficha (colunas E-J): Marca: </t>
    </r>
    <r>
      <rPr>
        <sz val="9"/>
        <color rgb="FF000000"/>
        <rFont val="Arial"/>
        <family val="0"/>
        <charset val="1"/>
      </rPr>
      <t xml:space="preserve">Metroval (crítica). </t>
    </r>
    <r>
      <rPr>
        <b val="true"/>
        <sz val="9"/>
        <color rgb="FF1F4E9A"/>
        <rFont val="Arial"/>
        <family val="0"/>
        <charset val="1"/>
      </rPr>
      <t xml:space="preserve">Modelo: </t>
    </r>
    <r>
      <rPr>
        <sz val="9"/>
        <color rgb="FF1F4E9A"/>
        <rFont val="Arial"/>
        <family val="0"/>
        <charset val="1"/>
      </rPr>
      <t xml:space="preserve">não identificado. </t>
    </r>
    <r>
      <rPr>
        <b val="true"/>
        <sz val="9"/>
        <color rgb="FF000000"/>
        <rFont val="Arial"/>
        <family val="0"/>
        <charset val="1"/>
      </rPr>
      <t xml:space="preserve">Capacidade: </t>
    </r>
    <r>
      <rPr>
        <sz val="9"/>
        <color rgb="FF000000"/>
        <rFont val="Arial"/>
        <family val="0"/>
        <charset val="1"/>
      </rPr>
      <t xml:space="preserve">2 bombas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Sem caracterização de campo do skid. As imagens ANP Fig. 175/176 ("bomba de descarregamento de produto da plataforma rodoviária, lado A/B") mostram os mesmos conjuntos KSB/WEG das </t>
    </r>
    <r>
      <rPr>
        <strike val="true"/>
        <sz val="9"/>
        <color rgb="FF000000"/>
        <rFont val="Arial"/>
        <family val="0"/>
        <charset val="1"/>
      </rPr>
      <t xml:space="preserve">B-3124</t>
    </r>
    <r>
      <rPr>
        <sz val="9"/>
        <color rgb="FF000000"/>
        <rFont val="Arial"/>
        <family val="0"/>
        <charset val="1"/>
      </rPr>
      <t xml:space="preserve">/</t>
    </r>
    <r>
      <rPr>
        <strike val="true"/>
        <sz val="9"/>
        <color rgb="FF000000"/>
        <rFont val="Arial"/>
        <family val="0"/>
        <charset val="1"/>
      </rPr>
      <t xml:space="preserve">B-3125</t>
    </r>
    <r>
      <rPr>
        <sz val="9"/>
        <color rgb="FF000000"/>
        <rFont val="Arial"/>
        <family val="0"/>
        <charset val="1"/>
      </rPr>
      <t xml:space="preserve"> (Fig. 177/178, linha 13). Se as duas bombas do skid são as da linha 13, as bombas estão contadas duas vezes (KSB NF 34370 e PHD NF 1551). Pedir a composição do fornecimento da NF 1551. </t>
    </r>
    <r>
      <rPr>
        <b val="true"/>
        <sz val="9"/>
        <color rgb="FF000000"/>
        <rFont val="Arial"/>
        <family val="0"/>
        <charset val="1"/>
      </rPr>
      <t xml:space="preserve">Fotos (coluna U): </t>
    </r>
    <r>
      <rPr>
        <strike val="true"/>
        <sz val="9"/>
        <color rgb="FF000000"/>
        <rFont val="Arial"/>
        <family val="0"/>
        <charset val="1"/>
      </rPr>
      <t xml:space="preserve">ANP Fig. 175, 176</t>
    </r>
    <r>
      <rPr>
        <sz val="9"/>
        <color rgb="FF000000"/>
        <rFont val="Arial"/>
        <family val="0"/>
        <charset val="1"/>
      </rPr>
      <t xml:space="preserve">. 
</t>
    </r>
    <r>
      <rPr>
        <b val="true"/>
        <sz val="9"/>
        <color rgb="FF002060"/>
        <rFont val="Arial"/>
        <family val="0"/>
        <charset val="1"/>
      </rPr>
      <t xml:space="preserve">Cotação OPE154: </t>
    </r>
    <r>
      <rPr>
        <sz val="9"/>
        <color rgb="FF002060"/>
        <rFont val="Arial"/>
        <family val="0"/>
        <charset val="1"/>
      </rPr>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 
</t>
    </r>
    <r>
      <rPr>
        <b val="true"/>
        <sz val="9"/>
        <color rgb="FF7030A0"/>
        <rFont val="Arial"/>
        <family val="0"/>
        <charset val="1"/>
      </rPr>
      <t xml:space="preserve">Novo v2 (achados / correções / proposições): </t>
    </r>
    <r>
      <rPr>
        <sz val="9"/>
        <color rgb="FF7030A0"/>
        <rFont val="Arial"/>
        <family val="0"/>
        <charset val="1"/>
      </rPr>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 </t>
    </r>
  </si>
  <si>
    <r>
      <rPr>
        <b val="true"/>
        <sz val="9"/>
        <color rgb="FF000000"/>
        <rFont val="Arial"/>
        <family val="0"/>
        <charset val="1"/>
      </rPr>
      <t xml:space="preserve">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03204045.NF: prováveis: NF 42239 de 13/11/2024 – Metroval Controle de Fluidos Ltda (CNPJ 58.762.956/0001-00): "Válvula on-off", R$ 260.000,03; NF 7032 de 04/06/2024 – TSPRO Fab. Dist. e Rep. de Equip. Industriais (CNPJ 13.108.393/0001-01): "BT modelo C 4 pol. vedações", R$ 87.357,24; NF 7488 de 03/10/2024 – TSPRO Fab. Dist. e Rep. de Equip. Industriais (CNPJ 13.108.393/0001-01): "BT modelo C 4 pol.", R$ 218.393,10.SAP: não consta na base SAP (seleção).Projeto: LI-3100-6107: trole da plataforma de descarga ferroviária e visores de fluxo do desvio ferroviário (H-3177 a 31204) – não detalha braços/SDV.</t>
    </r>
  </si>
  <si>
    <t xml:space="preserve">Metroval (crítica) / TSPRO (braços)</t>
  </si>
  <si>
    <t xml:space="preserve">braços TSPRO BTC-42CA.0466-4, 4"</t>
  </si>
  <si>
    <t xml:space="preserve">10 SDV, 10 sensores XNNN-0210, 30 alvos MS-PSH-G, 6 botoeiras (crítica)</t>
  </si>
  <si>
    <t xml:space="preserve">rastreamento 7741/24-02 a -05; BP-2123</t>
  </si>
  <si>
    <t xml:space="preserve">28/05/2024 (lote 1)</t>
  </si>
  <si>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t>
  </si>
  <si>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t>
  </si>
  <si>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t>
  </si>
  <si>
    <r>
      <rPr>
        <b val="true"/>
        <sz val="9"/>
        <color rgb="FF000000"/>
        <rFont val="Arial"/>
        <family val="0"/>
        <charset val="1"/>
      </rPr>
      <t xml:space="preserve">LINHA 14e – Carregamento ferroviário (braços TSPRO, SDV, sensores, alvos, botoeiras) [CONJUNTO]
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 </t>
    </r>
    <r>
      <rPr>
        <b val="true"/>
        <sz val="9"/>
        <color rgb="FFC00000"/>
        <rFont val="Arial"/>
        <family val="0"/>
        <charset val="1"/>
      </rPr>
      <t xml:space="preserve">NF: </t>
    </r>
    <r>
      <rPr>
        <sz val="9"/>
        <color rgb="FFC00000"/>
        <rFont val="Arial"/>
        <family val="0"/>
        <charset val="1"/>
      </rPr>
      <t xml:space="preserve">prováveis: NF 42239 de 13/11/2024 – Metroval Controle de Fluidos Ltda (CNPJ 58.762.956/0001-00): "Válvula on-off", R$ 260.000,03; NF 7032 de 04/06/2024 – TSPRO Fab. Dist. e Rep. de Equip. Industriais (CNPJ 13.108.393/0001-01): "BT modelo C 4 pol. vedações", R$ 87.357,24; NF 7488 de 03/10/2024 – </t>
    </r>
    <r>
      <rPr>
        <strike val="true"/>
        <sz val="9"/>
        <color rgb="FFC00000"/>
        <rFont val="Arial"/>
        <family val="0"/>
        <charset val="1"/>
      </rPr>
      <t xml:space="preserve">TSPRO Fab. Dist. e Rep. de Equip. Industriais</t>
    </r>
    <r>
      <rPr>
        <sz val="9"/>
        <color rgb="FFC00000"/>
        <rFont val="Arial"/>
        <family val="0"/>
        <charset val="1"/>
      </rPr>
      <t xml:space="preserve"> (CNPJ </t>
    </r>
    <r>
      <rPr>
        <strike val="true"/>
        <sz val="9"/>
        <color rgb="FFC00000"/>
        <rFont val="Arial"/>
        <family val="0"/>
        <charset val="1"/>
      </rPr>
      <t xml:space="preserve">13.108.393/0001-01</t>
    </r>
    <r>
      <rPr>
        <sz val="9"/>
        <color rgb="FFC00000"/>
        <rFont val="Arial"/>
        <family val="0"/>
        <charset val="1"/>
      </rPr>
      <t xml:space="preserve">): "BT modelo C 4 pol.", R$ 218.393,10.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trole da plataforma de descarga ferroviária e visores de fluxo do desvio ferroviário (H-3177 a 31204) – não detalha braços/SDV. </t>
    </r>
    <r>
      <rPr>
        <b val="true"/>
        <sz val="9"/>
        <color rgb="FF000000"/>
        <rFont val="Arial"/>
        <family val="0"/>
        <charset val="1"/>
      </rPr>
      <t xml:space="preserve">Crítica (colunas N-P): </t>
    </r>
    <r>
      <rPr>
        <sz val="9"/>
        <color rgb="FF000000"/>
        <rFont val="Arial"/>
        <family val="0"/>
        <charset val="1"/>
      </rPr>
      <t xml:space="preserve">qtd 1, unitário R$ 1.462.832,34, total R$ 1.462.832,34.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TSPRO (braços). </t>
    </r>
    <r>
      <rPr>
        <b val="true"/>
        <sz val="9"/>
        <color rgb="FF1F4E9A"/>
        <rFont val="Arial"/>
        <family val="0"/>
        <charset val="1"/>
      </rPr>
      <t xml:space="preserve">Modelo: </t>
    </r>
    <r>
      <rPr>
        <sz val="9"/>
        <color rgb="FF1F4E9A"/>
        <rFont val="Arial"/>
        <family val="0"/>
        <charset val="1"/>
      </rPr>
      <t xml:space="preserve">braços TSPRO BTC-42CA.0466-4, 4". </t>
    </r>
    <r>
      <rPr>
        <b val="true"/>
        <sz val="9"/>
        <color rgb="FF000000"/>
        <rFont val="Arial"/>
        <family val="0"/>
        <charset val="1"/>
      </rPr>
      <t xml:space="preserve">Capacidade: </t>
    </r>
    <r>
      <rPr>
        <sz val="9"/>
        <color rgb="FF000000"/>
        <rFont val="Arial"/>
        <family val="0"/>
        <charset val="1"/>
      </rPr>
      <t xml:space="preserve">10 SDV, 10 sensores XNNN-0210, 30 alvos MS-PSH-G, 6 botoeiras (crítica). </t>
    </r>
    <r>
      <rPr>
        <b val="true"/>
        <sz val="9"/>
        <color rgb="FF1F4E9A"/>
        <rFont val="Arial"/>
        <family val="0"/>
        <charset val="1"/>
      </rPr>
      <t xml:space="preserve">Série/OP: </t>
    </r>
    <r>
      <rPr>
        <sz val="9"/>
        <color rgb="FF1F4E9A"/>
        <rFont val="Arial"/>
        <family val="0"/>
        <charset val="1"/>
      </rPr>
      <t xml:space="preserve">rastreamento 7741/24-02 a -05; BP-2123.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28/05/2024 (lote 1). 
</t>
    </r>
    <r>
      <rPr>
        <b val="true"/>
        <sz val="9"/>
        <color rgb="FF000000"/>
        <rFont val="Arial"/>
        <family val="0"/>
        <charset val="1"/>
      </rPr>
      <t xml:space="preserve">Obs. (coluna T): </t>
    </r>
    <r>
      <rPr>
        <sz val="9"/>
        <color rgb="FF000000"/>
        <rFont val="Arial"/>
        <family val="0"/>
        <charset val="1"/>
      </rPr>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 </t>
    </r>
    <r>
      <rPr>
        <b val="true"/>
        <sz val="9"/>
        <color rgb="FF000000"/>
        <rFont val="Arial"/>
        <family val="0"/>
        <charset val="1"/>
      </rPr>
      <t xml:space="preserve">Fotos (coluna U): </t>
    </r>
    <r>
      <rPr>
        <sz val="9"/>
        <color rgb="FF000000"/>
        <rFont val="Arial"/>
        <family val="0"/>
        <charset val="1"/>
      </rPr>
      <t xml:space="preserve">0886-0960 | ANP Fig. 119, 128, 131. 
</t>
    </r>
    <r>
      <rPr>
        <b val="true"/>
        <sz val="9"/>
        <color rgb="FF002060"/>
        <rFont val="Arial"/>
        <family val="0"/>
        <charset val="1"/>
      </rPr>
      <t xml:space="preserve">Cotação OPE154: </t>
    </r>
    <r>
      <rPr>
        <sz val="9"/>
        <color rgb="FF002060"/>
        <rFont val="Arial"/>
        <family val="0"/>
        <charset val="1"/>
      </rPr>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 
</t>
    </r>
    <r>
      <rPr>
        <b val="true"/>
        <sz val="9"/>
        <color rgb="FF7030A0"/>
        <rFont val="Arial"/>
        <family val="0"/>
        <charset val="1"/>
      </rPr>
      <t xml:space="preserve">Novo v2 (achados / correções / proposições): </t>
    </r>
    <r>
      <rPr>
        <sz val="9"/>
        <color rgb="FF7030A0"/>
        <rFont val="Arial"/>
        <family val="0"/>
        <charset val="1"/>
      </rPr>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 
</t>
    </r>
    <r>
      <rPr>
        <b val="true"/>
        <sz val="9"/>
        <color rgb="FF000000"/>
        <rFont val="Arial"/>
        <family val="0"/>
        <charset val="1"/>
      </rPr>
      <t xml:space="preserve">COMPONENTES (3):
• BR ferrov. (lote 1): </t>
    </r>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 </t>
    </r>
    <r>
      <rPr>
        <b val="true"/>
        <sz val="9"/>
        <color rgb="FF000000"/>
        <rFont val="Arial"/>
        <family val="0"/>
        <charset val="1"/>
      </rPr>
      <t xml:space="preserve">Obs.: </t>
    </r>
    <r>
      <rPr>
        <sz val="9"/>
        <color rgb="FF000000"/>
        <rFont val="Arial"/>
        <family val="0"/>
        <charset val="1"/>
      </rPr>
      <t xml:space="preserve">Sem dado teórico individual. Pendente/ilegível: rastreamento de ~6 bracos ilegivel por reflexo. </t>
    </r>
    <r>
      <rPr>
        <b val="true"/>
        <sz val="9"/>
        <color rgb="FF000000"/>
        <rFont val="Arial"/>
        <family val="0"/>
        <charset val="1"/>
      </rPr>
      <t xml:space="preserve">Fotos: </t>
    </r>
    <r>
      <rPr>
        <sz val="9"/>
        <color rgb="FF000000"/>
        <rFont val="Arial"/>
        <family val="0"/>
        <charset val="1"/>
      </rPr>
      <t xml:space="preserve">0888-0931. 
</t>
    </r>
    <r>
      <rPr>
        <b val="true"/>
        <sz val="9"/>
        <color rgb="FF000000"/>
        <rFont val="Arial"/>
        <family val="0"/>
        <charset val="1"/>
      </rPr>
      <t xml:space="preserve">• BR ferrov. (lote 2): </t>
    </r>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t>
    </r>
    <r>
      <rPr>
        <strike val="true"/>
        <sz val="9"/>
        <color rgb="FF1F4E9A"/>
        <rFont val="Arial"/>
        <family val="0"/>
        <charset val="1"/>
      </rPr>
      <t xml:space="preserve">ASME B31.3/ASME IX</t>
    </r>
    <r>
      <rPr>
        <sz val="9"/>
        <color rgb="FF1F4E9A"/>
        <rFont val="Arial"/>
        <family val="0"/>
        <charset val="1"/>
      </rPr>
      <t xml:space="preserve"> | 4" CARBONO AL / VITON | </t>
    </r>
    <r>
      <rPr>
        <strike val="true"/>
        <sz val="9"/>
        <color rgb="FF1F4E9A"/>
        <rFont val="Arial"/>
        <family val="0"/>
        <charset val="1"/>
      </rPr>
      <t xml:space="preserve">Cliente ULTRACARGO PALMEIRANTE</t>
    </r>
    <r>
      <rPr>
        <sz val="9"/>
        <color rgb="FF1F4E9A"/>
        <rFont val="Arial"/>
        <family val="0"/>
        <charset val="1"/>
      </rPr>
      <t xml:space="preserve">, </t>
    </r>
    <r>
      <rPr>
        <strike val="true"/>
        <sz val="9"/>
        <color rgb="FF1F4E9A"/>
        <rFont val="Arial"/>
        <family val="0"/>
        <charset val="1"/>
      </rPr>
      <t xml:space="preserve">Carregamento ferroviario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SEGUNDO PEDIDO DE COMPRA - codigo de equipamento e data a confirmar. </t>
    </r>
    <r>
      <rPr>
        <b val="true"/>
        <sz val="9"/>
        <color rgb="FF000000"/>
        <rFont val="Arial"/>
        <family val="0"/>
        <charset val="1"/>
      </rPr>
      <t xml:space="preserve">Fotos: </t>
    </r>
    <r>
      <rPr>
        <sz val="9"/>
        <color rgb="FF000000"/>
        <rFont val="Arial"/>
        <family val="0"/>
        <charset val="1"/>
      </rPr>
      <t xml:space="preserve">0950, 0951, 0956. 
</t>
    </r>
    <r>
      <rPr>
        <b val="true"/>
        <sz val="9"/>
        <color rgb="FF000000"/>
        <rFont val="Arial"/>
        <family val="0"/>
        <charset val="1"/>
      </rPr>
      <t xml:space="preserve">• Plataformas 8 a 14 – lado B: </t>
    </r>
    <r>
      <rPr>
        <b val="true"/>
        <sz val="9"/>
        <color rgb="FF1F4E9A"/>
        <rFont val="Arial"/>
        <family val="0"/>
        <charset val="1"/>
      </rPr>
      <t xml:space="preserve">Placa/campo: </t>
    </r>
    <r>
      <rPr>
        <sz val="9"/>
        <color rgb="FF1F4E9A"/>
        <rFont val="Arial"/>
        <family val="0"/>
        <charset val="1"/>
      </rPr>
      <t xml:space="preserve">7 ilhas cadastradas no preset (ilha 8 = preset 1 ... ilha 14 = preset 7). </t>
    </r>
    <r>
      <rPr>
        <b val="true"/>
        <sz val="9"/>
        <color rgb="FF000000"/>
        <rFont val="Arial"/>
        <family val="0"/>
        <charset val="1"/>
      </rPr>
      <t xml:space="preserve">Obs.: </t>
    </r>
    <r>
      <rPr>
        <sz val="9"/>
        <color rgb="FF000000"/>
        <rFont val="Arial"/>
        <family val="0"/>
        <charset val="1"/>
      </rPr>
      <t xml:space="preserve">Lado A e numeração completa das plataformas a confirmar (pedido M16). </t>
    </r>
    <r>
      <rPr>
        <b val="true"/>
        <sz val="9"/>
        <color rgb="FF000000"/>
        <rFont val="Arial"/>
        <family val="0"/>
        <charset val="1"/>
      </rPr>
      <t xml:space="preserve">Fotos: </t>
    </r>
    <r>
      <rPr>
        <sz val="9"/>
        <color rgb="FF000000"/>
        <rFont val="Arial"/>
        <family val="0"/>
        <charset val="1"/>
      </rPr>
      <t xml:space="preserve">0886, 0897, 0900, 0906, 0923, 0934, 0960, 0917. </t>
    </r>
  </si>
  <si>
    <t xml:space="preserve">BR ferrov. (lote 1)</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</si>
  <si>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t>
    </r>
  </si>
  <si>
    <t xml:space="preserve">TSPRO</t>
  </si>
  <si>
    <t xml:space="preserve">BTC-42CA.0466-4</t>
  </si>
  <si>
    <t xml:space="preserve">TSPRO | ASME B31.3 / ASME IX | BTC-42CA.0466-4 | 4" CARB. ALUM. / VITON | Cliente ULTRACARGO PALMEIRANTE | 4 unidades com rastreamento individual lido</t>
  </si>
  <si>
    <t xml:space="preserve">Num. rastr. 7741/24-02, -03, -04, -05</t>
  </si>
  <si>
    <t xml:space="preserve">28/05/2024</t>
  </si>
  <si>
    <t xml:space="preserve">Sem dado teórico individual. Pendente/ilegível: rastreamento de ~6 bracos ilegivel por reflexo.</t>
  </si>
  <si>
    <t xml:space="preserve">0888-0931</t>
  </si>
  <si>
    <t xml:space="preserve">BR ferrov. (lote 2)</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</si>
  <si>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ASME B31.3/ASME IX | 4" CARBONO AL / VITON | Cliente ULTRACARGO PALMEIRANTE, Carregamento ferroviario.</t>
    </r>
  </si>
  <si>
    <t xml:space="preserve">BTC-42CA.0466-? (parcial)</t>
  </si>
  <si>
    <t xml:space="preserve">TSPRO | ASME B31.3/ASME IX | 4" CARBONO AL / VITON | Cliente ULTRACARGO PALMEIRANTE</t>
  </si>
  <si>
    <t xml:space="preserve">Num. rastr. BP-2123</t>
  </si>
  <si>
    <t xml:space="preserve">Sem dado teórico individual. Pendente/ilegível: SEGUNDO PEDIDO DE COMPRA - codigo de equipamento e data a confirmar.</t>
  </si>
  <si>
    <t xml:space="preserve">0950, 0951, 0956</t>
  </si>
  <si>
    <t xml:space="preserve">Plataformas 8 a 14 – lado B</t>
  </si>
  <si>
    <r>
      <rPr>
        <b val="true"/>
        <sz val="9"/>
        <color rgb="FF1F4E9A"/>
        <rFont val="Arial"/>
        <family val="0"/>
        <charset val="1"/>
      </rPr>
      <t xml:space="preserve">Placa/campo: </t>
    </r>
    <r>
      <rPr>
        <sz val="9"/>
        <color rgb="FF1F4E9A"/>
        <rFont val="Arial"/>
        <family val="0"/>
        <charset val="1"/>
      </rPr>
      <t xml:space="preserve">7 ilhas cadastradas no preset (ilha 8 = preset 1 ... ilha 14 = preset 7).</t>
    </r>
  </si>
  <si>
    <t xml:space="preserve">7 posições de carregamento</t>
  </si>
  <si>
    <t xml:space="preserve">Lado A e numeração completa das plataformas a confirmar (pedido M16).</t>
  </si>
  <si>
    <t xml:space="preserve">0886, 0897, 0900, 0906, 0923, 0934, 0960, 0917</t>
  </si>
  <si>
    <t xml:space="preserve">(TAG pendente) – Medidor de vazao tipo turbina</t>
  </si>
  <si>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t>
    </r>
  </si>
  <si>
    <t xml:space="preserve">MTF-80</t>
  </si>
  <si>
    <t xml:space="preserve">Classe exatidao 0,3; QMM 100; 60/-20 C; 19,58; vazao 150/15</t>
  </si>
  <si>
    <t xml:space="preserve">01291123</t>
  </si>
  <si>
    <t xml:space="preserve">Sem dado teórico individual. Só leitura de campo (sem 2ª fonte). Pendente/ilegível: TAG. Vínculo a 14a/14b/14d não documentado.</t>
  </si>
  <si>
    <t xml:space="preserve">0306, 0307</t>
  </si>
  <si>
    <r>
      <rPr>
        <b val="true"/>
        <sz val="9"/>
        <color rgb="FF000000"/>
        <rFont val="Arial"/>
        <family val="0"/>
        <charset val="1"/>
      </rPr>
      <t xml:space="preserve">LINHA 14 (comp.) – Componentes de campo da linha 14 sem vínculo documentado a 14a/14b/14d [COMPONENTES SEM VÍNCULO]
</t>
    </r>
    <r>
      <rPr>
        <b val="true"/>
        <sz val="9"/>
        <color rgb="FF7030A0"/>
        <rFont val="Arial"/>
        <family val="0"/>
        <charset val="1"/>
      </rPr>
      <t xml:space="preserve">Novo v2: </t>
    </r>
    <r>
      <rPr>
        <sz val="9"/>
        <color rgb="FF7030A0"/>
        <rFont val="Arial"/>
        <family val="0"/>
        <charset val="1"/>
      </rPr>
      <t xml:space="preserve">58 instrumentos e válvulas lidos em campo (medidores de vazão turbina MTF-80 e mássicos OI 50, válvulas de controle VCDM, válvulas on-off VOOM, transmissores de temperatura Alutal, monitores de transbordamento/aterramento KFW) – todos Metroval, Alutal ou KFW, compatíveis com o fornecimento Metroval (faturamento direto Ecoserv para os KFW: 32 monitores, NF 110). Sem lista de equipamentos Metroval não é possível alocar cada item a 14a, 14b ou 14d; para o laudo propõe-se tratá-los como componentes do conjunto de skids (linha 14) e usar as fotos de placa como comprovação. 
</t>
    </r>
    <r>
      <rPr>
        <b val="true"/>
        <sz val="9"/>
        <color rgb="FF000000"/>
        <rFont val="Arial"/>
        <family val="0"/>
        <charset val="1"/>
      </rPr>
      <t xml:space="preserve">COMPONENTES (58):
• (TAG pendente) – Medidor de vazao tipo turbina: </t>
    </r>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 </t>
    </r>
    <r>
      <rPr>
        <b val="true"/>
        <sz val="9"/>
        <color rgb="FF000000"/>
        <rFont val="Arial"/>
        <family val="0"/>
        <charset val="1"/>
      </rPr>
      <t xml:space="preserve">Obs.: </t>
    </r>
    <r>
      <rPr>
        <sz val="9"/>
        <color rgb="FF000000"/>
        <rFont val="Arial"/>
        <family val="0"/>
        <charset val="1"/>
      </rPr>
      <t xml:space="preserve">Sem dado teórico individual. Só leitura de campo (sem 2ª fonte). Pendente/ilegível: TAG. Vínculo a 14a/14b/14d não documentado. </t>
    </r>
    <r>
      <rPr>
        <b val="true"/>
        <sz val="9"/>
        <color rgb="FF000000"/>
        <rFont val="Arial"/>
        <family val="0"/>
        <charset val="1"/>
      </rPr>
      <t xml:space="preserve">Fotos: </t>
    </r>
    <r>
      <rPr>
        <sz val="9"/>
        <color rgb="FF000000"/>
        <rFont val="Arial"/>
        <family val="0"/>
        <charset val="1"/>
      </rPr>
      <t xml:space="preserve">0306, 0307.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0417-0420.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FT-3102?).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0403-0405.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0356-0359.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FT-315?).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0408-0410.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FT-3146?).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0557, 0558.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01471123,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0654, 0658, 0659.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FT-3158?).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0413-0415.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0562-0564.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01501123,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0674-0676. 
</t>
    </r>
    <r>
      <rPr>
        <b val="true"/>
        <sz val="9"/>
        <color rgb="FF000000"/>
        <rFont val="Arial"/>
        <family val="0"/>
        <charset val="1"/>
      </rPr>
      <t xml:space="preserve">• FCV-3140: </t>
    </r>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(0532 "0?9?" era esta valvula).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0527-0532. 
</t>
    </r>
    <r>
      <rPr>
        <b val="true"/>
        <sz val="9"/>
        <color rgb="FF000000"/>
        <rFont val="Arial"/>
        <family val="0"/>
        <charset val="1"/>
      </rPr>
      <t xml:space="preserve">• FCV-3141: </t>
    </r>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0686-0691. 
</t>
    </r>
    <r>
      <rPr>
        <b val="true"/>
        <sz val="9"/>
        <color rgb="FF000000"/>
        <rFont val="Arial"/>
        <family val="0"/>
        <charset val="1"/>
      </rPr>
      <t xml:space="preserve">• FCV-3142: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0289,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parcialmente legivel (FCV-314?).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0525-0526. 
</t>
    </r>
    <r>
      <rPr>
        <b val="true"/>
        <sz val="9"/>
        <color rgb="FF000000"/>
        <rFont val="Arial"/>
        <family val="0"/>
        <charset val="1"/>
      </rPr>
      <t xml:space="preserve">• FCV-3144: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0620-0622. 
</t>
    </r>
    <r>
      <rPr>
        <b val="true"/>
        <sz val="9"/>
        <color rgb="FF000000"/>
        <rFont val="Arial"/>
        <family val="0"/>
        <charset val="1"/>
      </rPr>
      <t xml:space="preserve">• FCV-3145: </t>
    </r>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0636-0637. 
</t>
    </r>
    <r>
      <rPr>
        <b val="true"/>
        <sz val="9"/>
        <color rgb="FF000000"/>
        <rFont val="Arial"/>
        <family val="0"/>
        <charset val="1"/>
      </rPr>
      <t xml:space="preserve">• FCV-3146: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0310,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placa e tag em fotos seguidas (nao na mesma foto).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0612-0618. 
</t>
    </r>
    <r>
      <rPr>
        <b val="true"/>
        <sz val="9"/>
        <color rgb="FF000000"/>
        <rFont val="Arial"/>
        <family val="0"/>
        <charset val="1"/>
      </rPr>
      <t xml:space="preserve">• FCV-3147: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0274,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0630-0634. 
</t>
    </r>
    <r>
      <rPr>
        <b val="true"/>
        <sz val="9"/>
        <color rgb="FF000000"/>
        <rFont val="Arial"/>
        <family val="0"/>
        <charset val="1"/>
      </rPr>
      <t xml:space="preserve">• FCV-3148: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0312,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pouco legivel.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0607-0609. 
</t>
    </r>
    <r>
      <rPr>
        <b val="true"/>
        <sz val="9"/>
        <color rgb="FF000000"/>
        <rFont val="Arial"/>
        <family val="0"/>
        <charset val="1"/>
      </rPr>
      <t xml:space="preserve">• FCV-3149: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0290,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sem mudanca.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0534-0537. 
</t>
    </r>
    <r>
      <rPr>
        <b val="true"/>
        <sz val="9"/>
        <color rgb="FF000000"/>
        <rFont val="Arial"/>
        <family val="0"/>
        <charset val="1"/>
      </rPr>
      <t xml:space="preserve">• FCV-3150: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0317,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"FCV-31?? 0317".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0693-0696. 
</t>
    </r>
    <r>
      <rPr>
        <b val="true"/>
        <sz val="9"/>
        <color rgb="FF000000"/>
        <rFont val="Arial"/>
        <family val="0"/>
        <charset val="1"/>
      </rPr>
      <t xml:space="preserve">• FCV-3151: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0291,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FCV-3161 (leitura errada do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0539-0540. 
</t>
    </r>
    <r>
      <rPr>
        <b val="true"/>
        <sz val="9"/>
        <color rgb="FF000000"/>
        <rFont val="Arial"/>
        <family val="0"/>
        <charset val="1"/>
      </rPr>
      <t xml:space="preserve">• FCV-3152: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0318,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WA0315): WA0315 "</t>
    </r>
    <r>
      <rPr>
        <strike val="true"/>
        <sz val="9"/>
        <color rgb="FF000000"/>
        <rFont val="Arial"/>
        <family val="0"/>
        <charset val="1"/>
      </rPr>
      <t xml:space="preserve">FCV-3152</t>
    </r>
    <r>
      <rPr>
        <sz val="9"/>
        <color rgb="FF000000"/>
        <rFont val="Arial"/>
        <family val="0"/>
        <charset val="1"/>
      </rPr>
      <t xml:space="preserve"> (provavel)" Nr.S 0309 - DIVERGE – DIVERGE. antes lida "0316" - leitura errada; o Nr.S e 0318.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0698-0700. 
</t>
    </r>
    <r>
      <rPr>
        <b val="true"/>
        <sz val="9"/>
        <color rgb="FF000000"/>
        <rFont val="Arial"/>
        <family val="0"/>
        <charset val="1"/>
      </rPr>
      <t xml:space="preserve">• FCV-3155: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0293,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WA0308): WA0308 0293 - confere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0387. 
</t>
    </r>
    <r>
      <rPr>
        <b val="true"/>
        <sz val="9"/>
        <color rgb="FF000000"/>
        <rFont val="Arial"/>
        <family val="0"/>
        <charset val="1"/>
      </rPr>
      <t xml:space="preserve">• FCV-3156: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0321,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FCV-3168 sem Nr.S (tag lido errado). Pendente/ilegível: no de serie, PN,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0459-0465. 
</t>
    </r>
    <r>
      <rPr>
        <b val="true"/>
        <sz val="9"/>
        <color rgb="FF000000"/>
        <rFont val="Arial"/>
        <family val="0"/>
        <charset val="1"/>
      </rPr>
      <t xml:space="preserve">• FCV-3157: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WA0281): WA0281 0294 - confere – S. tag confirmado em campo (0336). Pendente/ilegível: 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0335-0336. 
</t>
    </r>
    <r>
      <rPr>
        <b val="true"/>
        <sz val="9"/>
        <color rgb="FF000000"/>
        <rFont val="Arial"/>
        <family val="0"/>
        <charset val="1"/>
      </rPr>
      <t xml:space="preserve">• FCV-3158: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0271,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WA0283): WA0283 0271 - confere – S. antes "</t>
    </r>
    <r>
      <rPr>
        <strike val="true"/>
        <sz val="9"/>
        <color rgb="FF000000"/>
        <rFont val="Arial"/>
        <family val="0"/>
        <charset val="1"/>
      </rPr>
      <t xml:space="preserve">FCV-3149</t>
    </r>
    <r>
      <rPr>
        <sz val="9"/>
        <color rgb="FF000000"/>
        <rFont val="Arial"/>
        <family val="0"/>
        <charset val="1"/>
      </rPr>
      <t xml:space="preserve">?" - leitura errada.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0338-0340. 
</t>
    </r>
    <r>
      <rPr>
        <b val="true"/>
        <sz val="9"/>
        <color rgb="FF000000"/>
        <rFont val="Arial"/>
        <family val="0"/>
        <charset val="1"/>
      </rPr>
      <t xml:space="preserve">• FCV-3159: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0295,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WA0288): WA0288 0295 - confere – S. placa e tag em fotos seguidas.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0330-0333. 
</t>
    </r>
    <r>
      <rPr>
        <b val="true"/>
        <sz val="9"/>
        <color rgb="FF000000"/>
        <rFont val="Arial"/>
        <family val="0"/>
        <charset val="1"/>
      </rPr>
      <t xml:space="preserve">• FCV-3160: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0272,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WA0290): WA0290 0272 - confere – S. era FCV-3130 (corrigido M12).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0341-0346. 
</t>
    </r>
    <r>
      <rPr>
        <b val="true"/>
        <sz val="9"/>
        <color rgb="FF000000"/>
        <rFont val="Arial"/>
        <family val="0"/>
        <charset val="1"/>
      </rPr>
      <t xml:space="preserve">• FCV-3161: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0307,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WA0291): WA0291 </t>
    </r>
    <r>
      <rPr>
        <strike val="true"/>
        <sz val="9"/>
        <color rgb="FF000000"/>
        <rFont val="Arial"/>
        <family val="0"/>
        <charset val="1"/>
      </rPr>
      <t xml:space="preserve">FCV-3161</t>
    </r>
    <r>
      <rPr>
        <sz val="9"/>
        <color rgb="FF000000"/>
        <rFont val="Arial"/>
        <family val="0"/>
        <charset val="1"/>
      </rPr>
      <t xml:space="preserve"> - confere TAG – S. antes a </t>
    </r>
    <r>
      <rPr>
        <strike val="true"/>
        <sz val="9"/>
        <color rgb="FF000000"/>
        <rFont val="Arial"/>
        <family val="0"/>
        <charset val="1"/>
      </rPr>
      <t xml:space="preserve">FCV-3161</t>
    </r>
    <r>
      <rPr>
        <sz val="9"/>
        <color rgb="FF000000"/>
        <rFont val="Arial"/>
        <family val="0"/>
        <charset val="1"/>
      </rPr>
      <t xml:space="preserve"> tinha o Nr.S 0291, que e da </t>
    </r>
    <r>
      <rPr>
        <strike val="true"/>
        <sz val="9"/>
        <color rgb="FF000000"/>
        <rFont val="Arial"/>
        <family val="0"/>
        <charset val="1"/>
      </rPr>
      <t xml:space="preserve">FCV-3151</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0327-0329. 
</t>
    </r>
    <r>
      <rPr>
        <b val="true"/>
        <sz val="9"/>
        <color rgb="FF000000"/>
        <rFont val="Arial"/>
        <family val="0"/>
        <charset val="1"/>
      </rPr>
      <t xml:space="preserve">• FCV-3164: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WA0316): WA0316 0311 - confere – S. era FCV-3154 (corrigido M12).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0389-0390. 
</t>
    </r>
    <r>
      <rPr>
        <b val="true"/>
        <sz val="9"/>
        <color rgb="FF000000"/>
        <rFont val="Arial"/>
        <family val="0"/>
        <charset val="1"/>
      </rPr>
      <t xml:space="preserve">• FCV-3165: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0323,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WA0313): WA0313 0323 - confere – S. tag confirmado em campo (0470). Pendente/ilegível: 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0467-0470. 
</t>
    </r>
    <r>
      <rPr>
        <b val="true"/>
        <sz val="9"/>
        <color rgb="FF000000"/>
        <rFont val="Arial"/>
        <family val="0"/>
        <charset val="1"/>
      </rPr>
      <t xml:space="preserve">• FT-3141: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a confirmar (plaqueta desfocada).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0662-0663, 0667, 0670. 
</t>
    </r>
    <r>
      <rPr>
        <b val="true"/>
        <sz val="9"/>
        <color rgb="FF000000"/>
        <rFont val="Arial"/>
        <family val="0"/>
        <charset val="1"/>
      </rPr>
      <t xml:space="preserve">• FT-3142: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0553, 0554. 
</t>
    </r>
    <r>
      <rPr>
        <b val="true"/>
        <sz val="9"/>
        <color rgb="FF000000"/>
        <rFont val="Arial"/>
        <family val="0"/>
        <charset val="1"/>
      </rPr>
      <t xml:space="preserve">• FT-3143: </t>
    </r>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0711, 0712. 
</t>
    </r>
    <r>
      <rPr>
        <b val="true"/>
        <sz val="9"/>
        <color rgb="FF000000"/>
        <rFont val="Arial"/>
        <family val="0"/>
        <charset val="1"/>
      </rPr>
      <t xml:space="preserve">• FT-3148: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01421123,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Etanol hidratado.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0649-0651. 
</t>
    </r>
    <r>
      <rPr>
        <b val="true"/>
        <sz val="9"/>
        <color rgb="FF000000"/>
        <rFont val="Arial"/>
        <family val="0"/>
        <charset val="1"/>
      </rPr>
      <t xml:space="preserve">• FT-3151: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nenhum - divergencia D01 resolvida.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0315-0317, 0567-0570. 
</t>
    </r>
    <r>
      <rPr>
        <b val="true"/>
        <sz val="9"/>
        <color rgb="FF000000"/>
        <rFont val="Arial"/>
        <family val="0"/>
        <charset val="1"/>
      </rPr>
      <t xml:space="preserve">• FT-3154: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12529,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WA0341): </t>
    </r>
    <r>
      <rPr>
        <strike val="true"/>
        <sz val="9"/>
        <color rgb="FF000000"/>
        <rFont val="Arial"/>
        <family val="0"/>
        <charset val="1"/>
      </rPr>
      <t xml:space="preserve">FT-3154</t>
    </r>
    <r>
      <rPr>
        <sz val="9"/>
        <color rgb="FF000000"/>
        <rFont val="Arial"/>
        <family val="0"/>
        <charset val="1"/>
      </rPr>
      <t xml:space="preserve"> | OI 50 SMPF/F2 | 12529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0439, 0440. 
</t>
    </r>
    <r>
      <rPr>
        <b val="true"/>
        <sz val="9"/>
        <color rgb="FF000000"/>
        <rFont val="Arial"/>
        <family val="0"/>
        <charset val="1"/>
      </rPr>
      <t xml:space="preserve">• FT-3156: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12531,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WA0332): </t>
    </r>
    <r>
      <rPr>
        <strike val="true"/>
        <sz val="9"/>
        <color rgb="FF000000"/>
        <rFont val="Arial"/>
        <family val="0"/>
        <charset val="1"/>
      </rPr>
      <t xml:space="preserve">FT-3156</t>
    </r>
    <r>
      <rPr>
        <sz val="9"/>
        <color rgb="FF000000"/>
        <rFont val="Arial"/>
        <family val="0"/>
        <charset val="1"/>
      </rPr>
      <t xml:space="preserve"> | OI 50 SMPF/F2 | 12531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0441, 0442. 
</t>
    </r>
    <r>
      <rPr>
        <b val="true"/>
        <sz val="9"/>
        <color rgb="FF000000"/>
        <rFont val="Arial"/>
        <family val="0"/>
        <charset val="1"/>
      </rPr>
      <t xml:space="preserve">• FT-3159: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01451123,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0308, 0311, 0312. 
</t>
    </r>
    <r>
      <rPr>
        <b val="true"/>
        <sz val="9"/>
        <color rgb="FF000000"/>
        <rFont val="Arial"/>
        <family val="0"/>
        <charset val="1"/>
      </rPr>
      <t xml:space="preserve">• FT-3163: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12528,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WA0326 / WA0343): </t>
    </r>
    <r>
      <rPr>
        <strike val="true"/>
        <sz val="9"/>
        <color rgb="FF000000"/>
        <rFont val="Arial"/>
        <family val="0"/>
        <charset val="1"/>
      </rPr>
      <t xml:space="preserve">FT-3163</t>
    </r>
    <r>
      <rPr>
        <sz val="9"/>
        <color rgb="FF000000"/>
        <rFont val="Arial"/>
        <family val="0"/>
        <charset val="1"/>
      </rPr>
      <t xml:space="preserve"> | OI 50 SMPF/F2 | 12528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0437, 0438. 
</t>
    </r>
    <r>
      <rPr>
        <b val="true"/>
        <sz val="9"/>
        <color rgb="FF000000"/>
        <rFont val="Arial"/>
        <family val="0"/>
        <charset val="1"/>
      </rPr>
      <t xml:space="preserve">• SDV-3103: </t>
    </r>
    <r>
      <rPr>
        <b val="true"/>
        <sz val="9"/>
        <color rgb="FF1F4E9A"/>
        <rFont val="Arial"/>
        <family val="0"/>
        <charset val="1"/>
      </rPr>
      <t xml:space="preserve">Placa/campo: </t>
    </r>
    <r>
      <rPr>
        <sz val="9"/>
        <color rgb="FF1F4E9A"/>
        <rFont val="Arial"/>
        <family val="0"/>
        <charset val="1"/>
      </rPr>
      <t xml:space="preserve">Valvula ON-OFF – Metroval, VOOM-100, série 0331,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SDV-3109 (tag lido errado); 0490 lida antes como SDV-3105.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0489-0490. 
</t>
    </r>
    <r>
      <rPr>
        <b val="true"/>
        <sz val="9"/>
        <color rgb="FF000000"/>
        <rFont val="Arial"/>
        <family val="0"/>
        <charset val="1"/>
      </rPr>
      <t xml:space="preserve">• SDV-3111: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0336,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0492-0494. 
</t>
    </r>
    <r>
      <rPr>
        <b val="true"/>
        <sz val="9"/>
        <color rgb="FF000000"/>
        <rFont val="Arial"/>
        <family val="0"/>
        <charset val="1"/>
      </rPr>
      <t xml:space="preserve">• SDV-3112: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"0338 ou 0339" - fechado 0338. Pendente/ilegível: ver DIVERGENCIAS (duas series).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0496-0499. 
</t>
    </r>
    <r>
      <rPr>
        <b val="true"/>
        <sz val="9"/>
        <color rgb="FF000000"/>
        <rFont val="Arial"/>
        <family val="0"/>
        <charset val="1"/>
      </rPr>
      <t xml:space="preserve">• SDV-3113: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0339,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WA0311): WA0311 </t>
    </r>
    <r>
      <rPr>
        <strike val="true"/>
        <sz val="9"/>
        <color rgb="FF000000"/>
        <rFont val="Arial"/>
        <family val="0"/>
        <charset val="1"/>
      </rPr>
      <t xml:space="preserve">SDV-3113</t>
    </r>
    <r>
      <rPr>
        <sz val="9"/>
        <color rgb="FF000000"/>
        <rFont val="Arial"/>
        <family val="0"/>
        <charset val="1"/>
      </rPr>
      <t xml:space="preserve"> - confere TAG – S. Nr.S antes nao lido.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0485-0487. 
</t>
    </r>
    <r>
      <rPr>
        <b val="true"/>
        <sz val="9"/>
        <color rgb="FF000000"/>
        <rFont val="Arial"/>
        <family val="0"/>
        <charset val="1"/>
      </rPr>
      <t xml:space="preserve">• TE-3101A: </t>
    </r>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0548. 
</t>
    </r>
    <r>
      <rPr>
        <b val="true"/>
        <sz val="9"/>
        <color rgb="FF000000"/>
        <rFont val="Arial"/>
        <family val="0"/>
        <charset val="1"/>
      </rPr>
      <t xml:space="preserve">• TE-3141A: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0703, 0704. 
</t>
    </r>
    <r>
      <rPr>
        <b val="true"/>
        <sz val="9"/>
        <color rgb="FF000000"/>
        <rFont val="Arial"/>
        <family val="0"/>
        <charset val="1"/>
      </rPr>
      <t xml:space="preserve">• TE-3147A: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Ex ic IIC T6..T4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0643. 
</t>
    </r>
    <r>
      <rPr>
        <b val="true"/>
        <sz val="9"/>
        <color rgb="FF000000"/>
        <rFont val="Arial"/>
        <family val="0"/>
        <charset val="1"/>
      </rPr>
      <t xml:space="preserve">• TE-3149A: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0546. 
</t>
    </r>
    <r>
      <rPr>
        <b val="true"/>
        <sz val="9"/>
        <color rgb="FF000000"/>
        <rFont val="Arial"/>
        <family val="0"/>
        <charset val="1"/>
      </rPr>
      <t xml:space="preserve">• TE-3152A: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0708, 0709. 
</t>
    </r>
    <r>
      <rPr>
        <b val="true"/>
        <sz val="9"/>
        <color rgb="FF000000"/>
        <rFont val="Arial"/>
        <family val="0"/>
        <charset val="1"/>
      </rPr>
      <t xml:space="preserve">• XS-3103A: </t>
    </r>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0571, 0572.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2011011,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 -20 a +55 C</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0624, 0722, 0723.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85-250 Vca; Ex db ia [ia Ga] IIB T5 Gb,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0594, 0595, 0724, 0725.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0472, 0473.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0430, 0431.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XS-3108A: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21022?42,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0477, 0478.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XS-31209: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911?03?,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0279, 0280.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XS-31211: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Uo 21,42Vcc/Io 149mA (transbord.); Uo 14,28Vcc/Io 86,2mA (aterr.),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0268, 0269.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XS-31212: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2011002 (?),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0285, 0286.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</si>
  <si>
    <r>
      <rPr>
        <b val="true"/>
        <sz val="9"/>
        <color rgb="FF1F4E9A"/>
        <rFont val="Arial"/>
        <family val="0"/>
        <charset val="1"/>
      </rPr>
      <t xml:space="preserve">Placa/campo: </t>
    </r>
    <r>
      <rPr>
        <sz val="9"/>
        <color rgb="FF1F4E9A"/>
        <rFont val="Arial"/>
        <family val="0"/>
        <charset val="1"/>
      </rPr>
      <t xml:space="preserve">Medidor de vazao tipo turbina – Metroval, MTF-80, série 01381123, DIMEL 365/2020, 2024, Classe exatidao 0,3; QMM 100; 60/-20 C; 19,8; vazao 150/15, Diesel S-10.</t>
    </r>
  </si>
  <si>
    <t xml:space="preserve">Classe exatidao 0,3; QMM 100; 60/-20 C; 19,8; vazao 150/15</t>
  </si>
  <si>
    <t xml:space="preserve">01381123</t>
  </si>
  <si>
    <t xml:space="preserve">0417-0420</t>
  </si>
  <si>
    <t xml:space="preserve">↑ ver célula única em X77</t>
  </si>
  <si>
    <r>
      <rPr>
        <b val="true"/>
        <sz val="9"/>
        <color rgb="FF1F4E9A"/>
        <rFont val="Arial"/>
        <family val="0"/>
        <charset val="1"/>
      </rPr>
      <t xml:space="preserve">Placa/campo: </t>
    </r>
    <r>
      <rPr>
        <sz val="9"/>
        <color rgb="FF1F4E9A"/>
        <rFont val="Arial"/>
        <family val="0"/>
        <charset val="1"/>
      </rPr>
      <t xml:space="preserve">Medidor de vazao tipo turbina – Metroval, MTF-80, série 01391123, DIMEL 365/2020, 2024, Classe exatidao 0,3; QMM 100; 60/-20 C; 19,8; vazao 150/15, Diesel S-10.</t>
    </r>
  </si>
  <si>
    <t xml:space="preserve">01391123</t>
  </si>
  <si>
    <t xml:space="preserve">Sem dado teórico individual. Só leitura de campo (sem 2ª fonte). Pendente/ilegível: TAG (parcial: FT-3102?). Vínculo a 14a/14b/14d não documentado.</t>
  </si>
  <si>
    <t xml:space="preserve">0403-0405</t>
  </si>
  <si>
    <r>
      <rPr>
        <b val="true"/>
        <sz val="9"/>
        <color rgb="FF1F4E9A"/>
        <rFont val="Arial"/>
        <family val="0"/>
        <charset val="1"/>
      </rPr>
      <t xml:space="preserve">Placa/campo: </t>
    </r>
    <r>
      <rPr>
        <sz val="9"/>
        <color rgb="FF1F4E9A"/>
        <rFont val="Arial"/>
        <family val="0"/>
        <charset val="1"/>
      </rPr>
      <t xml:space="preserve">Medidor de vazao tipo turbina – Metroval, MTF-80, série 01411123, DIMEL 365/2020, 2024, Classe exatidao 0,3; QMM 100; 60/-20 C; 19,58, Etanol anidro.</t>
    </r>
  </si>
  <si>
    <t xml:space="preserve">Classe exatidao 0,3; QMM 100; 60/-20 C; 19,58</t>
  </si>
  <si>
    <t xml:space="preserve">01411123</t>
  </si>
  <si>
    <t xml:space="preserve">0356-0359</t>
  </si>
  <si>
    <r>
      <rPr>
        <b val="true"/>
        <sz val="9"/>
        <color rgb="FF1F4E9A"/>
        <rFont val="Arial"/>
        <family val="0"/>
        <charset val="1"/>
      </rPr>
      <t xml:space="preserve">Placa/campo: </t>
    </r>
    <r>
      <rPr>
        <sz val="9"/>
        <color rgb="FF1F4E9A"/>
        <rFont val="Arial"/>
        <family val="0"/>
        <charset val="1"/>
      </rPr>
      <t xml:space="preserve">Medidor de vazao tipo turbina – Metroval, MTF-80, série 01431123, DIMEL 365/2020, 2024, Classe exatidao 0,3; QMM 100; 60/-20 C; 19,58; vazao 150/15, Diesel S-500.</t>
    </r>
  </si>
  <si>
    <t xml:space="preserve">01431123</t>
  </si>
  <si>
    <t xml:space="preserve">Sem dado teórico individual. Só leitura de campo (sem 2ª fonte). Pendente/ilegível: TAG (parcial: FT-315?). Vínculo a 14a/14b/14d não documentado.</t>
  </si>
  <si>
    <t xml:space="preserve">0408-0410</t>
  </si>
  <si>
    <r>
      <rPr>
        <b val="true"/>
        <sz val="9"/>
        <color rgb="FF1F4E9A"/>
        <rFont val="Arial"/>
        <family val="0"/>
        <charset val="1"/>
      </rPr>
      <t xml:space="preserve">Placa/campo: </t>
    </r>
    <r>
      <rPr>
        <sz val="9"/>
        <color rgb="FF1F4E9A"/>
        <rFont val="Arial"/>
        <family val="0"/>
        <charset val="1"/>
      </rPr>
      <t xml:space="preserve">Medidor de vazao tipo turbina – Metroval, MTF-80, série 01441123, DIMEL 365/2020, 2024, Classe exatidao 0,3; QMM 100; 60/-20 C, Diesel S-500.</t>
    </r>
  </si>
  <si>
    <t xml:space="preserve">Classe exatidao 0,3; QMM 100; 60/-20 C</t>
  </si>
  <si>
    <t xml:space="preserve">01441123</t>
  </si>
  <si>
    <t xml:space="preserve">Sem dado teórico individual. Só leitura de campo (sem 2ª fonte). Pendente/ilegível: TAG (parcial: FT-3146?). Vínculo a 14a/14b/14d não documentado.</t>
  </si>
  <si>
    <t xml:space="preserve">0557, 0558</t>
  </si>
  <si>
    <r>
      <rPr>
        <b val="true"/>
        <sz val="9"/>
        <color rgb="FF1F4E9A"/>
        <rFont val="Arial"/>
        <family val="0"/>
        <charset val="1"/>
      </rPr>
      <t xml:space="preserve">Placa/campo: </t>
    </r>
    <r>
      <rPr>
        <sz val="9"/>
        <color rgb="FF1F4E9A"/>
        <rFont val="Arial"/>
        <family val="0"/>
        <charset val="1"/>
      </rPr>
      <t xml:space="preserve">Medidor de vazao tipo turbina – Metroval, MTF-80, série 01471123, DIMEL 365/2020, 2024, Classe exatidao 0,3; QMM 100; 60/-20 C; 19,58, Gasolina.</t>
    </r>
  </si>
  <si>
    <t xml:space="preserve">01471123</t>
  </si>
  <si>
    <t xml:space="preserve">0654, 0658, 0659</t>
  </si>
  <si>
    <r>
      <rPr>
        <b val="true"/>
        <sz val="9"/>
        <color rgb="FF1F4E9A"/>
        <rFont val="Arial"/>
        <family val="0"/>
        <charset val="1"/>
      </rPr>
      <t xml:space="preserve">Placa/campo: </t>
    </r>
    <r>
      <rPr>
        <sz val="9"/>
        <color rgb="FF1F4E9A"/>
        <rFont val="Arial"/>
        <family val="0"/>
        <charset val="1"/>
      </rPr>
      <t xml:space="preserve">Medidor de vazao tipo turbina – Metroval, MTF-80, série 01481123, DIMEL 365/2020, 2024, Classe exatidao 0,3; QMM 100; 60/-20 C; 19,58; vazao 150/15, Diesel S-500.</t>
    </r>
  </si>
  <si>
    <t xml:space="preserve">01481123</t>
  </si>
  <si>
    <t xml:space="preserve">Sem dado teórico individual. Só leitura de campo (sem 2ª fonte). Pendente/ilegível: TAG (parcial: FT-3158?). Vínculo a 14a/14b/14d não documentado.</t>
  </si>
  <si>
    <t xml:space="preserve">0413-0415</t>
  </si>
  <si>
    <r>
      <rPr>
        <b val="true"/>
        <sz val="9"/>
        <color rgb="FF1F4E9A"/>
        <rFont val="Arial"/>
        <family val="0"/>
        <charset val="1"/>
      </rPr>
      <t xml:space="preserve">Placa/campo: </t>
    </r>
    <r>
      <rPr>
        <sz val="9"/>
        <color rgb="FF1F4E9A"/>
        <rFont val="Arial"/>
        <family val="0"/>
        <charset val="1"/>
      </rPr>
      <t xml:space="preserve">Medidor de vazao tipo turbina – Metroval, MTF-80, série 01491123, DIMEL 365/2020, 2024, Classe exatidao 0,3; QMM 100; 60/-20 C; 19,58; vazao 150/15, Diesel S-10.</t>
    </r>
  </si>
  <si>
    <t xml:space="preserve">01491123</t>
  </si>
  <si>
    <t xml:space="preserve">0562-0564</t>
  </si>
  <si>
    <r>
      <rPr>
        <b val="true"/>
        <sz val="9"/>
        <color rgb="FF1F4E9A"/>
        <rFont val="Arial"/>
        <family val="0"/>
        <charset val="1"/>
      </rPr>
      <t xml:space="preserve">Placa/campo: </t>
    </r>
    <r>
      <rPr>
        <sz val="9"/>
        <color rgb="FF1F4E9A"/>
        <rFont val="Arial"/>
        <family val="0"/>
        <charset val="1"/>
      </rPr>
      <t xml:space="preserve">Medidor de vazao tipo turbina – Metroval, MTF-80, série 01501123, DIMEL 365/2020, 2024, Classe exatidao 0,3; QMM 100; 60/-20 C; 19,58, Etanol anidro.</t>
    </r>
  </si>
  <si>
    <t xml:space="preserve">01501123</t>
  </si>
  <si>
    <t xml:space="preserve">0674-0676</t>
  </si>
  <si>
    <t xml:space="preserve">FCV-3140</t>
  </si>
  <si>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t>
    </r>
  </si>
  <si>
    <t xml:space="preserve">0281</t>
  </si>
  <si>
    <t xml:space="preserve">Sem dado teórico individual. Só leitura de campo (sem 2ª fonte). Nr.S antes nao lido (0532 "0?9?" era esta valvula). Pendente/ilegível: no de serie, ano. Vínculo a 14a/14b/14d não documentado.</t>
  </si>
  <si>
    <t xml:space="preserve">0527-0532</t>
  </si>
  <si>
    <t xml:space="preserve">FCV-3141</t>
  </si>
  <si>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Combustiveis.</t>
    </r>
  </si>
  <si>
    <t xml:space="preserve">VCDM-50</t>
  </si>
  <si>
    <t xml:space="preserve">DN 50 mm; T.max 70 C; PN 10 bar</t>
  </si>
  <si>
    <t xml:space="preserve">0302</t>
  </si>
  <si>
    <t xml:space="preserve">Sem dado teórico individual. Só leitura de campo (sem 2ª fonte). antes "TAG pendente". Vínculo a 14a/14b/14d não documentado.</t>
  </si>
  <si>
    <t xml:space="preserve">0686-0691</t>
  </si>
  <si>
    <t xml:space="preserve">FCV-3142</t>
  </si>
  <si>
    <r>
      <rPr>
        <b val="true"/>
        <sz val="9"/>
        <color rgb="FF1F4E9A"/>
        <rFont val="Arial"/>
        <family val="0"/>
        <charset val="1"/>
      </rPr>
      <t xml:space="preserve">Placa/campo: </t>
    </r>
    <r>
      <rPr>
        <sz val="9"/>
        <color rgb="FF1F4E9A"/>
        <rFont val="Arial"/>
        <family val="0"/>
        <charset val="1"/>
      </rPr>
      <t xml:space="preserve">Valvula de controle de vazao – Metroval, VCDM-100, série 0289, 2024, DN 100 mm; T.max 70 C; PN 10 bar, Combustiveis.</t>
    </r>
  </si>
  <si>
    <t xml:space="preserve">0289</t>
  </si>
  <si>
    <t xml:space="preserve">Sem dado teórico individual. Só leitura de campo (sem 2ª fonte). TAG parcialmente legivel (FCV-314?). Vínculo a 14a/14b/14d não documentado.</t>
  </si>
  <si>
    <t xml:space="preserve">0525-0526</t>
  </si>
  <si>
    <t xml:space="preserve">FCV-3144</t>
  </si>
  <si>
    <r>
      <rPr>
        <b val="true"/>
        <sz val="9"/>
        <color rgb="FF1F4E9A"/>
        <rFont val="Arial"/>
        <family val="0"/>
        <charset val="1"/>
      </rPr>
      <t xml:space="preserve">Placa/campo: </t>
    </r>
    <r>
      <rPr>
        <sz val="9"/>
        <color rgb="FF1F4E9A"/>
        <rFont val="Arial"/>
        <family val="0"/>
        <charset val="1"/>
      </rPr>
      <t xml:space="preserve">Valvula de controle de vazao – Metroval, VCDM-100, série 0308, DN 100 mm; T.max 70 C; PN 10 bar, Combustiveis.</t>
    </r>
  </si>
  <si>
    <t xml:space="preserve">0308</t>
  </si>
  <si>
    <t xml:space="preserve">Sem dado teórico individual. Só leitura de campo (sem 2ª fonte). Nr.S antes nao lido. Pendente/ilegível: no de serie, ano. Vínculo a 14a/14b/14d não documentado.</t>
  </si>
  <si>
    <t xml:space="preserve">0620-0622</t>
  </si>
  <si>
    <t xml:space="preserve">FCV-3145</t>
  </si>
  <si>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Combustiveis.</t>
    </r>
  </si>
  <si>
    <t xml:space="preserve">VCDM-80</t>
  </si>
  <si>
    <t xml:space="preserve">DN 80 mm; T.max 70 C; PN 10 bar</t>
  </si>
  <si>
    <t xml:space="preserve">0270</t>
  </si>
  <si>
    <t xml:space="preserve">0636-0637</t>
  </si>
  <si>
    <t xml:space="preserve">FCV-3146</t>
  </si>
  <si>
    <r>
      <rPr>
        <b val="true"/>
        <sz val="9"/>
        <color rgb="FF1F4E9A"/>
        <rFont val="Arial"/>
        <family val="0"/>
        <charset val="1"/>
      </rPr>
      <t xml:space="preserve">Placa/campo: </t>
    </r>
    <r>
      <rPr>
        <sz val="9"/>
        <color rgb="FF1F4E9A"/>
        <rFont val="Arial"/>
        <family val="0"/>
        <charset val="1"/>
      </rPr>
      <t xml:space="preserve">Valvula de controle de vazao – Metroval, VCDM-100, série 0310, 2024, DN 100 mm; T.max 70 C; PN 10 bar, Combustiveis.</t>
    </r>
  </si>
  <si>
    <t xml:space="preserve">0310</t>
  </si>
  <si>
    <t xml:space="preserve">Sem dado teórico individual. Só leitura de campo (sem 2ª fonte). placa e tag em fotos seguidas (nao na mesma foto). Vínculo a 14a/14b/14d não documentado.</t>
  </si>
  <si>
    <t xml:space="preserve">0612-0618</t>
  </si>
  <si>
    <t xml:space="preserve">FCV-3147</t>
  </si>
  <si>
    <r>
      <rPr>
        <b val="true"/>
        <sz val="9"/>
        <color rgb="FF1F4E9A"/>
        <rFont val="Arial"/>
        <family val="0"/>
        <charset val="1"/>
      </rPr>
      <t xml:space="preserve">Placa/campo: </t>
    </r>
    <r>
      <rPr>
        <sz val="9"/>
        <color rgb="FF1F4E9A"/>
        <rFont val="Arial"/>
        <family val="0"/>
        <charset val="1"/>
      </rPr>
      <t xml:space="preserve">Valvula de controle de vazao – Metroval, VCDM-80, série 0274, 2024, DN 80 mm; T.max 70 C; PN 10 bar, Combustiveis.</t>
    </r>
  </si>
  <si>
    <t xml:space="preserve">0274</t>
  </si>
  <si>
    <t xml:space="preserve">0630-0634</t>
  </si>
  <si>
    <t xml:space="preserve">FCV-3148</t>
  </si>
  <si>
    <r>
      <rPr>
        <b val="true"/>
        <sz val="9"/>
        <color rgb="FF1F4E9A"/>
        <rFont val="Arial"/>
        <family val="0"/>
        <charset val="1"/>
      </rPr>
      <t xml:space="preserve">Placa/campo: </t>
    </r>
    <r>
      <rPr>
        <sz val="9"/>
        <color rgb="FF1F4E9A"/>
        <rFont val="Arial"/>
        <family val="0"/>
        <charset val="1"/>
      </rPr>
      <t xml:space="preserve">Valvula de controle de vazao – Metroval, VCDM-100, série 0312, 2024, DN 100 mm; T.max 70 C; PN 10 bar, Combustiveis.</t>
    </r>
  </si>
  <si>
    <t xml:space="preserve">0312</t>
  </si>
  <si>
    <t xml:space="preserve">Sem dado teórico individual. Só leitura de campo (sem 2ª fonte). tag pouco legivel. Vínculo a 14a/14b/14d não documentado.</t>
  </si>
  <si>
    <t xml:space="preserve">0607-0609</t>
  </si>
  <si>
    <t xml:space="preserve">FCV-3149</t>
  </si>
  <si>
    <r>
      <rPr>
        <b val="true"/>
        <sz val="9"/>
        <color rgb="FF1F4E9A"/>
        <rFont val="Arial"/>
        <family val="0"/>
        <charset val="1"/>
      </rPr>
      <t xml:space="preserve">Placa/campo: </t>
    </r>
    <r>
      <rPr>
        <sz val="9"/>
        <color rgb="FF1F4E9A"/>
        <rFont val="Arial"/>
        <family val="0"/>
        <charset val="1"/>
      </rPr>
      <t xml:space="preserve">Valvula de controle de vazao – Metroval, VCDM-100, série 0290, DN 100 mm; T.max 70 C; PN 10 bar, Combustiveis.</t>
    </r>
  </si>
  <si>
    <t xml:space="preserve">0290</t>
  </si>
  <si>
    <t xml:space="preserve">Sem dado teórico individual. Só leitura de campo (sem 2ª fonte). sem mudanca. Pendente/ilegível: ano de fabricacao. Vínculo a 14a/14b/14d não documentado.</t>
  </si>
  <si>
    <t xml:space="preserve">0534-0537</t>
  </si>
  <si>
    <t xml:space="preserve">FCV-3150</t>
  </si>
  <si>
    <r>
      <rPr>
        <b val="true"/>
        <sz val="9"/>
        <color rgb="FF1F4E9A"/>
        <rFont val="Arial"/>
        <family val="0"/>
        <charset val="1"/>
      </rPr>
      <t xml:space="preserve">Placa/campo: </t>
    </r>
    <r>
      <rPr>
        <sz val="9"/>
        <color rgb="FF1F4E9A"/>
        <rFont val="Arial"/>
        <family val="0"/>
        <charset val="1"/>
      </rPr>
      <t xml:space="preserve">Valvula de controle de vazao – Metroval, VCDM-50, série 0317, 2024, DN 50 mm; T.max 70 C; PN 10 bar, Combustiveis.</t>
    </r>
  </si>
  <si>
    <t xml:space="preserve">0317</t>
  </si>
  <si>
    <t xml:space="preserve">Sem dado teórico individual. Só leitura de campo (sem 2ª fonte). antes "FCV-31?? 0317". Vínculo a 14a/14b/14d não documentado.</t>
  </si>
  <si>
    <t xml:space="preserve">0693-0696</t>
  </si>
  <si>
    <t xml:space="preserve">FCV-3151</t>
  </si>
  <si>
    <r>
      <rPr>
        <b val="true"/>
        <sz val="9"/>
        <color rgb="FF1F4E9A"/>
        <rFont val="Arial"/>
        <family val="0"/>
        <charset val="1"/>
      </rPr>
      <t xml:space="preserve">Placa/campo: </t>
    </r>
    <r>
      <rPr>
        <sz val="9"/>
        <color rgb="FF1F4E9A"/>
        <rFont val="Arial"/>
        <family val="0"/>
        <charset val="1"/>
      </rPr>
      <t xml:space="preserve">Valvula de controle de vazao – Metroval, VCDM-100, série 0291, 2024, DN 100 mm; T.max 70 C; PN 10 bar, Combustiveis.</t>
    </r>
  </si>
  <si>
    <t xml:space="preserve">0291</t>
  </si>
  <si>
    <t xml:space="preserve">Sem dado teórico individual. Só leitura de campo (sem 2ª fonte). ERA REGISTRADA COMO FCV-3161 (leitura errada do tag). Vínculo a 14a/14b/14d não documentado.</t>
  </si>
  <si>
    <t xml:space="preserve">0539-0540</t>
  </si>
  <si>
    <t xml:space="preserve">FCV-3152</t>
  </si>
  <si>
    <r>
      <rPr>
        <b val="true"/>
        <sz val="9"/>
        <color rgb="FF1F4E9A"/>
        <rFont val="Arial"/>
        <family val="0"/>
        <charset val="1"/>
      </rPr>
      <t xml:space="preserve">Placa/campo: </t>
    </r>
    <r>
      <rPr>
        <sz val="9"/>
        <color rgb="FF1F4E9A"/>
        <rFont val="Arial"/>
        <family val="0"/>
        <charset val="1"/>
      </rPr>
      <t xml:space="preserve">Valvula de controle de vazao – Metroval, VCDM-50, série 0318, 2024, DN 50 mm; T.max 70 C; PN 10 bar, Combustiveis.</t>
    </r>
  </si>
  <si>
    <t xml:space="preserve">0318</t>
  </si>
  <si>
    <t xml:space="preserve">Sem dado teórico individual. Terceiros (fotos 14/11/2025, WA0315): WA0315 "FCV-3152 (provavel)" Nr.S 0309 - DIVERGE – DIVERGE. antes lida "0316" - leitura errada; o Nr.S e 0318. Vínculo a 14a/14b/14d não documentado.</t>
  </si>
  <si>
    <t xml:space="preserve">0698-0700</t>
  </si>
  <si>
    <t xml:space="preserve">FCV-3155</t>
  </si>
  <si>
    <r>
      <rPr>
        <b val="true"/>
        <sz val="9"/>
        <color rgb="FF1F4E9A"/>
        <rFont val="Arial"/>
        <family val="0"/>
        <charset val="1"/>
      </rPr>
      <t xml:space="preserve">Placa/campo: </t>
    </r>
    <r>
      <rPr>
        <sz val="9"/>
        <color rgb="FF1F4E9A"/>
        <rFont val="Arial"/>
        <family val="0"/>
        <charset val="1"/>
      </rPr>
      <t xml:space="preserve">Valvula de controle de vazao – Metroval, VCDM-100, série 0293, DN 100 mm; T.max 70 C; PN 10 bar, Combustiveis.</t>
    </r>
  </si>
  <si>
    <t xml:space="preserve">0293</t>
  </si>
  <si>
    <t xml:space="preserve">Sem dado teórico individual. Terceiros (fotos 14/11/2025, WA0308): WA0308 0293 - confere – S. Vínculo a 14a/14b/14d não documentado.</t>
  </si>
  <si>
    <t xml:space="preserve">0387</t>
  </si>
  <si>
    <t xml:space="preserve">FCV-3156</t>
  </si>
  <si>
    <r>
      <rPr>
        <b val="true"/>
        <sz val="9"/>
        <color rgb="FF1F4E9A"/>
        <rFont val="Arial"/>
        <family val="0"/>
        <charset val="1"/>
      </rPr>
      <t xml:space="preserve">Placa/campo: </t>
    </r>
    <r>
      <rPr>
        <sz val="9"/>
        <color rgb="FF1F4E9A"/>
        <rFont val="Arial"/>
        <family val="0"/>
        <charset val="1"/>
      </rPr>
      <t xml:space="preserve">Valvula de controle de vazao – Metroval, VCDM-50, série 0321, DN 50 mm; T.max 70 C; PN 10 bar, Combustiveis.</t>
    </r>
  </si>
  <si>
    <t xml:space="preserve">0321</t>
  </si>
  <si>
    <t xml:space="preserve">Sem dado teórico individual. Só leitura de campo (sem 2ª fonte). ERA REGISTRADA COMO FCV-3168 sem Nr.S (tag lido errado). Pendente/ilegível: no de serie, PN, ano. Vínculo a 14a/14b/14d não documentado.</t>
  </si>
  <si>
    <t xml:space="preserve">0459-0465</t>
  </si>
  <si>
    <t xml:space="preserve">FCV-3157</t>
  </si>
  <si>
    <r>
      <rPr>
        <b val="true"/>
        <sz val="9"/>
        <color rgb="FF1F4E9A"/>
        <rFont val="Arial"/>
        <family val="0"/>
        <charset val="1"/>
      </rPr>
      <t xml:space="preserve">Placa/campo: </t>
    </r>
    <r>
      <rPr>
        <sz val="9"/>
        <color rgb="FF1F4E9A"/>
        <rFont val="Arial"/>
        <family val="0"/>
        <charset val="1"/>
      </rPr>
      <t xml:space="preserve">Valvula de controle de vazao – Metroval, VCDM-100, série 0294, DN 100 mm; T.max 70 C; PN 10 bar, Combustiveis.</t>
    </r>
  </si>
  <si>
    <t xml:space="preserve">0294</t>
  </si>
  <si>
    <t xml:space="preserve">Sem dado teórico individual. Terceiros (fotos 14/11/2025, WA0281): WA0281 0294 - confere – S. tag confirmado em campo (0336). Pendente/ilegível: TAG nao fotografado em campo. Vínculo a 14a/14b/14d não documentado.</t>
  </si>
  <si>
    <t xml:space="preserve">0335-0336</t>
  </si>
  <si>
    <t xml:space="preserve">FCV-3158</t>
  </si>
  <si>
    <r>
      <rPr>
        <b val="true"/>
        <sz val="9"/>
        <color rgb="FF1F4E9A"/>
        <rFont val="Arial"/>
        <family val="0"/>
        <charset val="1"/>
      </rPr>
      <t xml:space="preserve">Placa/campo: </t>
    </r>
    <r>
      <rPr>
        <sz val="9"/>
        <color rgb="FF1F4E9A"/>
        <rFont val="Arial"/>
        <family val="0"/>
        <charset val="1"/>
      </rPr>
      <t xml:space="preserve">Valvula de controle de vazao – Metroval, VCDM-80, série 0271, 2024, DN 80 mm; T.max 70 C; PN 10 bar, Combustiveis.</t>
    </r>
  </si>
  <si>
    <t xml:space="preserve">0271</t>
  </si>
  <si>
    <t xml:space="preserve">Sem dado teórico individual. Terceiros (fotos 14/11/2025, WA0283): WA0283 0271 - confere – S. antes "FCV-3149?" - leitura errada. Vínculo a 14a/14b/14d não documentado.</t>
  </si>
  <si>
    <t xml:space="preserve">0338-0340</t>
  </si>
  <si>
    <t xml:space="preserve">FCV-3159</t>
  </si>
  <si>
    <r>
      <rPr>
        <b val="true"/>
        <sz val="9"/>
        <color rgb="FF1F4E9A"/>
        <rFont val="Arial"/>
        <family val="0"/>
        <charset val="1"/>
      </rPr>
      <t xml:space="preserve">Placa/campo: </t>
    </r>
    <r>
      <rPr>
        <sz val="9"/>
        <color rgb="FF1F4E9A"/>
        <rFont val="Arial"/>
        <family val="0"/>
        <charset val="1"/>
      </rPr>
      <t xml:space="preserve">Valvula de controle de vazao – Metroval, VCDM-100, série 0295, 2024, DN 100 mm; T.max 70 C; PN 10 bar, Combustiveis.</t>
    </r>
  </si>
  <si>
    <t xml:space="preserve">0295</t>
  </si>
  <si>
    <t xml:space="preserve">Sem dado teórico individual. Terceiros (fotos 14/11/2025, WA0288): WA0288 0295 - confere – S. placa e tag em fotos seguidas. Vínculo a 14a/14b/14d não documentado.</t>
  </si>
  <si>
    <t xml:space="preserve">0330-0333</t>
  </si>
  <si>
    <t xml:space="preserve">FCV-3160</t>
  </si>
  <si>
    <r>
      <rPr>
        <b val="true"/>
        <sz val="9"/>
        <color rgb="FF1F4E9A"/>
        <rFont val="Arial"/>
        <family val="0"/>
        <charset val="1"/>
      </rPr>
      <t xml:space="preserve">Placa/campo: </t>
    </r>
    <r>
      <rPr>
        <sz val="9"/>
        <color rgb="FF1F4E9A"/>
        <rFont val="Arial"/>
        <family val="0"/>
        <charset val="1"/>
      </rPr>
      <t xml:space="preserve">Valvula de controle de vazao – Metroval, VCDM-80, série 0272, DN 80 mm; T.max 70 C; PN 10 bar, Combustiveis.</t>
    </r>
  </si>
  <si>
    <t xml:space="preserve">0272</t>
  </si>
  <si>
    <t xml:space="preserve">Sem dado teórico individual. Terceiros (fotos 14/11/2025, WA0290): WA0290 0272 - confere – S. era FCV-3130 (corrigido M12). Pendente/ilegível: ano de fabricacao. Vínculo a 14a/14b/14d não documentado.</t>
  </si>
  <si>
    <t xml:space="preserve">0341-0346</t>
  </si>
  <si>
    <t xml:space="preserve">FCV-3161</t>
  </si>
  <si>
    <r>
      <rPr>
        <b val="true"/>
        <sz val="9"/>
        <color rgb="FF1F4E9A"/>
        <rFont val="Arial"/>
        <family val="0"/>
        <charset val="1"/>
      </rPr>
      <t xml:space="preserve">Placa/campo: </t>
    </r>
    <r>
      <rPr>
        <sz val="9"/>
        <color rgb="FF1F4E9A"/>
        <rFont val="Arial"/>
        <family val="0"/>
        <charset val="1"/>
      </rPr>
      <t xml:space="preserve">Valvula de controle de vazao – Metroval, VCDM-100, série 0307, DN 100 mm; T.max 70 C; PN 10 bar, Combustiveis.</t>
    </r>
  </si>
  <si>
    <t xml:space="preserve">0307</t>
  </si>
  <si>
    <t xml:space="preserve">Sem dado teórico individual. Terceiros (fotos 14/11/2025, WA0291): WA0291 FCV-3161 - confere TAG – S. antes a FCV-3161 tinha o Nr.S 0291, que e da FCV-3151. Pendente/ilegível: ano de fabricacao. Vínculo a 14a/14b/14d não documentado.</t>
  </si>
  <si>
    <t xml:space="preserve">0327-0329</t>
  </si>
  <si>
    <t xml:space="preserve">FCV-3164</t>
  </si>
  <si>
    <r>
      <rPr>
        <b val="true"/>
        <sz val="9"/>
        <color rgb="FF1F4E9A"/>
        <rFont val="Arial"/>
        <family val="0"/>
        <charset val="1"/>
      </rPr>
      <t xml:space="preserve">Placa/campo: </t>
    </r>
    <r>
      <rPr>
        <sz val="9"/>
        <color rgb="FF1F4E9A"/>
        <rFont val="Arial"/>
        <family val="0"/>
        <charset val="1"/>
      </rPr>
      <t xml:space="preserve">Valvula de controle de vazao – Metroval, VCDM-100, série 0311, DN 100 mm; T.max 70 C; PN 10 bar, Combustiveis.</t>
    </r>
  </si>
  <si>
    <t xml:space="preserve">0311</t>
  </si>
  <si>
    <t xml:space="preserve">Sem dado teórico individual. Terceiros (fotos 14/11/2025, WA0316): WA0316 0311 - confere – S. era FCV-3154 (corrigido M12). Pendente/ilegível: ano de fabricacao. Vínculo a 14a/14b/14d não documentado.</t>
  </si>
  <si>
    <t xml:space="preserve">0389-0390</t>
  </si>
  <si>
    <t xml:space="preserve">FCV-3165</t>
  </si>
  <si>
    <r>
      <rPr>
        <b val="true"/>
        <sz val="9"/>
        <color rgb="FF1F4E9A"/>
        <rFont val="Arial"/>
        <family val="0"/>
        <charset val="1"/>
      </rPr>
      <t xml:space="preserve">Placa/campo: </t>
    </r>
    <r>
      <rPr>
        <sz val="9"/>
        <color rgb="FF1F4E9A"/>
        <rFont val="Arial"/>
        <family val="0"/>
        <charset val="1"/>
      </rPr>
      <t xml:space="preserve">Valvula de controle de vazao – Metroval, VCDM-50, série 0323, DN 50 mm; T.max 70 C; PN 10 bar, Combustiveis.</t>
    </r>
  </si>
  <si>
    <t xml:space="preserve">0323</t>
  </si>
  <si>
    <t xml:space="preserve">Sem dado teórico individual. Terceiros (fotos 14/11/2025, WA0313): WA0313 0323 - confere – S. tag confirmado em campo (0470). Pendente/ilegível: TAG nao fotografado em campo. Vínculo a 14a/14b/14d não documentado.</t>
  </si>
  <si>
    <t xml:space="preserve">0467-0470</t>
  </si>
  <si>
    <t xml:space="preserve">FT-3141</t>
  </si>
  <si>
    <r>
      <rPr>
        <b val="true"/>
        <sz val="9"/>
        <color rgb="FF1F4E9A"/>
        <rFont val="Arial"/>
        <family val="0"/>
        <charset val="1"/>
      </rPr>
      <t xml:space="preserve">Placa/campo: </t>
    </r>
    <r>
      <rPr>
        <sz val="9"/>
        <color rgb="FF1F4E9A"/>
        <rFont val="Arial"/>
        <family val="0"/>
        <charset val="1"/>
      </rPr>
      <t xml:space="preserve">Medidor de vazao tipo turbina – Metroval, MTF-80, série 01311123, DIMEL 365/2020, 2024, Classe exatidao 0,3; QMM 100; 60/-20 C; 19,58; vazao 150/15, Gasolina.</t>
    </r>
  </si>
  <si>
    <t xml:space="preserve">01311123</t>
  </si>
  <si>
    <t xml:space="preserve">Sem dado teórico individual. Só leitura de campo (sem 2ª fonte). Pendente/ilegível: TAG a confirmar (plaqueta desfocada). Vínculo a 14a/14b/14d não documentado.</t>
  </si>
  <si>
    <t xml:space="preserve">0662-0663, 0667, 0670</t>
  </si>
  <si>
    <t xml:space="preserve">FT-3142</t>
  </si>
  <si>
    <r>
      <rPr>
        <b val="true"/>
        <sz val="9"/>
        <color rgb="FF1F4E9A"/>
        <rFont val="Arial"/>
        <family val="0"/>
        <charset val="1"/>
      </rPr>
      <t xml:space="preserve">Placa/campo: </t>
    </r>
    <r>
      <rPr>
        <sz val="9"/>
        <color rgb="FF1F4E9A"/>
        <rFont val="Arial"/>
        <family val="0"/>
        <charset val="1"/>
      </rPr>
      <t xml:space="preserve">Medidor de vazao tipo turbina – Metroval, MTF-80, série 01?3?1123, DIMEL 365/2020, 2024, Classe exatidao 0,3; QMM 100; 60/-20 C; 19,58; vazao 150/15, Diesel S-500.</t>
    </r>
  </si>
  <si>
    <t xml:space="preserve">01?3?1123</t>
  </si>
  <si>
    <t xml:space="preserve">Sem dado teórico individual. Só leitura de campo (sem 2ª fonte). Pendente/ilegível: digitos do no de serie. Vínculo a 14a/14b/14d não documentado.</t>
  </si>
  <si>
    <t xml:space="preserve">0553, 0554</t>
  </si>
  <si>
    <t xml:space="preserve">FT-3143</t>
  </si>
  <si>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t>
    </r>
  </si>
  <si>
    <t xml:space="preserve">OI 50 SMPF/F2</t>
  </si>
  <si>
    <t xml:space="preserve">Vazao 30-300 L/min; 2" 150# RF; 20 bar; 60 C</t>
  </si>
  <si>
    <t xml:space="preserve">12527</t>
  </si>
  <si>
    <t xml:space="preserve">Sem dado teórico individual. Só leitura de campo (sem 2ª fonte). Pendente/ilegível: no de serie. Vínculo a 14a/14b/14d não documentado.</t>
  </si>
  <si>
    <t xml:space="preserve">0711, 0712</t>
  </si>
  <si>
    <t xml:space="preserve">FT-3148</t>
  </si>
  <si>
    <r>
      <rPr>
        <b val="true"/>
        <sz val="9"/>
        <color rgb="FF1F4E9A"/>
        <rFont val="Arial"/>
        <family val="0"/>
        <charset val="1"/>
      </rPr>
      <t xml:space="preserve">Placa/campo: </t>
    </r>
    <r>
      <rPr>
        <sz val="9"/>
        <color rgb="FF1F4E9A"/>
        <rFont val="Arial"/>
        <family val="0"/>
        <charset val="1"/>
      </rPr>
      <t xml:space="preserve">Medidor de vazao tipo turbina – Metroval, MTF-80, série 01421123, DIMEL 365/2020, 2024, Classe exatidao 0,3; QMM 100; 60/-20 C; 19,58; vazao 150/15, Etanol hidratado.</t>
    </r>
  </si>
  <si>
    <t xml:space="preserve">01421123</t>
  </si>
  <si>
    <t xml:space="preserve">Sem dado teórico individual. Só leitura de campo (sem 2ª fonte). Vínculo a 14a/14b/14d não documentado.</t>
  </si>
  <si>
    <t xml:space="preserve">0649-0651</t>
  </si>
  <si>
    <t xml:space="preserve">FT-3151</t>
  </si>
  <si>
    <r>
      <rPr>
        <b val="true"/>
        <sz val="9"/>
        <color rgb="FF1F4E9A"/>
        <rFont val="Arial"/>
        <family val="0"/>
        <charset val="1"/>
      </rPr>
      <t xml:space="preserve">Placa/campo: </t>
    </r>
    <r>
      <rPr>
        <sz val="9"/>
        <color rgb="FF1F4E9A"/>
        <rFont val="Arial"/>
        <family val="0"/>
        <charset val="1"/>
      </rPr>
      <t xml:space="preserve">Medidor de vazao tipo turbina – Metroval, MTF-80, série 01341123, DIMEL 365/2020, 2024, Classe exatidao 0,3; QMM 100; 60/-20 C; 19,58; vazao 150/15, Diesel S-500.</t>
    </r>
  </si>
  <si>
    <t xml:space="preserve">01341123</t>
  </si>
  <si>
    <t xml:space="preserve">Sem dado teórico individual. Só leitura de campo (sem 2ª fonte). Pendente/ilegível: nenhum - divergencia D01 resolvida. Vínculo a 14a/14b/14d não documentado.</t>
  </si>
  <si>
    <t xml:space="preserve">0315-0317, 0567-0570</t>
  </si>
  <si>
    <t xml:space="preserve">FT-3154</t>
  </si>
  <si>
    <r>
      <rPr>
        <b val="true"/>
        <sz val="9"/>
        <color rgb="FF1F4E9A"/>
        <rFont val="Arial"/>
        <family val="0"/>
        <charset val="1"/>
      </rPr>
      <t xml:space="preserve">Placa/campo: </t>
    </r>
    <r>
      <rPr>
        <sz val="9"/>
        <color rgb="FF1F4E9A"/>
        <rFont val="Arial"/>
        <family val="0"/>
        <charset val="1"/>
      </rPr>
      <t xml:space="preserve">Medidor massico – Metroval, OI 50 SMPF/F2, série 12529, 2024, Vazao 30-300 L/min; 2" 150# RF; 20 bar; 60 C, Biodiesel B100.</t>
    </r>
  </si>
  <si>
    <t xml:space="preserve">12529</t>
  </si>
  <si>
    <t xml:space="preserve">Sem dado teórico individual. Terceiros (fotos 14/11/2025, WA0341): FT-3154 | OI 50 SMPF/F2 | 12529 – S. Vínculo a 14a/14b/14d não documentado.</t>
  </si>
  <si>
    <t xml:space="preserve">0439, 0440</t>
  </si>
  <si>
    <t xml:space="preserve">FT-3156</t>
  </si>
  <si>
    <r>
      <rPr>
        <b val="true"/>
        <sz val="9"/>
        <color rgb="FF1F4E9A"/>
        <rFont val="Arial"/>
        <family val="0"/>
        <charset val="1"/>
      </rPr>
      <t xml:space="preserve">Placa/campo: </t>
    </r>
    <r>
      <rPr>
        <sz val="9"/>
        <color rgb="FF1F4E9A"/>
        <rFont val="Arial"/>
        <family val="0"/>
        <charset val="1"/>
      </rPr>
      <t xml:space="preserve">Medidor massico – Metroval, OI 50 SMPF/F2, série 12531, 2024, Vazao 30-300 L/min; 2" 150# RF; 20 bar; 60 C, Biodiesel B100.</t>
    </r>
  </si>
  <si>
    <t xml:space="preserve">12531</t>
  </si>
  <si>
    <t xml:space="preserve">Sem dado teórico individual. Terceiros (fotos 14/11/2025, WA0332): FT-3156 | OI 50 SMPF/F2 | 12531 – S. Vínculo a 14a/14b/14d não documentado.</t>
  </si>
  <si>
    <t xml:space="preserve">0441, 0442</t>
  </si>
  <si>
    <t xml:space="preserve">FT-3159</t>
  </si>
  <si>
    <r>
      <rPr>
        <b val="true"/>
        <sz val="9"/>
        <color rgb="FF1F4E9A"/>
        <rFont val="Arial"/>
        <family val="0"/>
        <charset val="1"/>
      </rPr>
      <t xml:space="preserve">Placa/campo: </t>
    </r>
    <r>
      <rPr>
        <sz val="9"/>
        <color rgb="FF1F4E9A"/>
        <rFont val="Arial"/>
        <family val="0"/>
        <charset val="1"/>
      </rPr>
      <t xml:space="preserve">Medidor de vazao tipo turbina – Metroval, MTF-80, série 01451123, DIMEL 365/2020, 2024, Classe exatidao 0,3; QMM 100; 60/-20 C; 19,58; vazao 150/15, Gasolina.</t>
    </r>
  </si>
  <si>
    <t xml:space="preserve">01451123</t>
  </si>
  <si>
    <t xml:space="preserve">0308, 0311, 0312</t>
  </si>
  <si>
    <t xml:space="preserve">FT-3163</t>
  </si>
  <si>
    <r>
      <rPr>
        <b val="true"/>
        <sz val="9"/>
        <color rgb="FF1F4E9A"/>
        <rFont val="Arial"/>
        <family val="0"/>
        <charset val="1"/>
      </rPr>
      <t xml:space="preserve">Placa/campo: </t>
    </r>
    <r>
      <rPr>
        <sz val="9"/>
        <color rgb="FF1F4E9A"/>
        <rFont val="Arial"/>
        <family val="0"/>
        <charset val="1"/>
      </rPr>
      <t xml:space="preserve">Medidor massico – Metroval, OI 50 SMPF/F2, série 12528, 2024, Vazao 30-300 L/min; 2" 150# RF; 20 bar; 60 C, Biodiesel B100.</t>
    </r>
  </si>
  <si>
    <t xml:space="preserve">12528</t>
  </si>
  <si>
    <t xml:space="preserve">Sem dado teórico individual. Terceiros (fotos 14/11/2025, WA0326 / WA0343): FT-3163 | OI 50 SMPF/F2 | 12528 – S. Vínculo a 14a/14b/14d não documentado.</t>
  </si>
  <si>
    <t xml:space="preserve">0437, 0438</t>
  </si>
  <si>
    <t xml:space="preserve">SDV-3103</t>
  </si>
  <si>
    <r>
      <rPr>
        <b val="true"/>
        <sz val="9"/>
        <color rgb="FF1F4E9A"/>
        <rFont val="Arial"/>
        <family val="0"/>
        <charset val="1"/>
      </rPr>
      <t xml:space="preserve">Placa/campo: </t>
    </r>
    <r>
      <rPr>
        <sz val="9"/>
        <color rgb="FF1F4E9A"/>
        <rFont val="Arial"/>
        <family val="0"/>
        <charset val="1"/>
      </rPr>
      <t xml:space="preserve">Valvula ON-OFF – Metroval, VOOM-100, série 0331, DN 100 mm; T.max 70 C; PN 10 bar, Combustiveis.</t>
    </r>
  </si>
  <si>
    <t xml:space="preserve">VOOM-100</t>
  </si>
  <si>
    <t xml:space="preserve">0331</t>
  </si>
  <si>
    <t xml:space="preserve">Sem dado teórico individual. Só leitura de campo (sem 2ª fonte). ERA REGISTRADA COMO SDV-3109 (tag lido errado); 0490 lida antes como SDV-3105. Pendente/ilegível: ano de fabricacao. Vínculo a 14a/14b/14d não documentado.</t>
  </si>
  <si>
    <t xml:space="preserve">0489-0490</t>
  </si>
  <si>
    <t xml:space="preserve">SDV-3111</t>
  </si>
  <si>
    <r>
      <rPr>
        <b val="true"/>
        <sz val="9"/>
        <color rgb="FF1F4E9A"/>
        <rFont val="Arial"/>
        <family val="0"/>
        <charset val="1"/>
      </rPr>
      <t xml:space="preserve">Placa/campo: </t>
    </r>
    <r>
      <rPr>
        <sz val="9"/>
        <color rgb="FF1F4E9A"/>
        <rFont val="Arial"/>
        <family val="0"/>
        <charset val="1"/>
      </rPr>
      <t xml:space="preserve">Valvula ON-OFF – Metroval, VOOM-100, série 0336, 2024, DN 100 mm; T.max 70 C; PN 10 bar, Combustiveis.</t>
    </r>
  </si>
  <si>
    <t xml:space="preserve">0336</t>
  </si>
  <si>
    <t xml:space="preserve">0492-0494</t>
  </si>
  <si>
    <t xml:space="preserve">SDV-3112</t>
  </si>
  <si>
    <r>
      <rPr>
        <b val="true"/>
        <sz val="9"/>
        <color rgb="FF1F4E9A"/>
        <rFont val="Arial"/>
        <family val="0"/>
        <charset val="1"/>
      </rPr>
      <t xml:space="preserve">Placa/campo: </t>
    </r>
    <r>
      <rPr>
        <sz val="9"/>
        <color rgb="FF1F4E9A"/>
        <rFont val="Arial"/>
        <family val="0"/>
        <charset val="1"/>
      </rPr>
      <t xml:space="preserve">Valvula ON-OFF – Metroval, VOOM-100, série 0338, DN 100 mm; T.max 70 C; PN 10 bar, Combustiveis.</t>
    </r>
  </si>
  <si>
    <t xml:space="preserve">0338</t>
  </si>
  <si>
    <t xml:space="preserve">Sem dado teórico individual. Só leitura de campo (sem 2ª fonte). antes "0338 ou 0339" - fechado 0338. Pendente/ilegível: ver DIVERGENCIAS (duas series). Vínculo a 14a/14b/14d não documentado.</t>
  </si>
  <si>
    <t xml:space="preserve">0496-0499</t>
  </si>
  <si>
    <t xml:space="preserve">SDV-3113</t>
  </si>
  <si>
    <r>
      <rPr>
        <b val="true"/>
        <sz val="9"/>
        <color rgb="FF1F4E9A"/>
        <rFont val="Arial"/>
        <family val="0"/>
        <charset val="1"/>
      </rPr>
      <t xml:space="preserve">Placa/campo: </t>
    </r>
    <r>
      <rPr>
        <sz val="9"/>
        <color rgb="FF1F4E9A"/>
        <rFont val="Arial"/>
        <family val="0"/>
        <charset val="1"/>
      </rPr>
      <t xml:space="preserve">Valvula ON-OFF – Metroval, VOOM-100, série 0339, DN 100 mm; T.max 70 C; PN 10 bar, Combustiveis.</t>
    </r>
  </si>
  <si>
    <t xml:space="preserve">0339</t>
  </si>
  <si>
    <t xml:space="preserve">Sem dado teórico individual. Terceiros (fotos 14/11/2025, WA0311): WA0311 SDV-3113 - confere TAG – S. Nr.S antes nao lido. Pendente/ilegível: no de serie, ano. Vínculo a 14a/14b/14d não documentado.</t>
  </si>
  <si>
    <t xml:space="preserve">0485-0487</t>
  </si>
  <si>
    <t xml:space="preserve">TE-3101A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</si>
  <si>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t>
    </r>
  </si>
  <si>
    <t xml:space="preserve">Ex ia IIC T6..T1 Ga; Ex ic IIC T6..T4 Ga; IP66W/IP66X; INMETRO</t>
  </si>
  <si>
    <t xml:space="preserve">377041</t>
  </si>
  <si>
    <t xml:space="preserve">Sem dado teórico individual. Só leitura de campo (sem 2ª fonte). Pendente/ilegível: ano de fabricacao. Vínculo a 14a/14b/14d não documentado.</t>
  </si>
  <si>
    <t xml:space="preserve">0548</t>
  </si>
  <si>
    <t xml:space="preserve">TE-3141A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</si>
  <si>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IP66W/IP66X; INMETRO, Instrumentacao.</t>
    </r>
  </si>
  <si>
    <t xml:space="preserve">Ex ia IIC T6..T1 Ga; IP66W/IP66X; INMETRO</t>
  </si>
  <si>
    <t xml:space="preserve">0703, 0704</t>
  </si>
  <si>
    <t xml:space="preserve">TE-3147A</t>
  </si>
  <si>
    <t xml:space="preserve">0643</t>
  </si>
  <si>
    <t xml:space="preserve">TE-3149A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</si>
  <si>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INMETRO, Instrumentacao.</t>
    </r>
  </si>
  <si>
    <t xml:space="preserve">Ex ia IIC T6..T1 Ga; INMETRO</t>
  </si>
  <si>
    <t xml:space="preserve">0546</t>
  </si>
  <si>
    <t xml:space="preserve">TE-3152A</t>
  </si>
  <si>
    <t xml:space="preserve">0708, 0709</t>
  </si>
  <si>
    <t xml:space="preserve">XS-3103A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</si>
  <si>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t>
    </r>
  </si>
  <si>
    <t xml:space="preserve">KFW (Qingdao Aiptec)</t>
  </si>
  <si>
    <t xml:space="preserve">SLA-S-Y</t>
  </si>
  <si>
    <t xml:space="preserve">85-250 Vca; Ex db ia [ia Ga] IIB T5 Gb; -20 a +55 C</t>
  </si>
  <si>
    <t xml:space="preserve">Cert. DNV 18.0113 X</t>
  </si>
  <si>
    <t xml:space="preserve">0571, 0572</t>
  </si>
  <si>
    <t xml:space="preserve">ECOSERV 036/24 (09/02/2024): "Monitor de Aterramento Completo / cabo espiralado e garra de aterramento", 32 un. × R$ 12.090,00 = R$ 386.880,00 (= NF 110 Ecoserv). Provável origem deste equipamento (Ecoserv = faturamento direto do pacote Metroval).</t>
  </si>
  <si>
    <t xml:space="preserve">XS-3104</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</si>
  <si>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2011011, Cert. DNV 18.0113 X, 85-250 Vca; Ex db ia [ia Ga] IIB T5 Gb; -20 a +55 C, Carregamento rodoviario.</t>
    </r>
  </si>
  <si>
    <t xml:space="preserve">2011011</t>
  </si>
  <si>
    <t xml:space="preserve">0624, 0722, 0723</t>
  </si>
  <si>
    <t xml:space="preserve">XS-3104B</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</si>
  <si>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Carregamento rodoviario.</t>
    </r>
  </si>
  <si>
    <t xml:space="preserve">85-250 Vca; Ex db ia [ia Ga] IIB T5 Gb</t>
  </si>
  <si>
    <t xml:space="preserve">0594, 0595, 0724, 0725</t>
  </si>
  <si>
    <t xml:space="preserve">XS-3107A</t>
  </si>
  <si>
    <t xml:space="preserve">0472, 0473</t>
  </si>
  <si>
    <t xml:space="preserve">XS-3107B</t>
  </si>
  <si>
    <t xml:space="preserve">0430, 0431</t>
  </si>
  <si>
    <t xml:space="preserve">XS-3108A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</si>
  <si>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21022?42, Cert. DNV 18.0113 X, 85-250 Vca; Ex db ia [ia Ga] IIB T5 Gb, Carregamento rodoviario.</t>
    </r>
  </si>
  <si>
    <t xml:space="preserve">21022?42</t>
  </si>
  <si>
    <t xml:space="preserve">0477, 0478</t>
  </si>
  <si>
    <t xml:space="preserve">XS-31209</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</si>
  <si>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911?03?, Cert. DNV 18.0113 X, 85-250 Vca; Ex db ia [ia Ga] IIB T5 Gb, Carregamento.</t>
    </r>
  </si>
  <si>
    <t xml:space="preserve">911?03?</t>
  </si>
  <si>
    <t xml:space="preserve">0279, 0280</t>
  </si>
  <si>
    <t xml:space="preserve">XS-31211</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</si>
  <si>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Uo 21,42Vcc/Io 149mA (transbord.); Uo 14,28Vcc/Io 86,2mA (aterr.), Carregamento.</t>
    </r>
  </si>
  <si>
    <t xml:space="preserve">85-250 Vca; Ex db ia [ia Ga] IIB T5 Gb; Uo 21,42Vcc/Io 149mA (transbord.); Uo 14,28Vcc/Io 86,2mA (aterr.)</t>
  </si>
  <si>
    <t xml:space="preserve">0268, 0269</t>
  </si>
  <si>
    <t xml:space="preserve">XS-31212</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</si>
  <si>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2011002 (?), Cert. DNV 18.0113 X, 85-250 Vca; Ex db ia [ia Ga] IIB T5 Gb, Carregamento.</t>
    </r>
  </si>
  <si>
    <t xml:space="preserve">2011002 (?)</t>
  </si>
  <si>
    <t xml:space="preserve">0285, 0286</t>
  </si>
  <si>
    <t xml:space="preserve">Selos flutuantes Romão E037 (linhas 15 + 16 + 17 = 6 un.)</t>
  </si>
  <si>
    <r>
      <rPr>
        <b val="true"/>
        <sz val="9"/>
        <color rgb="FF000000"/>
        <rFont val="Arial"/>
        <family val="0"/>
        <charset val="1"/>
      </rPr>
      <t xml:space="preserve">Crítica: </t>
    </r>
    <r>
      <rPr>
        <sz val="9"/>
        <color rgb="FF000000"/>
        <rFont val="Arial"/>
        <family val="0"/>
        <charset val="1"/>
      </rPr>
      <t xml:space="preserve">linhas 15 a 17 somam R$ 546.941,16.NF: NF 2739 de 29/05/2024 – Romão Tecnologias Industriais Ltda (CNPJ 02.807.845/0001-19): "Selo película vedação simples", R$ 601.341,12 – cobre as três linhas; excede-as em R$ 54.399,96.SAP: selos não constam na base SAP (seleção).Projeto: não há lista de selos no dossiê (há catálogo Romão).</t>
    </r>
  </si>
  <si>
    <t xml:space="preserve">Romão</t>
  </si>
  <si>
    <t xml:space="preserve">E037</t>
  </si>
  <si>
    <t xml:space="preserve">2739</t>
  </si>
  <si>
    <t xml:space="preserve">29/05/2024</t>
  </si>
  <si>
    <t xml:space="preserve">Romão Tecnologias Industriais Ltda (02.807.845/0001-19)</t>
  </si>
  <si>
    <t xml:space="preserve">NF única das 3 linhas</t>
  </si>
  <si>
    <t xml:space="preserve">Selos internos aos tanques: não verificáveis em vistoria externa (categoria C). O RT0538 os declara encontrados. Pedir certificado/data-book Romão por tanque.</t>
  </si>
  <si>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t>
  </si>
  <si>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t>
  </si>
  <si>
    <r>
      <rPr>
        <b val="true"/>
        <sz val="9"/>
        <color rgb="FF000000"/>
        <rFont val="Arial"/>
        <family val="0"/>
        <charset val="1"/>
      </rPr>
      <t xml:space="preserve">LINHA 15-17 – Selos flutuantes Romão E037 (linhas 15 + 16 + 17 = 6 un.) [GRUPO]
Crítica: </t>
    </r>
    <r>
      <rPr>
        <sz val="9"/>
        <color rgb="FF000000"/>
        <rFont val="Arial"/>
        <family val="0"/>
        <charset val="1"/>
      </rPr>
      <t xml:space="preserve">linhas 15 a 17 somam R$ 546.941,16. </t>
    </r>
    <r>
      <rPr>
        <b val="true"/>
        <sz val="9"/>
        <color rgb="FFC00000"/>
        <rFont val="Arial"/>
        <family val="0"/>
        <charset val="1"/>
      </rPr>
      <t xml:space="preserve">NF: </t>
    </r>
    <r>
      <rPr>
        <sz val="9"/>
        <color rgb="FFC00000"/>
        <rFont val="Arial"/>
        <family val="0"/>
        <charset val="1"/>
      </rPr>
      <t xml:space="preserve">NF 2739 de 29/05/2024 – Romão Tecnologias Industriais Ltda (CNPJ 02.807.845/0001-19): "Selo película vedação simples", R$ 601.341,12 – cobre as três linhas; excede-as em R$ 54.399,96. </t>
    </r>
    <r>
      <rPr>
        <b val="true"/>
        <sz val="9"/>
        <color rgb="FF00703C"/>
        <rFont val="Arial"/>
        <family val="0"/>
        <charset val="1"/>
      </rPr>
      <t xml:space="preserve">SAP: </t>
    </r>
    <r>
      <rPr>
        <sz val="9"/>
        <color rgb="FF00703C"/>
        <rFont val="Arial"/>
        <family val="0"/>
        <charset val="1"/>
      </rPr>
      <t xml:space="preserve">selos não constam na base SAP (seleção). </t>
    </r>
    <r>
      <rPr>
        <b val="true"/>
        <sz val="9"/>
        <color rgb="FFB38600"/>
        <rFont val="Arial"/>
        <family val="0"/>
        <charset val="1"/>
      </rPr>
      <t xml:space="preserve">Projeto: </t>
    </r>
    <r>
      <rPr>
        <sz val="9"/>
        <color rgb="FFB38600"/>
        <rFont val="Arial"/>
        <family val="0"/>
        <charset val="1"/>
      </rPr>
      <t xml:space="preserve">não há lista de selos no dossiê (há catálogo Romão).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t>
    </r>
    <r>
      <rPr>
        <strike val="true"/>
        <sz val="9"/>
        <color rgb="FFC00000"/>
        <rFont val="Arial"/>
        <family val="0"/>
        <charset val="1"/>
      </rPr>
      <t xml:space="preserve">02.807.845/0001-19</t>
    </r>
    <r>
      <rPr>
        <sz val="9"/>
        <color rgb="FFC00000"/>
        <rFont val="Arial"/>
        <family val="0"/>
        <charset val="1"/>
      </rPr>
      <t xml:space="preserve">) – valor comprovado R$ 601.341,12. </t>
    </r>
    <r>
      <rPr>
        <b val="true"/>
        <sz val="9"/>
        <color rgb="FF000000"/>
        <rFont val="Arial"/>
        <family val="0"/>
        <charset val="1"/>
      </rPr>
      <t xml:space="preserve">Atribuição: </t>
    </r>
    <r>
      <rPr>
        <sz val="9"/>
        <color rgb="FF000000"/>
        <rFont val="Arial"/>
        <family val="0"/>
        <charset val="1"/>
      </rPr>
      <t xml:space="preserve">NF única das 3 linhas.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000000"/>
        <rFont val="Arial"/>
        <family val="0"/>
        <charset val="1"/>
      </rPr>
      <t xml:space="preserve">Obs. (coluna T): </t>
    </r>
    <r>
      <rPr>
        <sz val="9"/>
        <color rgb="FF000000"/>
        <rFont val="Arial"/>
        <family val="0"/>
        <charset val="1"/>
      </rPr>
      <t xml:space="preserve">Selos internos aos tanques: não verificáveis em vistoria externa (categoria C). O RT0538 os declara encontrados. Pedir certificado/data-book Romão por tanque. 
</t>
    </r>
    <r>
      <rPr>
        <b val="true"/>
        <sz val="9"/>
        <color rgb="FF002060"/>
        <rFont val="Arial"/>
        <family val="0"/>
        <charset val="1"/>
      </rPr>
      <t xml:space="preserve">Cotação OPE154: </t>
    </r>
    <r>
      <rPr>
        <sz val="9"/>
        <color rgb="FF002060"/>
        <rFont val="Arial"/>
        <family val="0"/>
        <charset val="1"/>
      </rPr>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 
</t>
    </r>
    <r>
      <rPr>
        <b val="true"/>
        <sz val="9"/>
        <color rgb="FF7030A0"/>
        <rFont val="Arial"/>
        <family val="0"/>
        <charset val="1"/>
      </rPr>
      <t xml:space="preserve">Novo v2 (achados / correções / proposições): </t>
    </r>
    <r>
      <rPr>
        <sz val="9"/>
        <color rgb="FF7030A0"/>
        <rFont val="Arial"/>
        <family val="0"/>
        <charset val="1"/>
      </rPr>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 
Subconjuntos: 15, 16 e 17 – ver as células únicas próprias. </t>
    </r>
  </si>
  <si>
    <t xml:space="preserve">Selos flutuantes – TQ-3103 e TQ-3104 (gasolina A, 1.700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</si>
  <si>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03967780.NF: NF 2739 (Romão, 29/05/2024) – ver grupo 15-17.SAP: não consta na base SAP (seleção).</t>
    </r>
  </si>
  <si>
    <t xml:space="preserve">E037, alumínio</t>
  </si>
  <si>
    <t xml:space="preserve">altura 14,4 m, diâmetro 13,33 m</t>
  </si>
  <si>
    <t xml:space="preserve">sem placa (interno ao tanque)</t>
  </si>
  <si>
    <t xml:space="preserve">não verificável</t>
  </si>
  <si>
    <t xml:space="preserve">ver grupo 15-17</t>
  </si>
  <si>
    <t xml:space="preserve">Não verificável em campo. Coerência dimensional com as placas dos tanques: As placas SOLO de TQ-3103 e TQ-3104 trazem altura 14.400 mm e diâmetro 13.330 mm = dimensões do selo (14,4 × 13,33 m). Correspondência exata para 2 tanques.</t>
  </si>
  <si>
    <t xml:space="preserve">Cotação ROMÃO 00638 Rev 04 (17/01/2024): selo E037 alumínio, altura 14,4 m, diâmetro 13,33 m, 2 un. × R$ 124.911,76 = R$ 249.823,52 (= linha 15); Finame 03967780.</t>
  </si>
  <si>
    <t xml:space="preserve">Cotação = crítica. Correspondência dimensional já comprovada com as placas dos tanques TQ-3103/3104 (14.400 × 13.330 mm).</t>
  </si>
  <si>
    <r>
      <rPr>
        <b val="true"/>
        <sz val="9"/>
        <color rgb="FF000000"/>
        <rFont val="Arial"/>
        <family val="0"/>
        <charset val="1"/>
      </rPr>
      <t xml:space="preserve">LINHA 15 – Selos flutuantes – TQ-3103 e TQ-3104 (gasolina A, 1.700 m³) [CONJUNTO]
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R$ 124.911,76, total R$ 249.823,52.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14,4 m, diâmetro 13,33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As placas SOLO de </t>
    </r>
    <r>
      <rPr>
        <strike val="true"/>
        <sz val="9"/>
        <color rgb="FF000000"/>
        <rFont val="Arial"/>
        <family val="0"/>
        <charset val="1"/>
      </rPr>
      <t xml:space="preserve">TQ-3103</t>
    </r>
    <r>
      <rPr>
        <sz val="9"/>
        <color rgb="FF000000"/>
        <rFont val="Arial"/>
        <family val="0"/>
        <charset val="1"/>
      </rPr>
      <t xml:space="preserve"> e </t>
    </r>
    <r>
      <rPr>
        <strike val="true"/>
        <sz val="9"/>
        <color rgb="FF000000"/>
        <rFont val="Arial"/>
        <family val="0"/>
        <charset val="1"/>
      </rPr>
      <t xml:space="preserve">TQ-3104</t>
    </r>
    <r>
      <rPr>
        <sz val="9"/>
        <color rgb="FF000000"/>
        <rFont val="Arial"/>
        <family val="0"/>
        <charset val="1"/>
      </rPr>
      <t xml:space="preserve"> trazem altura 14.400 mm e diâmetro 13.330 mm = dimensões do selo (14,4 × 13,33 m). Correspondência exata para 2 tanques.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14,4 m, diâmetro 13,33 m, 2 un. × R$ 124.911,76 = R$ 249.823,52 (= linha 15);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Correspondência dimensional já comprovada com as placas dos tanques TQ-3103/3104 (14.400 × 13.330 mm). </t>
    </r>
  </si>
  <si>
    <t xml:space="preserve">Selos flutuantes – TQ-3109 e TQ-3110 (etanol anidro, 800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</si>
  <si>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03967780.NF: NF 2739 (Romão, 29/05/2024) – ver grupo 15-17.SAP: não consta na base SAP (seleção).</t>
    </r>
  </si>
  <si>
    <t xml:space="preserve">altura 9,60 m, diâmetro 11,45 m</t>
  </si>
  <si>
    <t xml:space="preserve">Não verificável em campo. Coerência dimensional com as placas dos tanques: Placas: TQ-3109 H 9.600 / D 11.450 mm e TQ-3110 H 9.600 / D 11.430 mm = selo 9,60 × 11,45 m (2 tanques; 20 mm de diferença entre as placas).</t>
  </si>
  <si>
    <t xml:space="preserve">Cotação ROMÃO 00638 Rev 04 (17/01/2024): selo E037 alumínio, altura 9,60 m, diâmetro 11,45 m, 2 un. × R$ 88.529,41 = R$ 177.058,82 (= linha 16); Finame 03967780.</t>
  </si>
  <si>
    <t xml:space="preserve">Cotação = crítica. TQ-3109 (D 11.450) e TQ-3110 (D 11.430): 20 mm de diferença entre placas, selo único de 11,45 m.</t>
  </si>
  <si>
    <r>
      <rPr>
        <b val="true"/>
        <sz val="9"/>
        <color rgb="FF000000"/>
        <rFont val="Arial"/>
        <family val="0"/>
        <charset val="1"/>
      </rPr>
      <t xml:space="preserve">LINHA 16 – Selos flutuantes – TQ-3109 e TQ-3110 (etanol anidro, 800 m³) [CONJUNTO]
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R$ 88.529,41, total R$ 177.058,82.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9,60 m, diâmetro 11,45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TQ-3109</t>
    </r>
    <r>
      <rPr>
        <sz val="9"/>
        <color rgb="FF000000"/>
        <rFont val="Arial"/>
        <family val="0"/>
        <charset val="1"/>
      </rPr>
      <t xml:space="preserve"> H 9.600 / D 11.450 mm e </t>
    </r>
    <r>
      <rPr>
        <strike val="true"/>
        <sz val="9"/>
        <color rgb="FF000000"/>
        <rFont val="Arial"/>
        <family val="0"/>
        <charset val="1"/>
      </rPr>
      <t xml:space="preserve">TQ-3110</t>
    </r>
    <r>
      <rPr>
        <sz val="9"/>
        <color rgb="FF000000"/>
        <rFont val="Arial"/>
        <family val="0"/>
        <charset val="1"/>
      </rPr>
      <t xml:space="preserve"> H 9.600 / D 11.430 mm = selo 9,60 × 11,45 m (2 tanques; 20 mm de diferença entre as placas).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9,60 m, diâmetro 11,45 m, 2 un. × R$ 88.529,41 = R$ 177.058,82 (= linha 16);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TQ-3109 (D 11.450) e TQ-3110 (D 11.430): 20 mm de diferença entre placas, selo único de 11,45 m. </t>
    </r>
  </si>
  <si>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03967780.NF: NF 2739 (Romão, 29/05/2024) – ver grupo 15-17.SAP: não consta na base SAP (seleção).</t>
    </r>
  </si>
  <si>
    <t xml:space="preserve">altura 9,6 m, diâmetro 7,63 m</t>
  </si>
  <si>
    <t xml:space="preserve">Não verificável em campo. Coerência dimensional com as placas dos tanques: Placas: TQ-3111 e TQ-3113 H 9.600 / D 7.630 mm = selo 9,6 × 7,63 m; TQ-3112 tem H 8.600 mm. São 3 tanques com D 7,63 m para 2 selos – qual tanque ficou sem selo não está documentado.</t>
  </si>
  <si>
    <t xml:space="preserve">Cotação ROMÃO 00638 Rev 04 (17/01/2024): selo E037 alumínio, altura 9,6 m, diâmetro 7,63 m, 2 un. × R$ 60.029,41 = R$ 120.058,82 (= linha 17); Finame 03967780.</t>
  </si>
  <si>
    <t xml:space="preserve">Cotação = crítica. Permanece indeterminado qual dos 3 tanques de D 7,63 m (TQ-3111/3112/3113) ficou sem selo; TQ-3112 tem altura diferente (8.600 mm) – indício de que os 2 selos de 9,6 m são de TQ-3111 e TQ-3113.</t>
  </si>
  <si>
    <r>
      <rPr>
        <b val="true"/>
        <sz val="9"/>
        <color rgb="FF000000"/>
        <rFont val="Arial"/>
        <family val="0"/>
        <charset val="1"/>
      </rPr>
      <t xml:space="preserve">LINHA 17 – Selos flutuantes – 2 dos 3 tanques TQ-3111/3112/3113 (etanol hidratado, 300 m³) [CONJUNTO]
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R$ 60.029,41, total R$ 120.058,82.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 m, diâmetro 7,63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TQ-3111</t>
    </r>
    <r>
      <rPr>
        <sz val="9"/>
        <color rgb="FF000000"/>
        <rFont val="Arial"/>
        <family val="0"/>
        <charset val="1"/>
      </rPr>
      <t xml:space="preserve"> e TQ-3113 H 9.600 / D 7.630 mm = selo 9,6 × 7,63 m; TQ-3112 tem H 8.600 mm. São 3 tanques com D 7,63 m para 2 selos – qual tanque ficou sem selo não está documentado.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 m, diâmetro 7,63 m, 2 un. × R$ 60.029,41 = R$ 120.058,82 (= linha 17);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Permanece indeterminado qual dos 3 tanques de D 7,63 m (TQ-3111/3112/3113) ficou sem selo; TQ-3112 tem altura diferente (8.600 mm) – indício de que os 2 selos de 9,6 m são de TQ-3111 e TQ-3113. </t>
    </r>
  </si>
  <si>
    <t xml:space="preserve">Subestação tipo eletrocentro VOLGA</t>
  </si>
  <si>
    <r>
      <rPr>
        <b val="true"/>
        <sz val="9"/>
        <color rgb="FF000000"/>
        <rFont val="Arial"/>
        <family val="0"/>
        <charset val="1"/>
      </rPr>
      <t xml:space="preserve">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(PN-3101 e TR-3101/PN-3101);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04037708.NF: NF 22 de 30/04/2024 – Volga Engenharia Ind. e Com. Ltda (CNPJ 03.347.463/0006-27): "Eletrocentro - subestação de energia", R$ 249.883,91; NF 33 de 22/05/2024 – Volga Engenharia Ind. e Com. Ltda (CNPJ 03.347.463/0006-27): "Eletrocentro - subestação de energia", R$ 2.154.062,56; NF 34 de 22/05/2024 – Volga Engenharia Ind. e Com. Ltda (CNPJ 03.347.463/0006-27): "Eletrocentro - subestação de energia", R$ 759.140,99 = R$ 3.163.087,46 (exato).SAP: SISTEMA DISTRIBUICAO ELETRICA – local BPAM-SELE, equip. 000000123508, ABC C.Projeto: Proposta VOLGA nº 20230138 rev. 6A de 06/10/2023 (R$ 3.163.087,46, Finame 04037708); as-built DE-3100-4300-014 rev. 04 (lista de 26 itens com nº VOLGA).</t>
    </r>
  </si>
  <si>
    <t xml:space="preserve">VOLGA</t>
  </si>
  <si>
    <t xml:space="preserve">eletrocentro (proposta 20230138 rev. 6A)</t>
  </si>
  <si>
    <t xml:space="preserve">34,5 kV / 440-380/220 V; TR 750 kVA; TL 112,5 kVA; BC 170 kVAr; nobreak 20 kVA</t>
  </si>
  <si>
    <t xml:space="preserve">sem placa geral</t>
  </si>
  <si>
    <t xml:space="preserve">SISTEMA / 000000123508</t>
  </si>
  <si>
    <t xml:space="preserve">2024 (placas dos painéis)</t>
  </si>
  <si>
    <t xml:space="preserve">22; 33; 34</t>
  </si>
  <si>
    <t xml:space="preserve">30/04/2024; 22/05/2024; 22/05/2024</t>
  </si>
  <si>
    <t xml:space="preserve">Volga Engenharia Ind. e Com. Ltda (03.347.463/0006-27)</t>
  </si>
  <si>
    <t xml:space="preserve">exata (22 + 33 + 34)</t>
  </si>
  <si>
    <t xml:space="preserve">Valor, proposta e 3 NFs fecham exatamente. A crítica usa TAGs "-3101" (QGMT-3101, TR-3101, TL-3101, PN-3101...) e o as-built e as placas usam "-3100"; o SAP mistura os dois (TR-3101, QGMT-3101 e QGMT-3100-01). 11 de 13 equipamentos principais do as-built têm placa fotografada (terceiros, 23/09/2026); faltam a placa do TR-3100 (750 kVA, maior componente), do TR.NB-3100 e a placa geral do eletrocentro. Nomes do cliente nas placas variam (Ultracargo Terminais / Soluções Logística).</t>
  </si>
  <si>
    <t xml:space="preserve">0782-0784, 0992-0995, terceiros 21 e 23/09/2026</t>
  </si>
  <si>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t>
  </si>
  <si>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t>
  </si>
  <si>
    <r>
      <rPr>
        <b val="true"/>
        <sz val="9"/>
        <color rgb="FF000000"/>
        <rFont val="Arial"/>
        <family val="0"/>
        <charset val="1"/>
      </rPr>
      <t xml:space="preserve">LINHA 18 – Subestação tipo eletrocentro VOLGA [CONJUNTO]
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t>
    </r>
    <r>
      <rPr>
        <strike val="true"/>
        <sz val="9"/>
        <color rgb="FF000000"/>
        <rFont val="Arial"/>
        <family val="0"/>
        <charset val="1"/>
      </rPr>
      <t xml:space="preserve">PN-3101</t>
    </r>
    <r>
      <rPr>
        <sz val="9"/>
        <color rgb="FF000000"/>
        <rFont val="Arial"/>
        <family val="0"/>
        <charset val="1"/>
      </rPr>
      <t xml:space="preserve"> e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 </t>
    </r>
    <r>
      <rPr>
        <b val="true"/>
        <sz val="9"/>
        <color rgb="FFC00000"/>
        <rFont val="Arial"/>
        <family val="0"/>
        <charset val="1"/>
      </rPr>
      <t xml:space="preserve">NF: </t>
    </r>
    <r>
      <rPr>
        <sz val="9"/>
        <color rgb="FFC00000"/>
        <rFont val="Arial"/>
        <family val="0"/>
        <charset val="1"/>
      </rPr>
      <t xml:space="preserve">NF 22 de 30/04/2024 – Volga Engenharia Ind. e Com. Ltda (CNPJ 03.347.463/0006-27): "Eletrocentro - subestação de energia", R$ 249.883,91; NF 33 de 22/05/2024 – </t>
    </r>
    <r>
      <rPr>
        <strike val="true"/>
        <sz val="9"/>
        <color rgb="FFC00000"/>
        <rFont val="Arial"/>
        <family val="0"/>
        <charset val="1"/>
      </rPr>
      <t xml:space="preserve">Volga Engenharia Ind. e Com. Ltda</t>
    </r>
    <r>
      <rPr>
        <sz val="9"/>
        <color rgb="FFC00000"/>
        <rFont val="Arial"/>
        <family val="0"/>
        <charset val="1"/>
      </rPr>
      <t xml:space="preserve"> (CNPJ </t>
    </r>
    <r>
      <rPr>
        <strike val="true"/>
        <sz val="9"/>
        <color rgb="FFC00000"/>
        <rFont val="Arial"/>
        <family val="0"/>
        <charset val="1"/>
      </rPr>
      <t xml:space="preserve">03.347.463/0006-27</t>
    </r>
    <r>
      <rPr>
        <sz val="9"/>
        <color rgb="FFC00000"/>
        <rFont val="Arial"/>
        <family val="0"/>
        <charset val="1"/>
      </rPr>
      <t xml:space="preserve">): "Eletrocentro - subestação de energia", R$ 2.154.062,56; NF 34 de 22/05/2024 – </t>
    </r>
    <r>
      <rPr>
        <strike val="true"/>
        <sz val="9"/>
        <color rgb="FFC00000"/>
        <rFont val="Arial"/>
        <family val="0"/>
        <charset val="1"/>
      </rPr>
      <t xml:space="preserve">Volga Engenharia Ind. e Com. Ltda</t>
    </r>
    <r>
      <rPr>
        <sz val="9"/>
        <color rgb="FFC00000"/>
        <rFont val="Arial"/>
        <family val="0"/>
        <charset val="1"/>
      </rPr>
      <t xml:space="preserve"> (CNPJ </t>
    </r>
    <r>
      <rPr>
        <strike val="true"/>
        <sz val="9"/>
        <color rgb="FFC00000"/>
        <rFont val="Arial"/>
        <family val="0"/>
        <charset val="1"/>
      </rPr>
      <t xml:space="preserve">03.347.463/0006-27</t>
    </r>
    <r>
      <rPr>
        <sz val="9"/>
        <color rgb="FFC00000"/>
        <rFont val="Arial"/>
        <family val="0"/>
        <charset val="1"/>
      </rPr>
      <t xml:space="preserve">): "Eletrocentro - subestação de energia", R$ 759.140,99 = R$ 3.163.087,46 (exato). </t>
    </r>
    <r>
      <rPr>
        <b val="true"/>
        <sz val="9"/>
        <color rgb="FF00703C"/>
        <rFont val="Arial"/>
        <family val="0"/>
        <charset val="1"/>
      </rPr>
      <t xml:space="preserve">SAP: </t>
    </r>
    <r>
      <rPr>
        <sz val="9"/>
        <color rgb="FF00703C"/>
        <rFont val="Arial"/>
        <family val="0"/>
        <charset val="1"/>
      </rPr>
      <t xml:space="preserve">SISTEMA DISTRIBUICAO ELETRICA – local BPAM-SELE, equip. 000000123508, ABC C. </t>
    </r>
    <r>
      <rPr>
        <b val="true"/>
        <sz val="9"/>
        <color rgb="FFB38600"/>
        <rFont val="Arial"/>
        <family val="0"/>
        <charset val="1"/>
      </rPr>
      <t xml:space="preserve">Projeto: </t>
    </r>
    <r>
      <rPr>
        <sz val="9"/>
        <color rgb="FFB38600"/>
        <rFont val="Arial"/>
        <family val="0"/>
        <charset val="1"/>
      </rPr>
      <t xml:space="preserve">Proposta VOLGA nº 20230138 rev. 6A de 06/10/2023 (R$ 3.163.087,46, </t>
    </r>
    <r>
      <rPr>
        <strike val="true"/>
        <sz val="9"/>
        <color rgb="FFB38600"/>
        <rFont val="Arial"/>
        <family val="0"/>
        <charset val="1"/>
      </rPr>
      <t xml:space="preserve">Finame 04037708</t>
    </r>
    <r>
      <rPr>
        <sz val="9"/>
        <color rgb="FFB38600"/>
        <rFont val="Arial"/>
        <family val="0"/>
        <charset val="1"/>
      </rPr>
      <t xml:space="preserve">); as-built DE-3100-4300-014 rev. 04 (lista de 26 itens com nº VOLGA). 
</t>
    </r>
    <r>
      <rPr>
        <b val="true"/>
        <sz val="9"/>
        <color rgb="FFC00000"/>
        <rFont val="Arial"/>
        <family val="0"/>
        <charset val="1"/>
      </rPr>
      <t xml:space="preserve">NF (colunas K-Q): </t>
    </r>
    <r>
      <rPr>
        <sz val="9"/>
        <color rgb="FFC00000"/>
        <rFont val="Arial"/>
        <family val="0"/>
        <charset val="1"/>
      </rPr>
      <t xml:space="preserve">NF nº 22; 33; 34 de 30/04/2024; 22/05/2024; 22/05/2024 – </t>
    </r>
    <r>
      <rPr>
        <strike val="true"/>
        <sz val="9"/>
        <color rgb="FFC00000"/>
        <rFont val="Arial"/>
        <family val="0"/>
        <charset val="1"/>
      </rPr>
      <t xml:space="preserve">Volga Engenharia Ind. e Com. Ltda</t>
    </r>
    <r>
      <rPr>
        <sz val="9"/>
        <color rgb="FFC00000"/>
        <rFont val="Arial"/>
        <family val="0"/>
        <charset val="1"/>
      </rPr>
      <t xml:space="preserve"> (</t>
    </r>
    <r>
      <rPr>
        <strike val="true"/>
        <sz val="9"/>
        <color rgb="FFC00000"/>
        <rFont val="Arial"/>
        <family val="0"/>
        <charset val="1"/>
      </rPr>
      <t xml:space="preserve">03.347.463/0006-27</t>
    </r>
    <r>
      <rPr>
        <sz val="9"/>
        <color rgb="FFC00000"/>
        <rFont val="Arial"/>
        <family val="0"/>
        <charset val="1"/>
      </rPr>
      <t xml:space="preserve">) – valor comprovado R$ 3.163.087,46. </t>
    </r>
    <r>
      <rPr>
        <b val="true"/>
        <sz val="9"/>
        <color rgb="FF000000"/>
        <rFont val="Arial"/>
        <family val="0"/>
        <charset val="1"/>
      </rPr>
      <t xml:space="preserve">Atribuição: </t>
    </r>
    <r>
      <rPr>
        <sz val="9"/>
        <color rgb="FF000000"/>
        <rFont val="Arial"/>
        <family val="0"/>
        <charset val="1"/>
      </rPr>
      <t xml:space="preserve">exata (22 + 33 + 34). </t>
    </r>
    <r>
      <rPr>
        <b val="true"/>
        <sz val="9"/>
        <color rgb="FF000000"/>
        <rFont val="Arial"/>
        <family val="0"/>
        <charset val="1"/>
      </rPr>
      <t xml:space="preserve">Crítica (colunas N-P): </t>
    </r>
    <r>
      <rPr>
        <sz val="9"/>
        <color rgb="FF000000"/>
        <rFont val="Arial"/>
        <family val="0"/>
        <charset val="1"/>
      </rPr>
      <t xml:space="preserve">qtd 1, unitário R$ 3.163.087,46, total R$ 3.163.087,46.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VOLGA. </t>
    </r>
    <r>
      <rPr>
        <b val="true"/>
        <sz val="9"/>
        <color rgb="FFB38600"/>
        <rFont val="Arial"/>
        <family val="0"/>
        <charset val="1"/>
      </rPr>
      <t xml:space="preserve">Modelo: </t>
    </r>
    <r>
      <rPr>
        <sz val="9"/>
        <color rgb="FFB38600"/>
        <rFont val="Arial"/>
        <family val="0"/>
        <charset val="1"/>
      </rPr>
      <t xml:space="preserve">eletrocentro (proposta 20230138 rev. 6A). </t>
    </r>
    <r>
      <rPr>
        <b val="true"/>
        <sz val="9"/>
        <color rgb="FFB38600"/>
        <rFont val="Arial"/>
        <family val="0"/>
        <charset val="1"/>
      </rPr>
      <t xml:space="preserve">Capacidade: </t>
    </r>
    <r>
      <rPr>
        <sz val="9"/>
        <color rgb="FFB38600"/>
        <rFont val="Arial"/>
        <family val="0"/>
        <charset val="1"/>
      </rPr>
      <t xml:space="preserve">34,5 kV / 440-380/220 V; TR 750 kVA; TL 112,5 kVA; BC 170 kVAr; nobreak 20 kVA. </t>
    </r>
    <r>
      <rPr>
        <b val="true"/>
        <sz val="9"/>
        <color rgb="FF1F4E9A"/>
        <rFont val="Arial"/>
        <family val="0"/>
        <charset val="1"/>
      </rPr>
      <t xml:space="preserve">Série/OP: </t>
    </r>
    <r>
      <rPr>
        <sz val="9"/>
        <color rgb="FF1F4E9A"/>
        <rFont val="Arial"/>
        <family val="0"/>
        <charset val="1"/>
      </rPr>
      <t xml:space="preserve">sem placa geral. </t>
    </r>
    <r>
      <rPr>
        <b val="true"/>
        <sz val="9"/>
        <color rgb="FF00703C"/>
        <rFont val="Arial"/>
        <family val="0"/>
        <charset val="1"/>
      </rPr>
      <t xml:space="preserve">TAG/SAP: </t>
    </r>
    <r>
      <rPr>
        <sz val="9"/>
        <color rgb="FF00703C"/>
        <rFont val="Arial"/>
        <family val="0"/>
        <charset val="1"/>
      </rPr>
      <t xml:space="preserve">SISTEMA / 000000123508. </t>
    </r>
    <r>
      <rPr>
        <b val="true"/>
        <sz val="9"/>
        <color rgb="FF1F4E9A"/>
        <rFont val="Arial"/>
        <family val="0"/>
        <charset val="1"/>
      </rPr>
      <t xml:space="preserve">Fabricação: </t>
    </r>
    <r>
      <rPr>
        <sz val="9"/>
        <color rgb="FF1F4E9A"/>
        <rFont val="Arial"/>
        <family val="0"/>
        <charset val="1"/>
      </rPr>
      <t xml:space="preserve">2024 (placas dos painéis). 
</t>
    </r>
    <r>
      <rPr>
        <b val="true"/>
        <sz val="9"/>
        <color rgb="FF000000"/>
        <rFont val="Arial"/>
        <family val="0"/>
        <charset val="1"/>
      </rPr>
      <t xml:space="preserve">Obs. (coluna T): </t>
    </r>
    <r>
      <rPr>
        <sz val="9"/>
        <color rgb="FF000000"/>
        <rFont val="Arial"/>
        <family val="0"/>
        <charset val="1"/>
      </rPr>
      <t xml:space="preserve">Valor, proposta e 3 NFs fecham exatamente. A crítica usa TAGs "-3101" (</t>
    </r>
    <r>
      <rPr>
        <strike val="true"/>
        <sz val="9"/>
        <color rgb="FF000000"/>
        <rFont val="Arial"/>
        <family val="0"/>
        <charset val="1"/>
      </rPr>
      <t xml:space="preserve">QGMT-3101</t>
    </r>
    <r>
      <rPr>
        <sz val="9"/>
        <color rgb="FF000000"/>
        <rFont val="Arial"/>
        <family val="0"/>
        <charset val="1"/>
      </rPr>
      <t xml:space="preserve">,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TL-3101</t>
    </r>
    <r>
      <rPr>
        <sz val="9"/>
        <color rgb="FF000000"/>
        <rFont val="Arial"/>
        <family val="0"/>
        <charset val="1"/>
      </rPr>
      <t xml:space="preserve">, </t>
    </r>
    <r>
      <rPr>
        <strike val="true"/>
        <sz val="9"/>
        <color rgb="FF000000"/>
        <rFont val="Arial"/>
        <family val="0"/>
        <charset val="1"/>
      </rPr>
      <t xml:space="preserve">PN-3101</t>
    </r>
    <r>
      <rPr>
        <sz val="9"/>
        <color rgb="FF000000"/>
        <rFont val="Arial"/>
        <family val="0"/>
        <charset val="1"/>
      </rPr>
      <t xml:space="preserve">...) e o as-built e as placas usam "-3100"; o SAP mistura os dois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QGMT-3101</t>
    </r>
    <r>
      <rPr>
        <sz val="9"/>
        <color rgb="FF000000"/>
        <rFont val="Arial"/>
        <family val="0"/>
        <charset val="1"/>
      </rPr>
      <t xml:space="preserve"> e QGMT-3100-01). 11 de 13 equipamentos principais do as-built têm placa fotografada (terceiros, 23/09/2026); faltam a placa do TR-3100 (750 kVA, maior componente), do TR.NB-3100 e a placa geral do eletrocentro. Nomes do cliente nas placas variam (Ultracargo Terminais / Soluções Logística). </t>
    </r>
    <r>
      <rPr>
        <b val="true"/>
        <sz val="9"/>
        <color rgb="FF000000"/>
        <rFont val="Arial"/>
        <family val="0"/>
        <charset val="1"/>
      </rPr>
      <t xml:space="preserve">Fotos (coluna U): </t>
    </r>
    <r>
      <rPr>
        <sz val="9"/>
        <color rgb="FF000000"/>
        <rFont val="Arial"/>
        <family val="0"/>
        <charset val="1"/>
      </rPr>
      <t xml:space="preserve">0782-0784, 0992-0995, terceiros 21 e 23/09/2026. 
</t>
    </r>
    <r>
      <rPr>
        <b val="true"/>
        <sz val="9"/>
        <color rgb="FF002060"/>
        <rFont val="Arial"/>
        <family val="0"/>
        <charset val="1"/>
      </rPr>
      <t xml:space="preserve">Cotação OPE154: </t>
    </r>
    <r>
      <rPr>
        <sz val="9"/>
        <color rgb="FF002060"/>
        <rFont val="Arial"/>
        <family val="0"/>
        <charset val="1"/>
      </rPr>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 
</t>
    </r>
    <r>
      <rPr>
        <b val="true"/>
        <sz val="9"/>
        <color rgb="FF7030A0"/>
        <rFont val="Arial"/>
        <family val="0"/>
        <charset val="1"/>
      </rPr>
      <t xml:space="preserve">Novo v2 (achados / correções / proposições): </t>
    </r>
    <r>
      <rPr>
        <sz val="9"/>
        <color rgb="FF7030A0"/>
        <rFont val="Arial"/>
        <family val="0"/>
        <charset val="1"/>
      </rPr>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 
</t>
    </r>
    <r>
      <rPr>
        <b val="true"/>
        <sz val="9"/>
        <color rgb="FF000000"/>
        <rFont val="Arial"/>
        <family val="0"/>
        <charset val="1"/>
      </rPr>
      <t xml:space="preserve">COMPONENTES (22):
• QGMT-3100-01: Crítica: </t>
    </r>
    <r>
      <rPr>
        <sz val="9"/>
        <color rgb="FF000000"/>
        <rFont val="Arial"/>
        <family val="0"/>
        <charset val="1"/>
      </rPr>
      <t xml:space="preserve">01 </t>
    </r>
    <r>
      <rPr>
        <strike val="true"/>
        <sz val="9"/>
        <color rgb="FF000000"/>
        <rFont val="Arial"/>
        <family val="0"/>
        <charset val="1"/>
      </rPr>
      <t xml:space="preserve">QGMT-3101</t>
    </r>
    <r>
      <rPr>
        <sz val="9"/>
        <color rgb="FF000000"/>
        <rFont val="Arial"/>
        <family val="0"/>
        <charset val="1"/>
      </rPr>
      <t xml:space="preserve"> + cubículos PMT SM6 36 kV (GAM-2, GBC-B, CM, DM1-A, relé P3U30, TP BDE-FT26C, TC BDE-4000A, PM5340). </t>
    </r>
    <r>
      <rPr>
        <b val="true"/>
        <sz val="9"/>
        <color rgb="FFB38600"/>
        <rFont val="Arial"/>
        <family val="0"/>
        <charset val="1"/>
      </rPr>
      <t xml:space="preserve">Projeto: </t>
    </r>
    <r>
      <rPr>
        <sz val="9"/>
        <color rgb="FFB38600"/>
        <rFont val="Arial"/>
        <family val="0"/>
        <charset val="1"/>
      </rPr>
      <t xml:space="preserve">as-built item 1: Painel de distribuição média tensão, nº VOLGA BR15-2023-44-0129. </t>
    </r>
    <r>
      <rPr>
        <b val="true"/>
        <sz val="9"/>
        <color rgb="FF00703C"/>
        <rFont val="Arial"/>
        <family val="0"/>
        <charset val="1"/>
      </rPr>
      <t xml:space="preserve">SAP: </t>
    </r>
    <r>
      <rPr>
        <strike val="true"/>
        <sz val="9"/>
        <color rgb="FF00703C"/>
        <rFont val="Arial"/>
        <family val="0"/>
        <charset val="1"/>
      </rPr>
      <t xml:space="preserve">QGMT-3100</t>
    </r>
    <r>
      <rPr>
        <sz val="9"/>
        <color rgb="FF00703C"/>
        <rFont val="Arial"/>
        <family val="0"/>
        <charset val="1"/>
      </rPr>
      <t xml:space="preserve">-01 QUADRO GERAL MEDIA TENSAO (+ SUB-04 Q1 chave seccionadora, SUB-10 relé P3U30, SUB-13..19 TP1-TP3, SUB-22..28 TC1-TC3) – local BPAM-SELE-SUB-07, equip. 000000123625,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Cliente ULTRACARGO SOLUÇÕES LOGÍSTICA SA; ano 2024; classe 36 kV; operação 34,5 kV; 630 A; 60 Hz; 16 kA/1 s; isolação 36 kV; comando 220 Vca/Vcc; 1.730 kg; dissip. 1.300 W; NBR IEC 62271-200. </t>
    </r>
    <r>
      <rPr>
        <b val="true"/>
        <sz val="9"/>
        <color rgb="FF000000"/>
        <rFont val="Arial"/>
        <family val="0"/>
        <charset val="1"/>
      </rPr>
      <t xml:space="preserve">Obs.: </t>
    </r>
    <r>
      <rPr>
        <sz val="9"/>
        <color rgb="FF000000"/>
        <rFont val="Arial"/>
        <family val="0"/>
        <charset val="1"/>
      </rPr>
      <t xml:space="preserve">Placa fotografada (terceiros, 23/09/2026). Nome do cliente diverge das demais placas (A36). </t>
    </r>
    <r>
      <rPr>
        <b val="true"/>
        <sz val="9"/>
        <color rgb="FF000000"/>
        <rFont val="Arial"/>
        <family val="0"/>
        <charset val="1"/>
      </rPr>
      <t xml:space="preserve">Fotos: </t>
    </r>
    <r>
      <rPr>
        <sz val="9"/>
        <color rgb="FF000000"/>
        <rFont val="Arial"/>
        <family val="0"/>
        <charset val="1"/>
      </rPr>
      <t xml:space="preserve">114620; 0929 (vista). 
</t>
    </r>
    <r>
      <rPr>
        <b val="true"/>
        <sz val="9"/>
        <color rgb="FF000000"/>
        <rFont val="Arial"/>
        <family val="0"/>
        <charset val="1"/>
      </rPr>
      <t xml:space="preserve">• SMF: Crítica: </t>
    </r>
    <r>
      <rPr>
        <sz val="9"/>
        <color rgb="FF000000"/>
        <rFont val="Arial"/>
        <family val="0"/>
        <charset val="1"/>
      </rPr>
      <t xml:space="preserve">01 painel SMF. </t>
    </r>
    <r>
      <rPr>
        <b val="true"/>
        <sz val="9"/>
        <color rgb="FFB38600"/>
        <rFont val="Arial"/>
        <family val="0"/>
        <charset val="1"/>
      </rPr>
      <t xml:space="preserve">Projeto: </t>
    </r>
    <r>
      <rPr>
        <sz val="9"/>
        <color rgb="FFB38600"/>
        <rFont val="Arial"/>
        <family val="0"/>
        <charset val="1"/>
      </rPr>
      <t xml:space="preserve">as-built item 2: Sistema de medição para faturamento, nº VOLGA V2023-1543. </t>
    </r>
    <r>
      <rPr>
        <b val="true"/>
        <sz val="9"/>
        <color rgb="FF1F4E9A"/>
        <rFont val="Arial"/>
        <family val="0"/>
        <charset val="1"/>
      </rPr>
      <t xml:space="preserve">Placa/campo: </t>
    </r>
    <r>
      <rPr>
        <sz val="9"/>
        <color rgb="FF1F4E9A"/>
        <rFont val="Arial"/>
        <family val="0"/>
        <charset val="1"/>
      </rPr>
      <t xml:space="preserve">VOLGA Cliente ULTRACARGO TERMINAIS LTDA.; doc. DE-3100-4300-014_00A04; 2024; 0,6/1 kV; 125 Vcc/220 Vca; 60 Hz; 16 A; 10 kA; isolação 1,0 kV; proteção '3L' (prov. IP31); etiqueta UF2_1.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114630. 
</t>
    </r>
    <r>
      <rPr>
        <b val="true"/>
        <sz val="9"/>
        <color rgb="FF000000"/>
        <rFont val="Arial"/>
        <family val="0"/>
        <charset val="1"/>
      </rPr>
      <t xml:space="preserve">• TR-3100: Crítica: </t>
    </r>
    <r>
      <rPr>
        <sz val="9"/>
        <color rgb="FF000000"/>
        <rFont val="Arial"/>
        <family val="0"/>
        <charset val="1"/>
      </rPr>
      <t xml:space="preserve">01 </t>
    </r>
    <r>
      <rPr>
        <strike val="true"/>
        <sz val="9"/>
        <color rgb="FF000000"/>
        <rFont val="Arial"/>
        <family val="0"/>
        <charset val="1"/>
      </rPr>
      <t xml:space="preserve">TR-3101</t>
    </r>
    <r>
      <rPr>
        <sz val="9"/>
        <color rgb="FF000000"/>
        <rFont val="Arial"/>
        <family val="0"/>
        <charset val="1"/>
      </rPr>
      <t xml:space="preserve"> (potência não informada na crítica). </t>
    </r>
    <r>
      <rPr>
        <b val="true"/>
        <sz val="9"/>
        <color rgb="FFB38600"/>
        <rFont val="Arial"/>
        <family val="0"/>
        <charset val="1"/>
      </rPr>
      <t xml:space="preserve">Projeto: </t>
    </r>
    <r>
      <rPr>
        <sz val="9"/>
        <color rgb="FFB38600"/>
        <rFont val="Arial"/>
        <family val="0"/>
        <charset val="1"/>
      </rPr>
      <t xml:space="preserve">as-built item 3: Transformador de força 750 kVA – IP-00, nº VOLGA V2023-1531. </t>
    </r>
    <r>
      <rPr>
        <b val="true"/>
        <sz val="9"/>
        <color rgb="FF00703C"/>
        <rFont val="Arial"/>
        <family val="0"/>
        <charset val="1"/>
      </rPr>
      <t xml:space="preserve">SAP: </t>
    </r>
    <r>
      <rPr>
        <strike val="true"/>
        <sz val="9"/>
        <color rgb="FF00703C"/>
        <rFont val="Arial"/>
        <family val="0"/>
        <charset val="1"/>
      </rPr>
      <t xml:space="preserve">TR-3101</t>
    </r>
    <r>
      <rPr>
        <sz val="9"/>
        <color rgb="FF00703C"/>
        <rFont val="Arial"/>
        <family val="0"/>
        <charset val="1"/>
      </rPr>
      <t xml:space="preserve"> TRANSFORMADOR 750kVA – local BPAM-SELE-SUB-01, equip. 000000123623, ABC A. </t>
    </r>
    <r>
      <rPr>
        <b val="true"/>
        <sz val="9"/>
        <color rgb="FF000000"/>
        <rFont val="Arial"/>
        <family val="0"/>
        <charset val="1"/>
      </rPr>
      <t xml:space="preserve">Obs.: </t>
    </r>
    <r>
      <rPr>
        <sz val="9"/>
        <color rgb="FF000000"/>
        <rFont val="Arial"/>
        <family val="0"/>
        <charset val="1"/>
      </rPr>
      <t xml:space="preserve">SEM placa fotografada. MAIOR componente do eletrocentro sem placa. A lista cita também '</t>
    </r>
    <r>
      <rPr>
        <strike val="true"/>
        <sz val="9"/>
        <color rgb="FF000000"/>
        <rFont val="Arial"/>
        <family val="0"/>
        <charset val="1"/>
      </rPr>
      <t xml:space="preserve">TR-3101</t>
    </r>
    <r>
      <rPr>
        <sz val="9"/>
        <color rgb="FF000000"/>
        <rFont val="Arial"/>
        <family val="0"/>
        <charset val="1"/>
      </rPr>
      <t xml:space="preserve">' no busway BW.01. Potência 750 kVA só no as-built e no SAP (</t>
    </r>
    <r>
      <rPr>
        <strike val="true"/>
        <sz val="9"/>
        <color rgb="FF000000"/>
        <rFont val="Arial"/>
        <family val="0"/>
        <charset val="1"/>
      </rPr>
      <t xml:space="preserve">TR-3101</t>
    </r>
    <r>
      <rPr>
        <sz val="9"/>
        <color rgb="FF000000"/>
        <rFont val="Arial"/>
        <family val="0"/>
        <charset val="1"/>
      </rPr>
      <t xml:space="preserve">); a crítica não informa potência. Pedir placa/data-book. </t>
    </r>
    <r>
      <rPr>
        <b val="true"/>
        <sz val="9"/>
        <color rgb="FF7030A0"/>
        <rFont val="Arial"/>
        <family val="0"/>
        <charset val="1"/>
      </rPr>
      <t xml:space="preserve">Novo v2: </t>
    </r>
    <r>
      <rPr>
        <sz val="9"/>
        <color rgb="FF7030A0"/>
        <rFont val="Arial"/>
        <family val="0"/>
        <charset val="1"/>
      </rPr>
      <t xml:space="preserve">Maior componente do eletrocentro (750 kVA) sem placa fotografada – prioridade na próxima visita; pedir à VOLGA o rateio do preço (PT20230138-REV6). 
</t>
    </r>
    <r>
      <rPr>
        <b val="true"/>
        <sz val="9"/>
        <color rgb="FF000000"/>
        <rFont val="Arial"/>
        <family val="0"/>
        <charset val="1"/>
      </rPr>
      <t xml:space="preserve">• PN-3100 (lado A):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4: Centro de controle de motores – lado A,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PN-3104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VOLGA Cliente ULTRACARGO TERMINAIS LTDA.</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operação 440 Vca (leitura incerta); corrente 1000 A (leitura incerta); 20 kA; comando 127/220 Vca (incerto); </t>
    </r>
    <r>
      <rPr>
        <strike val="true"/>
        <sz val="9"/>
        <color rgb="FF1F4E9A"/>
        <rFont val="Arial"/>
        <family val="0"/>
        <charset val="1"/>
      </rPr>
      <t xml:space="preserve">isolação 1,0 kV</t>
    </r>
    <r>
      <rPr>
        <sz val="9"/>
        <color rgb="FF1F4E9A"/>
        <rFont val="Arial"/>
        <family val="0"/>
        <charset val="1"/>
      </rPr>
      <t xml:space="preserve">; proteção 31; NBR IEC 61439-1 &amp; 2.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As-built: o mesmo nº V2023-1533 para lado A e lado B. </t>
    </r>
    <r>
      <rPr>
        <b val="true"/>
        <sz val="9"/>
        <color rgb="FF000000"/>
        <rFont val="Arial"/>
        <family val="0"/>
        <charset val="1"/>
      </rPr>
      <t xml:space="preserve">Fotos: </t>
    </r>
    <r>
      <rPr>
        <sz val="9"/>
        <color rgb="FF000000"/>
        <rFont val="Arial"/>
        <family val="0"/>
        <charset val="1"/>
      </rPr>
      <t xml:space="preserve">114639; 0933b (vista). 
</t>
    </r>
    <r>
      <rPr>
        <b val="true"/>
        <sz val="9"/>
        <color rgb="FF000000"/>
        <rFont val="Arial"/>
        <family val="0"/>
        <charset val="1"/>
      </rPr>
      <t xml:space="preserve">• PN-3100 (lado B):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5: Centro de controle de motores – lado B,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t>
    </r>
    <r>
      <rPr>
        <strike val="true"/>
        <sz val="9"/>
        <color rgb="FF00703C"/>
        <rFont val="Arial"/>
        <family val="0"/>
        <charset val="1"/>
      </rPr>
      <t xml:space="preserve">PN-3104</t>
    </r>
    <r>
      <rPr>
        <sz val="9"/>
        <color rgb="FF00703C"/>
        <rFont val="Arial"/>
        <family val="0"/>
        <charset val="1"/>
      </rPr>
      <t xml:space="preserve">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 BC-3100: Crítica: </t>
    </r>
    <r>
      <rPr>
        <sz val="9"/>
        <color rgb="FF000000"/>
        <rFont val="Arial"/>
        <family val="0"/>
        <charset val="1"/>
      </rPr>
      <t xml:space="preserve">01 </t>
    </r>
    <r>
      <rPr>
        <strike val="true"/>
        <sz val="9"/>
        <color rgb="FF000000"/>
        <rFont val="Arial"/>
        <family val="0"/>
        <charset val="1"/>
      </rPr>
      <t xml:space="preserve">BC-3101</t>
    </r>
    <r>
      <rPr>
        <sz val="9"/>
        <color rgb="FF000000"/>
        <rFont val="Arial"/>
        <family val="0"/>
        <charset val="1"/>
      </rPr>
      <t xml:space="preserve"> (banco capacitor 170 kVAR). </t>
    </r>
    <r>
      <rPr>
        <b val="true"/>
        <sz val="9"/>
        <color rgb="FFB38600"/>
        <rFont val="Arial"/>
        <family val="0"/>
        <charset val="1"/>
      </rPr>
      <t xml:space="preserve">Projeto: </t>
    </r>
    <r>
      <rPr>
        <sz val="9"/>
        <color rgb="FFB38600"/>
        <rFont val="Arial"/>
        <family val="0"/>
        <charset val="1"/>
      </rPr>
      <t xml:space="preserve">as-built item 6: Banco de capacitores 170 kVAr, nº VOLGA V2023-1535. </t>
    </r>
    <r>
      <rPr>
        <b val="true"/>
        <sz val="9"/>
        <color rgb="FF00703C"/>
        <rFont val="Arial"/>
        <family val="0"/>
        <charset val="1"/>
      </rPr>
      <t xml:space="preserve">SAP: </t>
    </r>
    <r>
      <rPr>
        <strike val="true"/>
        <sz val="9"/>
        <color rgb="FF00703C"/>
        <rFont val="Arial"/>
        <family val="0"/>
        <charset val="1"/>
      </rPr>
      <t xml:space="preserve">BC-3100</t>
    </r>
    <r>
      <rPr>
        <sz val="9"/>
        <color rgb="FF00703C"/>
        <rFont val="Arial"/>
        <family val="0"/>
        <charset val="1"/>
      </rPr>
      <t xml:space="preserve"> BANCO CAPACITOR 170kVAR – local BPAM-SELE-PNN-04, equip. 000000123606,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BC-3100</t>
    </r>
    <r>
      <rPr>
        <sz val="9"/>
        <color rgb="FF1F4E9A"/>
        <rFont val="Arial"/>
        <family val="0"/>
        <charset val="1"/>
      </rPr>
      <t xml:space="preserve"> (BANCO CAPACITOR 170KVAR);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440 Vca; 400 A; 25 kA (incerto); comando 220 Vca; </t>
    </r>
    <r>
      <rPr>
        <strike val="true"/>
        <sz val="9"/>
        <color rgb="FF1F4E9A"/>
        <rFont val="Arial"/>
        <family val="0"/>
        <charset val="1"/>
      </rPr>
      <t xml:space="preserve">isolação 1,0 kV</t>
    </r>
    <r>
      <rPr>
        <sz val="9"/>
        <color rgb="FF1F4E9A"/>
        <rFont val="Arial"/>
        <family val="0"/>
        <charset val="1"/>
      </rPr>
      <t xml:space="preserve">; IP-31.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170 kVAr na placa = crítica e as-built. </t>
    </r>
    <r>
      <rPr>
        <b val="true"/>
        <sz val="9"/>
        <color rgb="FF000000"/>
        <rFont val="Arial"/>
        <family val="0"/>
        <charset val="1"/>
      </rPr>
      <t xml:space="preserve">Fotos: </t>
    </r>
    <r>
      <rPr>
        <sz val="9"/>
        <color rgb="FF000000"/>
        <rFont val="Arial"/>
        <family val="0"/>
        <charset val="1"/>
      </rPr>
      <t xml:space="preserve">114709. 
</t>
    </r>
    <r>
      <rPr>
        <b val="true"/>
        <sz val="9"/>
        <color rgb="FF000000"/>
        <rFont val="Arial"/>
        <family val="0"/>
        <charset val="1"/>
      </rPr>
      <t xml:space="preserve">• TL-3100: Crítica: </t>
    </r>
    <r>
      <rPr>
        <sz val="9"/>
        <color rgb="FF000000"/>
        <rFont val="Arial"/>
        <family val="0"/>
        <charset val="1"/>
      </rPr>
      <t xml:space="preserve">01 </t>
    </r>
    <r>
      <rPr>
        <strike val="true"/>
        <sz val="9"/>
        <color rgb="FF000000"/>
        <rFont val="Arial"/>
        <family val="0"/>
        <charset val="1"/>
      </rPr>
      <t xml:space="preserve">TL-3101</t>
    </r>
    <r>
      <rPr>
        <sz val="9"/>
        <color rgb="FF000000"/>
        <rFont val="Arial"/>
        <family val="0"/>
        <charset val="1"/>
      </rPr>
      <t xml:space="preserve">; transformador auxiliar trifásico a seco 112,5 kVA 440-380/220 V IP-23. </t>
    </r>
    <r>
      <rPr>
        <b val="true"/>
        <sz val="9"/>
        <color rgb="FFB38600"/>
        <rFont val="Arial"/>
        <family val="0"/>
        <charset val="1"/>
      </rPr>
      <t xml:space="preserve">Projeto: </t>
    </r>
    <r>
      <rPr>
        <sz val="9"/>
        <color rgb="FFB38600"/>
        <rFont val="Arial"/>
        <family val="0"/>
        <charset val="1"/>
      </rPr>
      <t xml:space="preserve">as-built item 7: Transformador auxiliar 112,5 kVA – IP23, nº VOLGA V2023-1532. </t>
    </r>
    <r>
      <rPr>
        <b val="true"/>
        <sz val="9"/>
        <color rgb="FF00703C"/>
        <rFont val="Arial"/>
        <family val="0"/>
        <charset val="1"/>
      </rPr>
      <t xml:space="preserve">SAP: </t>
    </r>
    <r>
      <rPr>
        <strike val="true"/>
        <sz val="9"/>
        <color rgb="FF00703C"/>
        <rFont val="Arial"/>
        <family val="0"/>
        <charset val="1"/>
      </rPr>
      <t xml:space="preserve">TL-3100</t>
    </r>
    <r>
      <rPr>
        <sz val="9"/>
        <color rgb="FF00703C"/>
        <rFont val="Arial"/>
        <family val="0"/>
        <charset val="1"/>
      </rPr>
      <t xml:space="preserve"> TRANSFORMADOR SECO – local BPAM-SELE-TRF-01, equip. 000000123634,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PÓLUX Transformador a seco nº 1124063/001; 03/2024; ref. 2.03.02.5769; 60 Hz; ANAN; TTP; 3 fases; 112,5 kVA; Z 6,0 %; 120 °C em 440 V; fator K 1; 570 kg; IP-23; NBR 5356-11; Dyn1; AT 418–462 V (taps 1-2 a 1-6); BT 380 V 170,9 A; TAG </t>
    </r>
    <r>
      <rPr>
        <strike val="true"/>
        <sz val="9"/>
        <color rgb="FF1F4E9A"/>
        <rFont val="Arial"/>
        <family val="0"/>
        <charset val="1"/>
      </rPr>
      <t xml:space="preserve">TL-3100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Nº VOLGA V2023-1532 não aparece (placa é da Pólux). Placa Pólux 112,5 kVA, Dyn1, BT 380 V = crítica (112,5 kVA 440-380/220 V IP-23) e as-built. </t>
    </r>
    <r>
      <rPr>
        <b val="true"/>
        <sz val="9"/>
        <color rgb="FF000000"/>
        <rFont val="Arial"/>
        <family val="0"/>
        <charset val="1"/>
      </rPr>
      <t xml:space="preserve">Fotos: </t>
    </r>
    <r>
      <rPr>
        <sz val="9"/>
        <color rgb="FF000000"/>
        <rFont val="Arial"/>
        <family val="0"/>
        <charset val="1"/>
      </rPr>
      <t xml:space="preserve">114700. </t>
    </r>
    <r>
      <rPr>
        <b val="true"/>
        <sz val="9"/>
        <color rgb="FF7030A0"/>
        <rFont val="Arial"/>
        <family val="0"/>
        <charset val="1"/>
      </rPr>
      <t xml:space="preserve">Novo v2: </t>
    </r>
    <r>
      <rPr>
        <sz val="9"/>
        <color rgb="FF7030A0"/>
        <rFont val="Arial"/>
        <family val="0"/>
        <charset val="1"/>
      </rPr>
      <t xml:space="preserve">Contexto: Pólux = fabricante nacional de transformadores a seco (encapsulado); 112,5 kVA Dyn1, 440 → 380/220 V, IP-23. 
</t>
    </r>
    <r>
      <rPr>
        <b val="true"/>
        <sz val="9"/>
        <color rgb="FF000000"/>
        <rFont val="Arial"/>
        <family val="0"/>
        <charset val="1"/>
      </rPr>
      <t xml:space="preserve">• QGBT-3100: Crítica: </t>
    </r>
    <r>
      <rPr>
        <sz val="9"/>
        <color rgb="FF000000"/>
        <rFont val="Arial"/>
        <family val="0"/>
        <charset val="1"/>
      </rPr>
      <t xml:space="preserve">01 </t>
    </r>
    <r>
      <rPr>
        <strike val="true"/>
        <sz val="9"/>
        <color rgb="FF000000"/>
        <rFont val="Arial"/>
        <family val="0"/>
        <charset val="1"/>
      </rPr>
      <t xml:space="preserve">QGBT-3101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8: Painel de distribuição de baixa tensão, nº VOLGA V2023-1534. </t>
    </r>
    <r>
      <rPr>
        <b val="true"/>
        <sz val="9"/>
        <color rgb="FF00703C"/>
        <rFont val="Arial"/>
        <family val="0"/>
        <charset val="1"/>
      </rPr>
      <t xml:space="preserve">SAP: </t>
    </r>
    <r>
      <rPr>
        <strike val="true"/>
        <sz val="9"/>
        <color rgb="FF00703C"/>
        <rFont val="Arial"/>
        <family val="0"/>
        <charset val="1"/>
      </rPr>
      <t xml:space="preserve">QGBT-3100</t>
    </r>
    <r>
      <rPr>
        <sz val="9"/>
        <color rgb="FF00703C"/>
        <rFont val="Arial"/>
        <family val="0"/>
        <charset val="1"/>
      </rPr>
      <t xml:space="preserve"> QUADRO GERAL BX TENSAO – local BPAM-SELE-PNN-40, equip. 000000123618,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 </t>
    </r>
    <r>
      <rPr>
        <strike val="true"/>
        <sz val="9"/>
        <color rgb="FF1F4E9A"/>
        <rFont val="Arial"/>
        <family val="0"/>
        <charset val="1"/>
      </rPr>
      <t xml:space="preserve">QGBT-3100</t>
    </r>
    <r>
      <rPr>
        <sz val="9"/>
        <color rgb="FF1F4E9A"/>
        <rFont val="Arial"/>
        <family val="0"/>
        <charset val="1"/>
      </rPr>
      <t xml:space="preserve">;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380 Vca; corrente 160 A (leitura incerta – pode ser 1600 A); curto 2? kA (ilegível); comando N.A.;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Corrente: ler na foto original ou pedir. </t>
    </r>
    <r>
      <rPr>
        <b val="true"/>
        <sz val="9"/>
        <color rgb="FF000000"/>
        <rFont val="Arial"/>
        <family val="0"/>
        <charset val="1"/>
      </rPr>
      <t xml:space="preserve">Fotos: </t>
    </r>
    <r>
      <rPr>
        <sz val="9"/>
        <color rgb="FF000000"/>
        <rFont val="Arial"/>
        <family val="0"/>
        <charset val="1"/>
      </rPr>
      <t xml:space="preserve">114648. 
</t>
    </r>
    <r>
      <rPr>
        <b val="true"/>
        <sz val="9"/>
        <color rgb="FF000000"/>
        <rFont val="Arial"/>
        <family val="0"/>
        <charset val="1"/>
      </rPr>
      <t xml:space="preserve">• TR.NB-3100: Crítica: </t>
    </r>
    <r>
      <rPr>
        <sz val="9"/>
        <color rgb="FF000000"/>
        <rFont val="Arial"/>
        <family val="0"/>
        <charset val="1"/>
      </rPr>
      <t xml:space="preserve">integra o sistema de energia ininterrupta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9: Transformador do nobreak 20 kVA 380-220 V IP-23, nº VOLGA VE2023-0313. </t>
    </r>
    <r>
      <rPr>
        <b val="true"/>
        <sz val="9"/>
        <color rgb="FF00703C"/>
        <rFont val="Arial"/>
        <family val="0"/>
        <charset val="1"/>
      </rPr>
      <t xml:space="preserve">SAP: </t>
    </r>
    <r>
      <rPr>
        <strike val="true"/>
        <sz val="9"/>
        <color rgb="FF00703C"/>
        <rFont val="Arial"/>
        <family val="0"/>
        <charset val="1"/>
      </rPr>
      <t xml:space="preserve">TR.NB-3100</t>
    </r>
    <r>
      <rPr>
        <sz val="9"/>
        <color rgb="FF00703C"/>
        <rFont val="Arial"/>
        <family val="0"/>
        <charset val="1"/>
      </rPr>
      <t xml:space="preserve"> TRANSFORMADOR SECO NOBREAK – local BPAM-SELE-TRF-04, equip. 000000123635,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t>
    </r>
    <r>
      <rPr>
        <b val="true"/>
        <sz val="9"/>
        <color rgb="FF000000"/>
        <rFont val="Arial"/>
        <family val="0"/>
        <charset val="1"/>
      </rPr>
      <t xml:space="preserve">• NB-3100: Crítica: </t>
    </r>
    <r>
      <rPr>
        <sz val="9"/>
        <color rgb="FF000000"/>
        <rFont val="Arial"/>
        <family val="0"/>
        <charset val="1"/>
      </rPr>
      <t xml:space="preserve">01 sistema de energia ininterrupta CA –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10: Nobreak 20 kVA, nº VOLGA VE2023-0313. </t>
    </r>
    <r>
      <rPr>
        <b val="true"/>
        <sz val="9"/>
        <color rgb="FF00703C"/>
        <rFont val="Arial"/>
        <family val="0"/>
        <charset val="1"/>
      </rPr>
      <t xml:space="preserve">SAP: </t>
    </r>
    <r>
      <rPr>
        <strike val="true"/>
        <sz val="9"/>
        <color rgb="FF00703C"/>
        <rFont val="Arial"/>
        <family val="0"/>
        <charset val="1"/>
      </rPr>
      <t xml:space="preserve">NB-3100</t>
    </r>
    <r>
      <rPr>
        <sz val="9"/>
        <color rgb="FF00703C"/>
        <rFont val="Arial"/>
        <family val="0"/>
        <charset val="1"/>
      </rPr>
      <t xml:space="preserve"> NOBREAK – local BPAM-SELE-PNN-34, equip. 000000123616,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Easy UPS 3S 3:3, modelo E3SUPS20KHB, S/N 9E2346T14071; 20 kVA/20 kW (380/400/415 V) ou 10 kVA/10 kW (200/208/220 V); Icc 10 kA; Made in China.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20 kVA na placa = as-built. </t>
    </r>
    <r>
      <rPr>
        <b val="true"/>
        <sz val="9"/>
        <color rgb="FF000000"/>
        <rFont val="Arial"/>
        <family val="0"/>
        <charset val="1"/>
      </rPr>
      <t xml:space="preserve">Fotos: </t>
    </r>
    <r>
      <rPr>
        <sz val="9"/>
        <color rgb="FF000000"/>
        <rFont val="Arial"/>
        <family val="0"/>
        <charset val="1"/>
      </rPr>
      <t xml:space="preserve">114716. </t>
    </r>
    <r>
      <rPr>
        <b val="true"/>
        <sz val="9"/>
        <color rgb="FF7030A0"/>
        <rFont val="Arial"/>
        <family val="0"/>
        <charset val="1"/>
      </rPr>
      <t xml:space="preserve">Novo v2: </t>
    </r>
    <r>
      <rPr>
        <sz val="9"/>
        <color rgb="FF7030A0"/>
        <rFont val="Arial"/>
        <family val="0"/>
        <charset val="1"/>
      </rPr>
      <t xml:space="preserve">Contexto: Schneider Easy UPS 3S 20 kVA = nobreak trifásico on-line de dupla conversão; com gabinete de baterias E3SXR6. 
</t>
    </r>
    <r>
      <rPr>
        <b val="true"/>
        <sz val="9"/>
        <color rgb="FF000000"/>
        <rFont val="Arial"/>
        <family val="0"/>
        <charset val="1"/>
      </rPr>
      <t xml:space="preserve">• BB.NB-3100: Crítica: </t>
    </r>
    <r>
      <rPr>
        <sz val="9"/>
        <color rgb="FF000000"/>
        <rFont val="Arial"/>
        <family val="0"/>
        <charset val="1"/>
      </rPr>
      <t xml:space="preserve">integra o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11: Gabinete de baterias do nobreak, nº VOLGA VE2023-0313. </t>
    </r>
    <r>
      <rPr>
        <b val="true"/>
        <sz val="9"/>
        <color rgb="FF00703C"/>
        <rFont val="Arial"/>
        <family val="0"/>
        <charset val="1"/>
      </rPr>
      <t xml:space="preserve">SAP: </t>
    </r>
    <r>
      <rPr>
        <strike val="true"/>
        <sz val="9"/>
        <color rgb="FF00703C"/>
        <rFont val="Arial"/>
        <family val="0"/>
        <charset val="1"/>
      </rPr>
      <t xml:space="preserve">BB.NB-3100</t>
    </r>
    <r>
      <rPr>
        <sz val="9"/>
        <color rgb="FF00703C"/>
        <rFont val="Arial"/>
        <family val="0"/>
        <charset val="1"/>
      </rPr>
      <t xml:space="preserve"> GABINETE BATERIAS NOBREAK – local BPAM-SELE-PNN-31, equip. 000000123615,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Modular Battery Cabinet, modelo E3SXR6, S/N 9E2346W11014; 480 Vcc; 125 A; 125 kg; Icw 10 kA.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114728. 
</t>
    </r>
    <r>
      <rPr>
        <b val="true"/>
        <sz val="9"/>
        <color rgb="FF000000"/>
        <rFont val="Arial"/>
        <family val="0"/>
        <charset val="1"/>
      </rPr>
      <t xml:space="preserve">• QL-3100: Crítica: </t>
    </r>
    <r>
      <rPr>
        <sz val="9"/>
        <color rgb="FF000000"/>
        <rFont val="Arial"/>
        <family val="0"/>
        <charset val="1"/>
      </rPr>
      <t xml:space="preserve">01 </t>
    </r>
    <r>
      <rPr>
        <strike val="true"/>
        <sz val="9"/>
        <color rgb="FF000000"/>
        <rFont val="Arial"/>
        <family val="0"/>
        <charset val="1"/>
      </rPr>
      <t xml:space="preserve">QL-3102</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12: Painel de iluminação, nº VOLGA V2023-1537. </t>
    </r>
    <r>
      <rPr>
        <b val="true"/>
        <sz val="9"/>
        <color rgb="FF00703C"/>
        <rFont val="Arial"/>
        <family val="0"/>
        <charset val="1"/>
      </rPr>
      <t xml:space="preserve">SAP: </t>
    </r>
    <r>
      <rPr>
        <strike val="true"/>
        <sz val="9"/>
        <color rgb="FF00703C"/>
        <rFont val="Arial"/>
        <family val="0"/>
        <charset val="1"/>
      </rPr>
      <t xml:space="preserve">QL-3100</t>
    </r>
    <r>
      <rPr>
        <sz val="9"/>
        <color rgb="FF00703C"/>
        <rFont val="Arial"/>
        <family val="0"/>
        <charset val="1"/>
      </rPr>
      <t xml:space="preserve"> QUADRO DE ILUMINACAO – local BPAM-SELE-PNN-43, equip. 000000123619,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QL-3100</t>
    </r>
    <r>
      <rPr>
        <sz val="9"/>
        <color rgb="FF1F4E9A"/>
        <rFont val="Arial"/>
        <family val="0"/>
        <charset val="1"/>
      </rPr>
      <t xml:space="preserve">; doc. DE-3100-4300-018_00A04; 2024; </t>
    </r>
    <r>
      <rPr>
        <strike val="true"/>
        <sz val="9"/>
        <color rgb="FF1F4E9A"/>
        <rFont val="Arial"/>
        <family val="0"/>
        <charset val="1"/>
      </rPr>
      <t xml:space="preserve">0,6/1 kV</t>
    </r>
    <r>
      <rPr>
        <sz val="9"/>
        <color rgb="FF1F4E9A"/>
        <rFont val="Arial"/>
        <family val="0"/>
        <charset val="1"/>
      </rPr>
      <t xml:space="preserve">; 380/220 Vca; 60 Hz; 125 A; 3 kA;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114753. 
</t>
    </r>
    <r>
      <rPr>
        <b val="true"/>
        <sz val="9"/>
        <color rgb="FF000000"/>
        <rFont val="Arial"/>
        <family val="0"/>
        <charset val="1"/>
      </rPr>
      <t xml:space="preserve">• QD-UPS-3100: Crítica: </t>
    </r>
    <r>
      <rPr>
        <sz val="9"/>
        <color rgb="FF000000"/>
        <rFont val="Arial"/>
        <family val="0"/>
        <charset val="1"/>
      </rPr>
      <t xml:space="preserve">01 </t>
    </r>
    <r>
      <rPr>
        <strike val="true"/>
        <sz val="9"/>
        <color rgb="FF000000"/>
        <rFont val="Arial"/>
        <family val="0"/>
        <charset val="1"/>
      </rPr>
      <t xml:space="preserve">QD-UPS-3101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13: Quadro de distribuição estabilizada, nº VOLGA V2023-1536. </t>
    </r>
    <r>
      <rPr>
        <b val="true"/>
        <sz val="9"/>
        <color rgb="FF00703C"/>
        <rFont val="Arial"/>
        <family val="0"/>
        <charset val="1"/>
      </rPr>
      <t xml:space="preserve">SAP: </t>
    </r>
    <r>
      <rPr>
        <strike val="true"/>
        <sz val="9"/>
        <color rgb="FF00703C"/>
        <rFont val="Arial"/>
        <family val="0"/>
        <charset val="1"/>
      </rPr>
      <t xml:space="preserve">QD-UPS-3100</t>
    </r>
    <r>
      <rPr>
        <sz val="9"/>
        <color rgb="FF00703C"/>
        <rFont val="Arial"/>
        <family val="0"/>
        <charset val="1"/>
      </rPr>
      <t xml:space="preserve"> QUADRO ALIMENTACAO – local BPAM-SELE-PNN-37, equip. 000000123617,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Etiqueta 'ELETROCENTRO </t>
    </r>
    <r>
      <rPr>
        <strike val="true"/>
        <sz val="9"/>
        <color rgb="FF1F4E9A"/>
        <rFont val="Arial"/>
        <family val="0"/>
        <charset val="1"/>
      </rPr>
      <t xml:space="preserve">QD-UPS-3100</t>
    </r>
    <r>
      <rPr>
        <sz val="9"/>
        <color rgb="FF1F4E9A"/>
        <rFont val="Arial"/>
        <family val="0"/>
        <charset val="1"/>
      </rPr>
      <t xml:space="preserve">' + QR Nr. V2023-1536, Fab. 2024.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114745. 
</t>
    </r>
    <r>
      <rPr>
        <b val="true"/>
        <sz val="9"/>
        <color rgb="FF000000"/>
        <rFont val="Arial"/>
        <family val="0"/>
        <charset val="1"/>
      </rPr>
      <t xml:space="preserve">• PN-AUT: </t>
    </r>
    <r>
      <rPr>
        <b val="true"/>
        <sz val="9"/>
        <color rgb="FFB38600"/>
        <rFont val="Arial"/>
        <family val="0"/>
        <charset val="1"/>
      </rPr>
      <t xml:space="preserve">Projeto: </t>
    </r>
    <r>
      <rPr>
        <sz val="9"/>
        <color rgb="FFB38600"/>
        <rFont val="Arial"/>
        <family val="0"/>
        <charset val="1"/>
      </rPr>
      <t xml:space="preserve">as-built item 14: Painel de automação (ESPAÇO DISPONÍVEL), nº VOLGA —. </t>
    </r>
    <r>
      <rPr>
        <b val="true"/>
        <sz val="9"/>
        <color rgb="FF000000"/>
        <rFont val="Arial"/>
        <family val="0"/>
        <charset val="1"/>
      </rPr>
      <t xml:space="preserve">Obs.: </t>
    </r>
    <r>
      <rPr>
        <sz val="9"/>
        <color rgb="FF000000"/>
        <rFont val="Arial"/>
        <family val="0"/>
        <charset val="1"/>
      </rPr>
      <t xml:space="preserve">Não é bem (espaço reservado). 
</t>
    </r>
    <r>
      <rPr>
        <b val="true"/>
        <sz val="9"/>
        <color rgb="FF000000"/>
        <rFont val="Arial"/>
        <family val="0"/>
        <charset val="1"/>
      </rPr>
      <t xml:space="preserve">• HVAC-WM: </t>
    </r>
    <r>
      <rPr>
        <b val="true"/>
        <sz val="9"/>
        <color rgb="FFB38600"/>
        <rFont val="Arial"/>
        <family val="0"/>
        <charset val="1"/>
      </rPr>
      <t xml:space="preserve">Projeto: </t>
    </r>
    <r>
      <rPr>
        <sz val="9"/>
        <color rgb="FFB38600"/>
        <rFont val="Arial"/>
        <family val="0"/>
        <charset val="1"/>
      </rPr>
      <t xml:space="preserve">as-built item 15: Ar condicionado wall mounted, nº VOLGA VE2023-0310. </t>
    </r>
    <r>
      <rPr>
        <b val="true"/>
        <sz val="9"/>
        <color rgb="FF00703C"/>
        <rFont val="Arial"/>
        <family val="0"/>
        <charset val="1"/>
      </rPr>
      <t xml:space="preserve">SAP: </t>
    </r>
    <r>
      <rPr>
        <sz val="9"/>
        <color rgb="FF00703C"/>
        <rFont val="Arial"/>
        <family val="0"/>
        <charset val="1"/>
      </rPr>
      <t xml:space="preserve">GAV-T-3101 HVAC-WM (só a gaveta de alimentação no </t>
    </r>
    <r>
      <rPr>
        <strike val="true"/>
        <sz val="9"/>
        <color rgb="FF00703C"/>
        <rFont val="Arial"/>
        <family val="0"/>
        <charset val="1"/>
      </rPr>
      <t xml:space="preserve">PN-3100</t>
    </r>
    <r>
      <rPr>
        <sz val="9"/>
        <color rgb="FF00703C"/>
        <rFont val="Arial"/>
        <family val="0"/>
        <charset val="1"/>
      </rPr>
      <t xml:space="preserve">; a unidade não tem cadastro) – local BPAM-SELE-PNN-01-37-22, equip. 000000123592,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MGE Air Modelo WMEE125A4PFBXXPGPEXPP (leitura incerta); série 1211_24; MAR/24; 12,5 TR; 12.500 m³/h; scroll; compressor 14 kW; total 18,35 kW / 29,7 A; 440/3/60; R410A 3,8 kg; 600 kg.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114800. </t>
    </r>
    <r>
      <rPr>
        <b val="true"/>
        <sz val="9"/>
        <color rgb="FF002060"/>
        <rFont val="Arial"/>
        <family val="0"/>
        <charset val="1"/>
      </rPr>
      <t xml:space="preserve">Cotação: </t>
    </r>
    <r>
      <rPr>
        <sz val="9"/>
        <color rgb="FF002060"/>
        <rFont val="Arial"/>
        <family val="0"/>
        <charset val="1"/>
      </rPr>
      <t xml:space="preserve">VOLGA 20230138 REV 6A: HVAC incluso no eletrocentro (item 15 do as-built, nº VE2023-0310); sem preço individual. </t>
    </r>
    <r>
      <rPr>
        <b val="true"/>
        <sz val="9"/>
        <color rgb="FF7030A0"/>
        <rFont val="Arial"/>
        <family val="0"/>
        <charset val="1"/>
      </rPr>
      <t xml:space="preserve">Novo v2: </t>
    </r>
    <r>
      <rPr>
        <sz val="9"/>
        <color rgb="FF7030A0"/>
        <rFont val="Arial"/>
        <family val="0"/>
        <charset val="1"/>
      </rPr>
      <t xml:space="preserve">Contexto: MGE Air = fabricante nacional de climatizadores industriais; 12,5 TR wall-mounted para o contêiner do eletrocentro; item 15 do as-built (VE2023-0310). 
</t>
    </r>
    <r>
      <rPr>
        <b val="true"/>
        <sz val="9"/>
        <color rgb="FF000000"/>
        <rFont val="Arial"/>
        <family val="0"/>
        <charset val="1"/>
      </rPr>
      <t xml:space="preserve">• Exaustores 1–3, termostato: </t>
    </r>
    <r>
      <rPr>
        <b val="true"/>
        <sz val="9"/>
        <color rgb="FFB38600"/>
        <rFont val="Arial"/>
        <family val="0"/>
        <charset val="1"/>
      </rPr>
      <t xml:space="preserve">Projeto: </t>
    </r>
    <r>
      <rPr>
        <sz val="9"/>
        <color rgb="FFB38600"/>
        <rFont val="Arial"/>
        <family val="0"/>
        <charset val="1"/>
      </rPr>
      <t xml:space="preserve">as-built item 16–19: Acessórios HVAC, nº VOLGA VE2023-0310.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BW.01 / BW.02: Crítica: </t>
    </r>
    <r>
      <rPr>
        <sz val="9"/>
        <color rgb="FF000000"/>
        <rFont val="Arial"/>
        <family val="0"/>
        <charset val="1"/>
      </rPr>
      <t xml:space="preserve">01 barramento blindado IP-55 (</t>
    </r>
    <r>
      <rPr>
        <strike val="true"/>
        <sz val="9"/>
        <color rgb="FF000000"/>
        <rFont val="Arial"/>
        <family val="0"/>
        <charset val="1"/>
      </rPr>
      <t xml:space="preserve">PN-3101</t>
    </r>
    <r>
      <rPr>
        <sz val="9"/>
        <color rgb="FF000000"/>
        <rFont val="Arial"/>
        <family val="0"/>
        <charset val="1"/>
      </rPr>
      <t xml:space="preserve">) e 01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21–22: Busway de conexão (</t>
    </r>
    <r>
      <rPr>
        <strike val="true"/>
        <sz val="9"/>
        <color rgb="FFB38600"/>
        <rFont val="Arial"/>
        <family val="0"/>
        <charset val="1"/>
      </rPr>
      <t xml:space="preserve">TR-3101</t>
    </r>
    <r>
      <rPr>
        <sz val="9"/>
        <color rgb="FFB38600"/>
        <rFont val="Arial"/>
        <family val="0"/>
        <charset val="1"/>
      </rPr>
      <t xml:space="preserve">/</t>
    </r>
    <r>
      <rPr>
        <strike val="true"/>
        <sz val="9"/>
        <color rgb="FFB38600"/>
        <rFont val="Arial"/>
        <family val="0"/>
        <charset val="1"/>
      </rPr>
      <t xml:space="preserve">PN-3101</t>
    </r>
    <r>
      <rPr>
        <sz val="9"/>
        <color rgb="FFB38600"/>
        <rFont val="Arial"/>
        <family val="0"/>
        <charset val="1"/>
      </rPr>
      <t xml:space="preserve">) e (</t>
    </r>
    <r>
      <rPr>
        <strike val="true"/>
        <sz val="9"/>
        <color rgb="FFB38600"/>
        <rFont val="Arial"/>
        <family val="0"/>
        <charset val="1"/>
      </rPr>
      <t xml:space="preserve">PN-3101</t>
    </r>
    <r>
      <rPr>
        <sz val="9"/>
        <color rgb="FFB38600"/>
        <rFont val="Arial"/>
        <family val="0"/>
        <charset val="1"/>
      </rPr>
      <t xml:space="preserve">), nº VOLGA VB2023-0184 / 0183.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única menção a '-3101' no as-built. 
</t>
    </r>
    <r>
      <rPr>
        <b val="true"/>
        <sz val="9"/>
        <color rgb="FF000000"/>
        <rFont val="Arial"/>
        <family val="0"/>
        <charset val="1"/>
      </rPr>
      <t xml:space="preserve">• EXT / GD.TR-3100: </t>
    </r>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PNA 3105: </t>
    </r>
    <r>
      <rPr>
        <b val="true"/>
        <sz val="9"/>
        <color rgb="FFB38600"/>
        <rFont val="Arial"/>
        <family val="0"/>
        <charset val="1"/>
      </rPr>
      <t xml:space="preserve">Projeto: </t>
    </r>
    <r>
      <rPr>
        <sz val="9"/>
        <color rgb="FFB38600"/>
        <rFont val="Arial"/>
        <family val="0"/>
        <charset val="1"/>
      </rPr>
      <t xml:space="preserve">não está no as-built do eletrocentro (painel Chronus, projeto OE-620-03). </t>
    </r>
    <r>
      <rPr>
        <b val="true"/>
        <sz val="9"/>
        <color rgb="FF00703C"/>
        <rFont val="Arial"/>
        <family val="0"/>
        <charset val="1"/>
      </rPr>
      <t xml:space="preserve">SAP: </t>
    </r>
    <r>
      <rPr>
        <sz val="9"/>
        <color rgb="FF00703C"/>
        <rFont val="Arial"/>
        <family val="0"/>
        <charset val="1"/>
      </rPr>
      <t xml:space="preserve">PNA-3105 PAINEL AUTOMACAO RADARES – local BPAM-SELE-PNN-25, equip. 000000123613, ABC B. </t>
    </r>
    <r>
      <rPr>
        <b val="true"/>
        <sz val="9"/>
        <color rgb="FF1F4E9A"/>
        <rFont val="Arial"/>
        <family val="0"/>
        <charset val="1"/>
      </rPr>
      <t xml:space="preserve">Placa/campo: </t>
    </r>
    <r>
      <rPr>
        <sz val="9"/>
        <color rgb="FF1F4E9A"/>
        <rFont val="Arial"/>
        <family val="0"/>
        <charset val="1"/>
      </rPr>
      <t xml:space="preserve">Chronus Automação Cliente ULTRACARGO; Projeto PNA 3105; fab. 16/04/2024; 220 Vac; 10 A; 3 kA; IP66; 15 kg; nº projeto OE-620-03.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Outros Fixos (painéis Chronus). Campo tinha PNA 3102 e PNA 3103; este é novo. Painel Chronus (automação) – Outros Fixos, não integra a linha 18. </t>
    </r>
    <r>
      <rPr>
        <b val="true"/>
        <sz val="9"/>
        <color rgb="FF000000"/>
        <rFont val="Arial"/>
        <family val="0"/>
        <charset val="1"/>
      </rPr>
      <t xml:space="preserve">Fotos: </t>
    </r>
    <r>
      <rPr>
        <sz val="9"/>
        <color rgb="FF000000"/>
        <rFont val="Arial"/>
        <family val="0"/>
        <charset val="1"/>
      </rPr>
      <t xml:space="preserve">114737. </t>
    </r>
    <r>
      <rPr>
        <b val="true"/>
        <sz val="9"/>
        <color rgb="FF002060"/>
        <rFont val="Arial"/>
        <family val="0"/>
        <charset val="1"/>
      </rPr>
      <t xml:space="preserve">Cotação: </t>
    </r>
    <r>
      <rPr>
        <sz val="9"/>
        <color rgb="FF002060"/>
        <rFont val="Arial"/>
        <family val="0"/>
        <charset val="1"/>
      </rPr>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 </t>
    </r>
    <r>
      <rPr>
        <b val="true"/>
        <sz val="9"/>
        <color rgb="FF7030A0"/>
        <rFont val="Arial"/>
        <family val="0"/>
        <charset val="1"/>
      </rPr>
      <t xml:space="preserve">Novo v2: </t>
    </r>
    <r>
      <rPr>
        <sz val="9"/>
        <color rgb="FF7030A0"/>
        <rFont val="Arial"/>
        <family val="0"/>
        <charset val="1"/>
      </rPr>
      <t xml:space="preserve">Não integra a linha 18 (VOLGA) nem a proposta Chronus; é painel de automação dos radares de nível Endress NMR84 – candidato a "Outros Fixos" junto com os radares (R$ 778.944,33 cotados). 
</t>
    </r>
    <r>
      <rPr>
        <b val="true"/>
        <sz val="9"/>
        <color rgb="FF000000"/>
        <rFont val="Arial"/>
        <family val="0"/>
        <charset val="1"/>
      </rPr>
      <t xml:space="preserve">• Eletrocentro (container): </t>
    </r>
    <r>
      <rPr>
        <b val="true"/>
        <sz val="9"/>
        <color rgb="FFB38600"/>
        <rFont val="Arial"/>
        <family val="0"/>
        <charset val="1"/>
      </rPr>
      <t xml:space="preserve">Projeto: </t>
    </r>
    <r>
      <rPr>
        <sz val="9"/>
        <color rgb="FFB38600"/>
        <rFont val="Arial"/>
        <family val="0"/>
        <charset val="1"/>
      </rPr>
      <t xml:space="preserve">as-built item geral: Placa geral VOLGA do eletrocentro, nº VOLGA —.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Pedir placa geral / data book. 
</t>
    </r>
    <r>
      <rPr>
        <b val="true"/>
        <sz val="9"/>
        <color rgb="FF000000"/>
        <rFont val="Arial"/>
        <family val="0"/>
        <charset val="1"/>
      </rPr>
      <t xml:space="preserve">• PN-3105: Crítica: </t>
    </r>
    <r>
      <rPr>
        <sz val="9"/>
        <color rgb="FF000000"/>
        <rFont val="Arial"/>
        <family val="0"/>
        <charset val="1"/>
      </rPr>
      <t xml:space="preserve">01 </t>
    </r>
    <r>
      <rPr>
        <strike val="true"/>
        <sz val="9"/>
        <color rgb="FF000000"/>
        <rFont val="Arial"/>
        <family val="0"/>
        <charset val="1"/>
      </rPr>
      <t xml:space="preserve">PN-3105</t>
    </r>
    <r>
      <rPr>
        <sz val="9"/>
        <color rgb="FF000000"/>
        <rFont val="Arial"/>
        <family val="0"/>
        <charset val="1"/>
      </rPr>
      <t xml:space="preserve"> (e 01 </t>
    </r>
    <r>
      <rPr>
        <strike val="true"/>
        <sz val="9"/>
        <color rgb="FF000000"/>
        <rFont val="Arial"/>
        <family val="0"/>
        <charset val="1"/>
      </rPr>
      <t xml:space="preserve">PN-3106</t>
    </r>
    <r>
      <rPr>
        <sz val="9"/>
        <color rgb="FF000000"/>
        <rFont val="Arial"/>
        <family val="0"/>
        <charset val="1"/>
      </rPr>
      <t xml:space="preserve">). </t>
    </r>
    <r>
      <rPr>
        <b val="true"/>
        <sz val="9"/>
        <color rgb="FF00703C"/>
        <rFont val="Arial"/>
        <family val="0"/>
        <charset val="1"/>
      </rPr>
      <t xml:space="preserve">SAP: </t>
    </r>
    <r>
      <rPr>
        <sz val="9"/>
        <color rgb="FF00703C"/>
        <rFont val="Arial"/>
        <family val="0"/>
        <charset val="1"/>
      </rPr>
      <t xml:space="preserve">GAV-</t>
    </r>
    <r>
      <rPr>
        <strike val="true"/>
        <sz val="9"/>
        <color rgb="FF00703C"/>
        <rFont val="Arial"/>
        <family val="0"/>
        <charset val="1"/>
      </rPr>
      <t xml:space="preserve">PN-3105</t>
    </r>
    <r>
      <rPr>
        <sz val="9"/>
        <color rgb="FF00703C"/>
        <rFont val="Arial"/>
        <family val="0"/>
        <charset val="1"/>
      </rPr>
      <t xml:space="preserve"> ELEVAT 01 (gaveta UF6_13 no </t>
    </r>
    <r>
      <rPr>
        <strike val="true"/>
        <sz val="9"/>
        <color rgb="FF00703C"/>
        <rFont val="Arial"/>
        <family val="0"/>
        <charset val="1"/>
      </rPr>
      <t xml:space="preserve">PN-3100</t>
    </r>
    <r>
      <rPr>
        <sz val="9"/>
        <color rgb="FF00703C"/>
        <rFont val="Arial"/>
        <family val="0"/>
        <charset val="1"/>
      </rPr>
      <t xml:space="preserve"> = alimentação da elevatória 01) – local BPAM-SELE-PNN-01-37-16, equip. 000000123590,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Painel eletrico / CCM – VOLGA, No de ident. V3323-1540 | Doc. PD-E557-EPA-EL-BEL-00400, 2024, Cliente ULTRACARGO TERMINAL LTDA, Efluentes. </t>
    </r>
    <r>
      <rPr>
        <b val="true"/>
        <sz val="9"/>
        <color rgb="FF000000"/>
        <rFont val="Arial"/>
        <family val="0"/>
        <charset val="1"/>
      </rPr>
      <t xml:space="preserve">Obs.: </t>
    </r>
    <r>
      <rPr>
        <sz val="9"/>
        <color rgb="FF000000"/>
        <rFont val="Arial"/>
        <family val="0"/>
        <charset val="1"/>
      </rPr>
      <t xml:space="preserve">Painel da elevatória 01 de efluentes (SAP: gaveta GAV-</t>
    </r>
    <r>
      <rPr>
        <strike val="true"/>
        <sz val="9"/>
        <color rgb="FF000000"/>
        <rFont val="Arial"/>
        <family val="0"/>
        <charset val="1"/>
      </rPr>
      <t xml:space="preserve">PN-3105</t>
    </r>
    <r>
      <rPr>
        <sz val="9"/>
        <color rgb="FF000000"/>
        <rFont val="Arial"/>
        <family val="0"/>
        <charset val="1"/>
      </rPr>
      <t xml:space="preserve"> ELEVAT 01; campo: "Efluentes"). Está na crítica (01 </t>
    </r>
    <r>
      <rPr>
        <strike val="true"/>
        <sz val="9"/>
        <color rgb="FF000000"/>
        <rFont val="Arial"/>
        <family val="0"/>
        <charset val="1"/>
      </rPr>
      <t xml:space="preserve">PN-3105</t>
    </r>
    <r>
      <rPr>
        <sz val="9"/>
        <color rgb="FF000000"/>
        <rFont val="Arial"/>
        <family val="0"/>
        <charset val="1"/>
      </rPr>
      <t xml:space="preserve">; 01 </t>
    </r>
    <r>
      <rPr>
        <strike val="true"/>
        <sz val="9"/>
        <color rgb="FF000000"/>
        <rFont val="Arial"/>
        <family val="0"/>
        <charset val="1"/>
      </rPr>
      <t xml:space="preserve">PN-3106</t>
    </r>
    <r>
      <rPr>
        <sz val="9"/>
        <color rgb="FF000000"/>
        <rFont val="Arial"/>
        <family val="0"/>
        <charset val="1"/>
      </rPr>
      <t xml:space="preserve">) mas fora do as-built do eletrocentro; o </t>
    </r>
    <r>
      <rPr>
        <strike val="true"/>
        <sz val="9"/>
        <color rgb="FF000000"/>
        <rFont val="Arial"/>
        <family val="0"/>
        <charset val="1"/>
      </rPr>
      <t xml:space="preserve">PN-3106</t>
    </r>
    <r>
      <rPr>
        <sz val="9"/>
        <color rgb="FF000000"/>
        <rFont val="Arial"/>
        <family val="0"/>
        <charset val="1"/>
      </rPr>
      <t xml:space="preserve"> (elevatória 02) não foi caracterizado. Campos de corrente/curto/IP em branco na placa. </t>
    </r>
    <r>
      <rPr>
        <b val="true"/>
        <sz val="9"/>
        <color rgb="FF000000"/>
        <rFont val="Arial"/>
        <family val="0"/>
        <charset val="1"/>
      </rPr>
      <t xml:space="preserve">Fotos: </t>
    </r>
    <r>
      <rPr>
        <sz val="9"/>
        <color rgb="FF000000"/>
        <rFont val="Arial"/>
        <family val="0"/>
        <charset val="1"/>
      </rPr>
      <t xml:space="preserve">0782-0784.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Painel da elevatória 01 de efluentes (fora do as-built do eletrocentro, mas citado na crítica da linha 18 com o PN-3106). Confirmar se as NFs VOLGA 22/33/34 incluem PN-3105/3106 ou se têm NF própria. 
</t>
    </r>
    <r>
      <rPr>
        <b val="true"/>
        <sz val="9"/>
        <color rgb="FF000000"/>
        <rFont val="Arial"/>
        <family val="0"/>
        <charset val="1"/>
      </rPr>
      <t xml:space="preserve">• Painel VOLGA sem TAG: </t>
    </r>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 </t>
    </r>
    <r>
      <rPr>
        <b val="true"/>
        <sz val="9"/>
        <color rgb="FF000000"/>
        <rFont val="Arial"/>
        <family val="0"/>
        <charset val="1"/>
      </rPr>
      <t xml:space="preserve">Obs.: </t>
    </r>
    <r>
      <rPr>
        <sz val="9"/>
        <color rgb="FF000000"/>
        <rFont val="Arial"/>
        <family val="0"/>
        <charset val="1"/>
      </rPr>
      <t xml:space="preserve">Painel VOLGA sem TAG visto no lote 1 – identificar (pode ser o </t>
    </r>
    <r>
      <rPr>
        <strike val="true"/>
        <sz val="9"/>
        <color rgb="FF000000"/>
        <rFont val="Arial"/>
        <family val="0"/>
        <charset val="1"/>
      </rPr>
      <t xml:space="preserve">PN-3106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0066, 0171, 0172.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Provável PN-3106 (elevatória 02) – identificar na próxima visita (foto da placa com nº de identificação V3323-xxxx). </t>
    </r>
  </si>
  <si>
    <t xml:space="preserve">QGMT-3100-01</t>
  </si>
  <si>
    <r>
      <rPr>
        <b val="true"/>
        <sz val="9"/>
        <color rgb="FF000000"/>
        <rFont val="Arial"/>
        <family val="0"/>
        <charset val="1"/>
      </rPr>
      <t xml:space="preserve">Crítica: </t>
    </r>
    <r>
      <rPr>
        <sz val="9"/>
        <color rgb="FF000000"/>
        <rFont val="Arial"/>
        <family val="0"/>
        <charset val="1"/>
      </rPr>
      <t xml:space="preserve">01 QGMT-3101 + cubículos PMT SM6 36 kV (GAM-2, GBC-B, CM, DM1-A, relé P3U30, TP BDE-FT26C, TC BDE-4000A, PM5340).Projeto: as-built item 1: Painel de distribuição média tensão, nº VOLGA BR15-2023-44-0129.SAP: QGMT-3100-01 QUADRO GERAL MEDIA TENSAO (+ SUB-04 Q1 chave seccionadora, SUB-10 relé P3U30, SUB-13..19 TP1-TP3, SUB-22..28 TC1-TC3) – local BPAM-SELE-SUB-07, equip. 000000123625, ABC C.Placa/campo: VOLGA Cliente ULTRACARGO SOLUÇÕES LOGÍSTICA SA; ano 2024; classe 36 kV; operação 34,5 kV; 630 A; 60 Hz; 16 kA/1 s; isolação 36 kV; comando 220 Vca/Vcc; 1.730 kg; dissip. 1.300 W; NBR IEC 62271-200.</t>
    </r>
  </si>
  <si>
    <t xml:space="preserve">Painel de distribuição média tensão</t>
  </si>
  <si>
    <t xml:space="preserve">classe 36 kV, operação 34,5 kV, 630 A, 16 kA/1 s</t>
  </si>
  <si>
    <t xml:space="preserve">nº VOLGA BR15-2023-44-0129</t>
  </si>
  <si>
    <t xml:space="preserve">QGMT-3100-01 / 000000123625</t>
  </si>
  <si>
    <t xml:space="preserve">Placa fotografada (terceiros, 23/09/2026). Nome do cliente diverge das demais placas (A36).</t>
  </si>
  <si>
    <t xml:space="preserve">114620; 0929 (vista)</t>
  </si>
  <si>
    <t xml:space="preserve">SMF</t>
  </si>
  <si>
    <r>
      <rPr>
        <b val="true"/>
        <sz val="9"/>
        <color rgb="FF000000"/>
        <rFont val="Arial"/>
        <family val="0"/>
        <charset val="1"/>
      </rPr>
      <t xml:space="preserve">Crítica: </t>
    </r>
    <r>
      <rPr>
        <sz val="9"/>
        <color rgb="FF000000"/>
        <rFont val="Arial"/>
        <family val="0"/>
        <charset val="1"/>
      </rPr>
      <t xml:space="preserve">01 painel SMF.Projeto: as-built item 2: Sistema de medição para faturamento, nº VOLGA V2023-1543.Placa/campo: VOLGA Cliente ULTRACARGO TERMINAIS LTDA.; doc. DE-3100-4300-014_00A04; 2024; 0,6/1 kV; 125 Vcc/220 Vca; 60 Hz; 16 A; 10 kA; isolação 1,0 kV; proteção '3L' (prov. IP31); etiqueta UF2_1.</t>
    </r>
  </si>
  <si>
    <t xml:space="preserve">Sistema de medição para faturamento</t>
  </si>
  <si>
    <t xml:space="preserve">0,6/1 kV, 16 A, 10 kA</t>
  </si>
  <si>
    <t xml:space="preserve">nº VOLGA V2023-1543</t>
  </si>
  <si>
    <t xml:space="preserve">Placa fotografada (terceiros, 23/09/2026).</t>
  </si>
  <si>
    <t xml:space="preserve">114630</t>
  </si>
  <si>
    <t xml:space="preserve">TR-3100</t>
  </si>
  <si>
    <r>
      <rPr>
        <b val="true"/>
        <sz val="9"/>
        <color rgb="FF000000"/>
        <rFont val="Arial"/>
        <family val="0"/>
        <charset val="1"/>
      </rPr>
      <t xml:space="preserve">Crítica: </t>
    </r>
    <r>
      <rPr>
        <sz val="9"/>
        <color rgb="FF000000"/>
        <rFont val="Arial"/>
        <family val="0"/>
        <charset val="1"/>
      </rPr>
      <t xml:space="preserve">01 TR-3101 (potência não informada na crítica).Projeto: as-built item 3: Transformador de força 750 kVA – IP-00, nº VOLGA V2023-1531.SAP: TR-3101 TRANSFORMADOR 750kVA – local BPAM-SELE-SUB-01, equip. 000000123623, ABC A.</t>
    </r>
  </si>
  <si>
    <t xml:space="preserve">Transformador de força 750 kVA – IP-00</t>
  </si>
  <si>
    <t xml:space="preserve">750 kVA (as-built e SAP)</t>
  </si>
  <si>
    <t xml:space="preserve">nº VOLGA V2023-1531</t>
  </si>
  <si>
    <t xml:space="preserve">TR-3101 / 000000123623</t>
  </si>
  <si>
    <t xml:space="preserve">SEM placa fotografada. MAIOR componente do eletrocentro sem placa. A lista cita também 'TR-3101' no busway BW.01. Potência 750 kVA só no as-built e no SAP (TR-3101); a crítica não informa potência. Pedir placa/data-book.</t>
  </si>
  <si>
    <t xml:space="preserve">Maior componente do eletrocentro (750 kVA) sem placa fotografada – prioridade na próxima visita; pedir à VOLGA o rateio do preço (PT20230138-REV6).</t>
  </si>
  <si>
    <t xml:space="preserve">PN-3100 (lado A)</t>
  </si>
  <si>
    <r>
      <rPr>
        <b val="true"/>
        <sz val="9"/>
        <color rgb="FF000000"/>
        <rFont val="Arial"/>
        <family val="0"/>
        <charset val="1"/>
      </rPr>
      <t xml:space="preserve">Crítica: </t>
    </r>
    <r>
      <rPr>
        <sz val="9"/>
        <color rgb="FF000000"/>
        <rFont val="Arial"/>
        <family val="0"/>
        <charset val="1"/>
      </rPr>
      <t xml:space="preserve">01 PN-3101.Projeto: as-built item 4: Centro de controle de motores – lado A, nº VOLGA V2023-1533.SAP: PN-3100 CENTRO DE CONTROLE DE MOTORES (13 colunas, gavetas MB-3102..3126, PN-3104 lava-olhos, PN-3105/3106 elevatórias, HVAC, TL, BC) – local BPAM-SELE-PNN-01, equip. 000000123513, ABC A.Placa/campo: VOLGA Cliente ULTRACARGO TERMINAIS LTDA.; 2024; 0,6/1 kV; operação 440 Vca (leitura incerta); corrente 1000 A (leitura incerta); 20 kA; comando 127/220 Vca (incerto); isolação 1,0 kV; proteção 31; NBR IEC 61439-1 &amp; 2.</t>
    </r>
  </si>
  <si>
    <t xml:space="preserve">Centro de controle de motores – lado A</t>
  </si>
  <si>
    <t xml:space="preserve">440 Vca; 1000 A (leitura incerta); 20 kA</t>
  </si>
  <si>
    <t xml:space="preserve">nº VOLGA V2023-1533</t>
  </si>
  <si>
    <t xml:space="preserve">PN-3100 / 000000123513</t>
  </si>
  <si>
    <t xml:space="preserve">Placa fotografada (terceiros, 23/09/2026). As-built: o mesmo nº V2023-1533 para lado A e lado B.</t>
  </si>
  <si>
    <t xml:space="preserve">114639; 0933b (vista)</t>
  </si>
  <si>
    <t xml:space="preserve">PN-3100 (lado B)</t>
  </si>
  <si>
    <r>
      <rPr>
        <b val="true"/>
        <sz val="9"/>
        <color rgb="FF000000"/>
        <rFont val="Arial"/>
        <family val="0"/>
        <charset val="1"/>
      </rPr>
      <t xml:space="preserve">Crítica: </t>
    </r>
    <r>
      <rPr>
        <sz val="9"/>
        <color rgb="FF000000"/>
        <rFont val="Arial"/>
        <family val="0"/>
        <charset val="1"/>
      </rPr>
      <t xml:space="preserve">01 PN-3101.Projeto: as-built item 5: Centro de controle de motores – lado B, nº VOLGA V2023-1533.SAP: PN-3100 CENTRO DE CONTROLE DE MOTORES (13 colunas, gavetas MB-3102..3126, PN-3104 lava-olhos, PN-3105/3106 elevatórias, HVAC, TL, BC) – local BPAM-SELE-PNN-01, equip. 000000123513, ABC A.</t>
    </r>
  </si>
  <si>
    <t xml:space="preserve">Centro de controle de motores – lado B</t>
  </si>
  <si>
    <t xml:space="preserve">BC-3100</t>
  </si>
  <si>
    <r>
      <rPr>
        <b val="true"/>
        <sz val="9"/>
        <color rgb="FF000000"/>
        <rFont val="Arial"/>
        <family val="0"/>
        <charset val="1"/>
      </rPr>
      <t xml:space="preserve">Crítica: </t>
    </r>
    <r>
      <rPr>
        <sz val="9"/>
        <color rgb="FF000000"/>
        <rFont val="Arial"/>
        <family val="0"/>
        <charset val="1"/>
      </rPr>
      <t xml:space="preserve">01 BC-3101 (banco capacitor 170 kVAR).Projeto: as-built item 6: Banco de capacitores 170 kVAr, nº VOLGA V2023-1535.SAP: BC-3100 BANCO CAPACITOR 170kVAR – local BPAM-SELE-PNN-04, equip. 000000123606, ABC A.Placa/campo: VOLGA ELETROCENTRO-BC-3100 (BANCO CAPACITOR 170KVAR); doc. DE-3100-4300-014_00A04; 2024; 0,6/1 kV; 440 Vca; 400 A; 25 kA (incerto); comando 220 Vca; isolação 1,0 kV; IP-31.</t>
    </r>
  </si>
  <si>
    <t xml:space="preserve">Banco de capacitores 170 kVAr</t>
  </si>
  <si>
    <t xml:space="preserve">170 kVAr, 440 Vca, 400 A</t>
  </si>
  <si>
    <t xml:space="preserve">nº VOLGA V2023-1535</t>
  </si>
  <si>
    <t xml:space="preserve">BC-3100 / 000000123606</t>
  </si>
  <si>
    <t xml:space="preserve">Placa fotografada (terceiros, 23/09/2026). 170 kVAr na placa = crítica e as-built.</t>
  </si>
  <si>
    <t xml:space="preserve">114709</t>
  </si>
  <si>
    <t xml:space="preserve">TL-3100</t>
  </si>
  <si>
    <r>
      <rPr>
        <b val="true"/>
        <sz val="9"/>
        <color rgb="FF000000"/>
        <rFont val="Arial"/>
        <family val="0"/>
        <charset val="1"/>
      </rPr>
      <t xml:space="preserve">Crítica: </t>
    </r>
    <r>
      <rPr>
        <sz val="9"/>
        <color rgb="FF000000"/>
        <rFont val="Arial"/>
        <family val="0"/>
        <charset val="1"/>
      </rPr>
      <t xml:space="preserve">01 TL-3101; transformador auxiliar trifásico a seco 112,5 kVA 440-380/220 V IP-23.Projeto: as-built item 7: Transformador auxiliar 112,5 kVA – IP23, nº VOLGA V2023-1532.SAP: TL-3100 TRANSFORMADOR SECO – local BPAM-SELE-TRF-01, equip. 000000123634, ABC A.Placa/campo: PÓLUX Transformador a seco nº 1124063/001; 03/2024; ref. 2.03.02.5769; 60 Hz; ANAN; TTP; 3 fases; 112,5 kVA; Z 6,0 %; 120 °C em 440 V; fator K 1; 570 kg; IP-23; NBR 5356-11; Dyn1; AT 418–462 V (taps 1-2 a 1-6); BT 380 V 170,9 A; TAG TL-3100.</t>
    </r>
  </si>
  <si>
    <t xml:space="preserve">PÓLUX</t>
  </si>
  <si>
    <t xml:space="preserve">Transformador auxiliar 112,5 kVA – IP23</t>
  </si>
  <si>
    <t xml:space="preserve">112,5 kVA, AT 418-462 V / BT 380 V, Dyn1, Z 6 %</t>
  </si>
  <si>
    <t xml:space="preserve">nº VOLGA V2023-1532</t>
  </si>
  <si>
    <t xml:space="preserve">TL-3100 / 000000123634</t>
  </si>
  <si>
    <t xml:space="preserve">Placa fotografada (terceiros, 23/09/2026). Nº VOLGA V2023-1532 não aparece (placa é da Pólux). Placa Pólux 112,5 kVA, Dyn1, BT 380 V = crítica (112,5 kVA 440-380/220 V IP-23) e as-built.</t>
  </si>
  <si>
    <t xml:space="preserve">114700</t>
  </si>
  <si>
    <t xml:space="preserve">Contexto: Pólux = fabricante nacional de transformadores a seco (encapsulado); 112,5 kVA Dyn1, 440 → 380/220 V, IP-23.</t>
  </si>
  <si>
    <t xml:space="preserve">QGBT-3100</t>
  </si>
  <si>
    <r>
      <rPr>
        <b val="true"/>
        <sz val="9"/>
        <color rgb="FF000000"/>
        <rFont val="Arial"/>
        <family val="0"/>
        <charset val="1"/>
      </rPr>
      <t xml:space="preserve">Crítica: </t>
    </r>
    <r>
      <rPr>
        <sz val="9"/>
        <color rgb="FF000000"/>
        <rFont val="Arial"/>
        <family val="0"/>
        <charset val="1"/>
      </rPr>
      <t xml:space="preserve">01 QGBT-3101.Projeto: as-built item 8: Painel de distribuição de baixa tensão, nº VOLGA V2023-1534.SAP: QGBT-3100 QUADRO GERAL BX TENSAO – local BPAM-SELE-PNN-40, equip. 000000123618, ABC C.Placa/campo: VOLGA ELETROCENTRO QGBT-3100; doc. DE-3100-4300-014_00A04; 2024; 0,6/1 kV; 380 Vca; corrente 160 A (leitura incerta – pode ser 1600 A); curto 2? kA (ilegível); comando N.A.; isolação 1,0 kV; IP 54.</t>
    </r>
  </si>
  <si>
    <t xml:space="preserve">Painel de distribuição de baixa tensão</t>
  </si>
  <si>
    <t xml:space="preserve">380 Vca; 160 A (leitura incerta, pode ser 1600 A)</t>
  </si>
  <si>
    <t xml:space="preserve">nº VOLGA V2023-1534</t>
  </si>
  <si>
    <t xml:space="preserve">QGBT-3100 / 000000123618</t>
  </si>
  <si>
    <t xml:space="preserve">Placa fotografada (terceiros, 23/09/2026). Corrente: ler na foto original ou pedir.</t>
  </si>
  <si>
    <t xml:space="preserve">114648</t>
  </si>
  <si>
    <t xml:space="preserve">TR.NB-3100</t>
  </si>
  <si>
    <r>
      <rPr>
        <b val="true"/>
        <sz val="9"/>
        <color rgb="FF000000"/>
        <rFont val="Arial"/>
        <family val="0"/>
        <charset val="1"/>
      </rPr>
      <t xml:space="preserve">Crítica: </t>
    </r>
    <r>
      <rPr>
        <sz val="9"/>
        <color rgb="FF000000"/>
        <rFont val="Arial"/>
        <family val="0"/>
        <charset val="1"/>
      </rPr>
      <t xml:space="preserve">integra o sistema de energia ininterrupta NB-3101.Projeto: as-built item 9: Transformador do nobreak 20 kVA 380-220 V IP-23, nº VOLGA VE2023-0313.SAP: TR.NB-3100 TRANSFORMADOR SECO NOBREAK – local BPAM-SELE-TRF-04, equip. 000000123635, ABC A.</t>
    </r>
  </si>
  <si>
    <t xml:space="preserve">Transformador do nobreak 20 kVA 380-220 V IP-23</t>
  </si>
  <si>
    <t xml:space="preserve">20 kVA 380-220 V (as-built)</t>
  </si>
  <si>
    <t xml:space="preserve">nº VOLGA VE2023-0313</t>
  </si>
  <si>
    <t xml:space="preserve">TR.NB-3100 / 000000123635</t>
  </si>
  <si>
    <t xml:space="preserve">SEM placa fotografada.</t>
  </si>
  <si>
    <t xml:space="preserve">NB-3100</t>
  </si>
  <si>
    <r>
      <rPr>
        <b val="true"/>
        <sz val="9"/>
        <color rgb="FF000000"/>
        <rFont val="Arial"/>
        <family val="0"/>
        <charset val="1"/>
      </rPr>
      <t xml:space="preserve">Crítica: </t>
    </r>
    <r>
      <rPr>
        <sz val="9"/>
        <color rgb="FF000000"/>
        <rFont val="Arial"/>
        <family val="0"/>
        <charset val="1"/>
      </rPr>
      <t xml:space="preserve">01 sistema de energia ininterrupta CA – NB-3101.Projeto: as-built item 10: Nobreak 20 kVA, nº VOLGA VE2023-0313.SAP: NB-3100 NOBREAK – local BPAM-SELE-PNN-34, equip. 000000123616, ABC A.Placa/campo: Schneider Electric Easy UPS 3S 3:3, modelo E3SUPS20KHB, S/N 9E2346T14071; 20 kVA/20 kW (380/400/415 V) ou 10 kVA/10 kW (200/208/220 V); Icc 10 kA; Made in China.</t>
    </r>
  </si>
  <si>
    <t xml:space="preserve">Schneider Electric</t>
  </si>
  <si>
    <t xml:space="preserve">Nobreak 20 kVA</t>
  </si>
  <si>
    <t xml:space="preserve">20 kVA / 20 kW (380-415 V)</t>
  </si>
  <si>
    <t xml:space="preserve">NB-3100 / 000000123616</t>
  </si>
  <si>
    <t xml:space="preserve">Placa fotografada (terceiros, 23/09/2026). 20 kVA na placa = as-built.</t>
  </si>
  <si>
    <t xml:space="preserve">114716</t>
  </si>
  <si>
    <t xml:space="preserve">Contexto: Schneider Easy UPS 3S 20 kVA = nobreak trifásico on-line de dupla conversão; com gabinete de baterias E3SXR6.</t>
  </si>
  <si>
    <t xml:space="preserve">BB.NB-3100</t>
  </si>
  <si>
    <r>
      <rPr>
        <b val="true"/>
        <sz val="9"/>
        <color rgb="FF000000"/>
        <rFont val="Arial"/>
        <family val="0"/>
        <charset val="1"/>
      </rPr>
      <t xml:space="preserve">Crítica: </t>
    </r>
    <r>
      <rPr>
        <sz val="9"/>
        <color rgb="FF000000"/>
        <rFont val="Arial"/>
        <family val="0"/>
        <charset val="1"/>
      </rPr>
      <t xml:space="preserve">integra o NB-3101.Projeto: as-built item 11: Gabinete de baterias do nobreak, nº VOLGA VE2023-0313.SAP: BB.NB-3100 GABINETE BATERIAS NOBREAK – local BPAM-SELE-PNN-31, equip. 000000123615, ABC C.Placa/campo: Schneider Electric Modular Battery Cabinet, modelo E3SXR6, S/N 9E2346W11014; 480 Vcc; 125 A; 125 kg; Icw 10 kA.</t>
    </r>
  </si>
  <si>
    <t xml:space="preserve">Gabinete de baterias do nobreak</t>
  </si>
  <si>
    <t xml:space="preserve">480 Vcc, 125 A</t>
  </si>
  <si>
    <t xml:space="preserve">BB.NB-3100 / 000000123615</t>
  </si>
  <si>
    <t xml:space="preserve">114728</t>
  </si>
  <si>
    <t xml:space="preserve">QL-3100</t>
  </si>
  <si>
    <r>
      <rPr>
        <b val="true"/>
        <sz val="9"/>
        <color rgb="FF000000"/>
        <rFont val="Arial"/>
        <family val="0"/>
        <charset val="1"/>
      </rPr>
      <t xml:space="preserve">Crítica: </t>
    </r>
    <r>
      <rPr>
        <sz val="9"/>
        <color rgb="FF000000"/>
        <rFont val="Arial"/>
        <family val="0"/>
        <charset val="1"/>
      </rPr>
      <t xml:space="preserve">01 QL-3102.Projeto: as-built item 12: Painel de iluminação, nº VOLGA V2023-1537.SAP: QL-3100 QUADRO DE ILUMINACAO – local BPAM-SELE-PNN-43, equip. 000000123619, ABC C.Placa/campo: VOLGA ELETROCENTRO-QL-3100; doc. DE-3100-4300-018_00A04; 2024; 0,6/1 kV; 380/220 Vca; 60 Hz; 125 A; 3 kA; isolação 1,0 kV; IP 54.</t>
    </r>
  </si>
  <si>
    <t xml:space="preserve">Painel de iluminação</t>
  </si>
  <si>
    <t xml:space="preserve">380/220 Vca, 125 A, 3 kA</t>
  </si>
  <si>
    <t xml:space="preserve">nº VOLGA V2023-1537</t>
  </si>
  <si>
    <t xml:space="preserve">QL-3100 / 000000123619</t>
  </si>
  <si>
    <t xml:space="preserve">114753</t>
  </si>
  <si>
    <t xml:space="preserve">QD-UPS-3100</t>
  </si>
  <si>
    <r>
      <rPr>
        <b val="true"/>
        <sz val="9"/>
        <color rgb="FF000000"/>
        <rFont val="Arial"/>
        <family val="0"/>
        <charset val="1"/>
      </rPr>
      <t xml:space="preserve">Crítica: </t>
    </r>
    <r>
      <rPr>
        <sz val="9"/>
        <color rgb="FF000000"/>
        <rFont val="Arial"/>
        <family val="0"/>
        <charset val="1"/>
      </rPr>
      <t xml:space="preserve">01 QD-UPS-3101.Projeto: as-built item 13: Quadro de distribuição estabilizada, nº VOLGA V2023-1536.SAP: QD-UPS-3100 QUADRO ALIMENTACAO – local BPAM-SELE-PNN-37, equip. 000000123617, ABC C.Placa/campo: VOLGA Etiqueta 'ELETROCENTRO QD-UPS-3100' + QR Nr. V2023-1536, Fab. 2024.</t>
    </r>
  </si>
  <si>
    <t xml:space="preserve">Quadro de distribuição estabilizada</t>
  </si>
  <si>
    <t xml:space="preserve">nº VOLGA V2023-1536</t>
  </si>
  <si>
    <t xml:space="preserve">QD-UPS-3100 / 000000123617</t>
  </si>
  <si>
    <t xml:space="preserve">114745</t>
  </si>
  <si>
    <t xml:space="preserve">PN-AUT</t>
  </si>
  <si>
    <r>
      <rPr>
        <b val="true"/>
        <sz val="9"/>
        <color rgb="FFB38600"/>
        <rFont val="Arial"/>
        <family val="0"/>
        <charset val="1"/>
      </rPr>
      <t xml:space="preserve">Projeto: </t>
    </r>
    <r>
      <rPr>
        <sz val="9"/>
        <color rgb="FFB38600"/>
        <rFont val="Arial"/>
        <family val="0"/>
        <charset val="1"/>
      </rPr>
      <t xml:space="preserve">as-built item 14: Painel de automação (ESPAÇO DISPONÍVEL), nº VOLGA —.</t>
    </r>
  </si>
  <si>
    <t xml:space="preserve">Painel de automação (ESPAÇO DISPONÍVEL)</t>
  </si>
  <si>
    <t xml:space="preserve">Não é bem (espaço reservado).</t>
  </si>
  <si>
    <t xml:space="preserve">HVAC-WM</t>
  </si>
  <si>
    <r>
      <rPr>
        <b val="true"/>
        <sz val="9"/>
        <color rgb="FFB38600"/>
        <rFont val="Arial"/>
        <family val="0"/>
        <charset val="1"/>
      </rPr>
      <t xml:space="preserve">Projeto: </t>
    </r>
    <r>
      <rPr>
        <sz val="9"/>
        <color rgb="FFB38600"/>
        <rFont val="Arial"/>
        <family val="0"/>
        <charset val="1"/>
      </rPr>
      <t xml:space="preserve">as-built item 15: Ar condicionado wall mounted, nº VOLGA VE2023-0310.SAP: GAV-T-3101 HVAC-WM (só a gaveta de alimentação no PN-3100; a unidade não tem cadastro) – local BPAM-SELE-PNN-01-37-22, equip. 000000123592, ABC C.Placa/campo: MGE Air Modelo WMEE125A4PFBXXPGPEXPP (leitura incerta); série 1211_24; MAR/24; 12,5 TR; 12.500 m³/h; scroll; compressor 14 kW; total 18,35 kW / 29,7 A; 440/3/60; R410A 3,8 kg; 600 kg.</t>
    </r>
  </si>
  <si>
    <t xml:space="preserve">MGE Air</t>
  </si>
  <si>
    <t xml:space="preserve">Ar condicionado wall mounted</t>
  </si>
  <si>
    <t xml:space="preserve">12,5 TR; 12.500 m³/h; 18,35 kW</t>
  </si>
  <si>
    <t xml:space="preserve">nº VOLGA VE2023-0310</t>
  </si>
  <si>
    <t xml:space="preserve">GAV-T-3101 / 000000123592</t>
  </si>
  <si>
    <t xml:space="preserve">114800</t>
  </si>
  <si>
    <t xml:space="preserve">VOLGA 20230138 REV 6A: HVAC incluso no eletrocentro (item 15 do as-built, nº VE2023-0310); sem preço individual.</t>
  </si>
  <si>
    <t xml:space="preserve">Contexto: MGE Air = fabricante nacional de climatizadores industriais; 12,5 TR wall-mounted para o contêiner do eletrocentro; item 15 do as-built (VE2023-0310).</t>
  </si>
  <si>
    <t xml:space="preserve">Exaustores 1–3, termostato</t>
  </si>
  <si>
    <r>
      <rPr>
        <b val="true"/>
        <sz val="9"/>
        <color rgb="FFB38600"/>
        <rFont val="Arial"/>
        <family val="0"/>
        <charset val="1"/>
      </rPr>
      <t xml:space="preserve">Projeto: </t>
    </r>
    <r>
      <rPr>
        <sz val="9"/>
        <color rgb="FFB38600"/>
        <rFont val="Arial"/>
        <family val="0"/>
        <charset val="1"/>
      </rPr>
      <t xml:space="preserve">as-built item 16–19: Acessórios HVAC, nº VOLGA VE2023-0310.</t>
    </r>
  </si>
  <si>
    <t xml:space="preserve">Acessórios HVAC</t>
  </si>
  <si>
    <t xml:space="preserve">SEM placa fotografada. baixo valor.</t>
  </si>
  <si>
    <t xml:space="preserve">BW.01 / BW.02</t>
  </si>
  <si>
    <r>
      <rPr>
        <b val="true"/>
        <sz val="9"/>
        <color rgb="FF000000"/>
        <rFont val="Arial"/>
        <family val="0"/>
        <charset val="1"/>
      </rPr>
      <t xml:space="preserve">Crítica: </t>
    </r>
    <r>
      <rPr>
        <sz val="9"/>
        <color rgb="FF000000"/>
        <rFont val="Arial"/>
        <family val="0"/>
        <charset val="1"/>
      </rPr>
      <t xml:space="preserve">01 barramento blindado IP-55 (PN-3101) e 01 (TR-3101/PN-3101).Projeto: as-built item 21–22: Busway de conexão (TR-3101/PN-3101) e (PN-3101), nº VOLGA VB2023-0184 / 0183.</t>
    </r>
  </si>
  <si>
    <t xml:space="preserve">Busway de conexão (TR-3101/PN-3101) e (PN-3101)</t>
  </si>
  <si>
    <t xml:space="preserve">nº VOLGA VB2023-0184 / 0183</t>
  </si>
  <si>
    <t xml:space="preserve">SEM placa fotografada. única menção a '-3101' no as-built.</t>
  </si>
  <si>
    <t xml:space="preserve">EXT / GD.TR-3100</t>
  </si>
  <si>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t>
    </r>
  </si>
  <si>
    <t xml:space="preserve">Extintores e gradil do trafo</t>
  </si>
  <si>
    <t xml:space="preserve">nº VOLGA VE2023-0300 / 0309</t>
  </si>
  <si>
    <t xml:space="preserve">PNA 3105</t>
  </si>
  <si>
    <r>
      <rPr>
        <b val="true"/>
        <sz val="9"/>
        <color rgb="FFB38600"/>
        <rFont val="Arial"/>
        <family val="0"/>
        <charset val="1"/>
      </rPr>
      <t xml:space="preserve">Projeto: </t>
    </r>
    <r>
      <rPr>
        <sz val="9"/>
        <color rgb="FFB38600"/>
        <rFont val="Arial"/>
        <family val="0"/>
        <charset val="1"/>
      </rPr>
      <t xml:space="preserve">não está no as-built do eletrocentro (painel Chronus, projeto OE-620-03).SAP: PNA-3105 PAINEL AUTOMACAO RADARES – local BPAM-SELE-PNN-25, equip. 000000123613, ABC B.Placa/campo: Chronus Automação Cliente ULTRACARGO; Projeto PNA 3105; fab. 16/04/2024; 220 Vac; 10 A; 3 kA; IP66; 15 kg; nº projeto OE-620-03.</t>
    </r>
  </si>
  <si>
    <t xml:space="preserve">Chronus Automação</t>
  </si>
  <si>
    <t xml:space="preserve">Painel Chronus (automação) – NÃO está na lista do eletrocentro</t>
  </si>
  <si>
    <t xml:space="preserve">220 Vac, 10 A, 3 kA, IP66</t>
  </si>
  <si>
    <t xml:space="preserve">nº VOLGA OE-620-03</t>
  </si>
  <si>
    <t xml:space="preserve">PNA-3105 / 000000123613</t>
  </si>
  <si>
    <t xml:space="preserve">Placa fotografada (terceiros, 23/09/2026). Outros Fixos (painéis Chronus). Campo tinha PNA 3102 e PNA 3103; este é novo. Painel Chronus (automação) – Outros Fixos, não integra a linha 18.</t>
  </si>
  <si>
    <t xml:space="preserve">114737</t>
  </si>
  <si>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t>
  </si>
  <si>
    <t xml:space="preserve">Não integra a linha 18 (VOLGA) nem a proposta Chronus; é painel de automação dos radares de nível Endress NMR84 – candidato a "Outros Fixos" junto com os radares (R$ 778.944,33 cotados).</t>
  </si>
  <si>
    <t xml:space="preserve">Eletrocentro (container)</t>
  </si>
  <si>
    <r>
      <rPr>
        <b val="true"/>
        <sz val="9"/>
        <color rgb="FFB38600"/>
        <rFont val="Arial"/>
        <family val="0"/>
        <charset val="1"/>
      </rPr>
      <t xml:space="preserve">Projeto: </t>
    </r>
    <r>
      <rPr>
        <sz val="9"/>
        <color rgb="FFB38600"/>
        <rFont val="Arial"/>
        <family val="0"/>
        <charset val="1"/>
      </rPr>
      <t xml:space="preserve">as-built item geral: Placa geral VOLGA do eletrocentro, nº VOLGA —.</t>
    </r>
  </si>
  <si>
    <t xml:space="preserve">Placa geral VOLGA do eletrocentro</t>
  </si>
  <si>
    <t xml:space="preserve">SEM placa fotografada. Pedir placa geral / data book.</t>
  </si>
  <si>
    <t xml:space="preserve">PN-3105</t>
  </si>
  <si>
    <r>
      <rPr>
        <b val="true"/>
        <sz val="9"/>
        <color rgb="FF000000"/>
        <rFont val="Arial"/>
        <family val="0"/>
        <charset val="1"/>
      </rPr>
      <t xml:space="preserve">Crítica: </t>
    </r>
    <r>
      <rPr>
        <sz val="9"/>
        <color rgb="FF000000"/>
        <rFont val="Arial"/>
        <family val="0"/>
        <charset val="1"/>
      </rPr>
      <t xml:space="preserve">01 PN-3105 (e 01 PN-3106).SAP: GAV-PN-3105 ELEVAT 01 (gaveta UF6_13 no PN-3100 = alimentação da elevatória 01) – local BPAM-SELE-PNN-01-37-16, equip. 000000123590, ABC C.Placa/campo: Painel eletrico / CCM – VOLGA, No de ident. V3323-1540 | Doc. PD-E557-EPA-EL-BEL-00400, 2024, Cliente ULTRACARGO TERMINAL LTDA, Efluentes.</t>
    </r>
  </si>
  <si>
    <t xml:space="preserve">No de ident. V3323-1540 | Doc. PD-E557-EPA-EL-BEL-00400</t>
  </si>
  <si>
    <t xml:space="preserve">GAV-PN-3105 / 000000123590</t>
  </si>
  <si>
    <t xml:space="preserve">Painel da elevatória 01 de efluentes (SAP: gaveta GAV-PN-3105 ELEVAT 01; campo: "Efluentes"). Está na crítica (01 PN-3105; 01 PN-3106) mas fora do as-built do eletrocentro; o PN-3106 (elevatória 02) não foi caracterizado. Campos de corrente/curto/IP em branco na placa.</t>
  </si>
  <si>
    <t xml:space="preserve">0782-0784</t>
  </si>
  <si>
    <t xml:space="preserve">VOLGA 20230138 REV 6A: sem preço individual por painel (preço único do eletrocentro).</t>
  </si>
  <si>
    <t xml:space="preserve">Painel da elevatória 01 de efluentes (fora do as-built do eletrocentro, mas citado na crítica da linha 18 com o PN-3106). Confirmar se as NFs VOLGA 22/33/34 incluem PN-3105/3106 ou se têm NF própria.</t>
  </si>
  <si>
    <t xml:space="preserve">Painel VOLGA sem TAG</t>
  </si>
  <si>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t>
    </r>
  </si>
  <si>
    <t xml:space="preserve">Painel VOLGA sem TAG visto no lote 1 – identificar (pode ser o PN-3106).</t>
  </si>
  <si>
    <t xml:space="preserve">0066, 0171, 0172</t>
  </si>
  <si>
    <t xml:space="preserve">Provável PN-3106 (elevatória 02) – identificar na próxima visita (foto da placa com nº de identificação V3323-xxxx).</t>
  </si>
  <si>
    <t xml:space="preserve">TOTAL M&amp;E</t>
  </si>
  <si>
    <t xml:space="preserve">Conferência: total de crítica = R$ 16.576.852,44; total de NF = soma das 23 NFs de M&amp;E do RT0538 (aba NF_ME).</t>
  </si>
  <si>
    <t xml:space="preserve">CÉLULA ÚNICA por conjunto (v2 – 12/10/2026): todas as informações da base de 07/10 (conjunto + componentes) nas cores de origem, redundâncias taxadas, cotações OPE154 em azul escuro e achados/correções/proposições em roxo. Base para as legendas do relatório fotográfico.</t>
  </si>
  <si>
    <t xml:space="preserve">Célula única</t>
  </si>
  <si>
    <t xml:space="preserve">Fotos / fontes de campo (conjunto + componentes)</t>
  </si>
  <si>
    <t xml:space="preserve">Nº de componentes</t>
  </si>
  <si>
    <t xml:space="preserve">Linha na aba CARACTERIZACAO</t>
  </si>
  <si>
    <t xml:space="preserve">Grupo gerador (GD-3101): 0052-0060
Motor diesel do GMG: 0052-0055
Alternador (gerador) do GMG: 0056, 0059, 0060</t>
  </si>
  <si>
    <t xml:space="preserve">CARACTERIZACAO!X4</t>
  </si>
  <si>
    <t xml:space="preserve">Bombas SCI B-3101 A e B-3101 B: 0041-0043, 1003-1010 | ANP Fig. 183, 184, 199
B-3101A: 0042 | ANP Fig. 184
B-3101B: 0043 | ANP Fig. 184
TQ-3122 / TQ-3123 (tanques diesel das motobombas): 1003-1010 | ANP Fig. 199</t>
  </si>
  <si>
    <t xml:space="preserve">CARACTERIZACAO!X7</t>
  </si>
  <si>
    <t xml:space="preserve">Bomba jockey B-3102: 0041</t>
  </si>
  <si>
    <t xml:space="preserve">CARACTERIZACAO!X11</t>
  </si>
  <si>
    <t xml:space="preserve">Bombas de produto CETRAN 01 – 125-080-315 (12 un.): ver componentes
B-3103: 0125-0131 | ANP Fig. 146
B-3104: 0118-0124 | ANP Fig. 147
B-3105: 0157-0160 | ANP Fig. 148
B-3106: 0152-0156 | ANP Fig. 149
B-3107: 0138-0145 | ANP Fig. 150
B-3108: 0132-0137 | ANP Fig. 151
B-3110: 0095-0101 | ANP Fig. 153
B-3113: 0146-0151 | ANP Fig. 156
B-3114: 0090-0094 | ANP Fig. 157
B-3115: 0085-0089 | ANP Fig. 158
B-3111: 0079, 0082-0084 | ANP Fig. 154
B-3112: 0074-0076, 0080, 0081 | ANP Fig. 155</t>
  </si>
  <si>
    <t xml:space="preserve">CARACTERIZACAO!X12</t>
  </si>
  <si>
    <t xml:space="preserve">Bomba de produto CETRAN 01 – 100-065-315 (B-3109): ver componentes
B-3109: 0102-0105 | ANP Fig. 152</t>
  </si>
  <si>
    <t xml:space="preserve">CARACTERIZACAO!X25</t>
  </si>
  <si>
    <t xml:space="preserve">Bombas de produto CETRAN 01 – 125-080-315 (2 un.): ver componentes
B-3116: 0111-0117 | ANP Fig. 159
B-3117: 0106-0110 | ANP Fig. 160</t>
  </si>
  <si>
    <t xml:space="preserve">CARACTERIZACAO!X27</t>
  </si>
  <si>
    <t xml:space="preserve">Bombas CETRAN 02 (ferroviário) – 125-100-315 (2 un.): ver componentes
B-3118: 0788-0791
B-3119: 0793-0796, 1068-1076</t>
  </si>
  <si>
    <t xml:space="preserve">CARACTERIZACAO!X30</t>
  </si>
  <si>
    <t xml:space="preserve">Bombas CETRAN 02 (ferroviário) – 125-100-315 (3 un.): ver componentes
B-3120: 0797-0802
B-3122: 0812-0818
B-3123: 0819-0826</t>
  </si>
  <si>
    <t xml:space="preserve">CARACTERIZACAO!X33</t>
  </si>
  <si>
    <t xml:space="preserve">Bomba CETRAN 02 (ferroviário) – 125-100-315 (1 un.): ver componentes
B-3121: 0804-0809</t>
  </si>
  <si>
    <t xml:space="preserve">CARACTERIZACAO!X37</t>
  </si>
  <si>
    <t xml:space="preserve">Bombas de efluentes/drenagem – Megaflow V 80-250 K (2 un.): ver componentes
B-3130: 0779-0780, 1077-1082
B-3131: 0771-0776, 1083-1086</t>
  </si>
  <si>
    <t xml:space="preserve">CARACTERIZACAO!X39</t>
  </si>
  <si>
    <t xml:space="preserve">Bombas de efluentes/drenagem – Megaflow V 80-250 K (2 un.): ver componentes
B-3132: 0177-0179, 1047, 1048, 1052-1056
B-3133: 0175, 0176, 1049-1051</t>
  </si>
  <si>
    <t xml:space="preserve">CARACTERIZACAO!X42</t>
  </si>
  <si>
    <t xml:space="preserve">Bomba do sistema de água dos chuveiros de emergência – 050-032-200.1 (B-31100): ver componentes
B-31100: 1029-1038</t>
  </si>
  <si>
    <t xml:space="preserve">CARACTERIZACAO!X45</t>
  </si>
  <si>
    <t xml:space="preserve">Bombas de descarga rodoviária – 125-100-250 (B-3124 e B-3125): ver componentes
B-3124: 0273-0275 | ANP Fig. 177
B-3125: 0263-0266 | ANP Fig. 178</t>
  </si>
  <si>
    <t xml:space="preserve">CARACTERIZACAO!X47</t>
  </si>
  <si>
    <t xml:space="preserve">CARACTERIZACAO!X50</t>
  </si>
  <si>
    <t xml:space="preserve">Skid + plataforma TOP LOADING (PLCCT – 2 posições, 7 pontos): 0732-0768 | ANP Fig. 97, 98, 106, 108
BR-3101: 0732, 0733
BR-3102: 0738-0740
BR-3103: 0766-0768
BR-3104: 0764
BR-3105: 0759, 0761, 0762
BR-3106: 0751-0754</t>
  </si>
  <si>
    <t xml:space="preserve">CARACTERIZACAO!X51</t>
  </si>
  <si>
    <t xml:space="preserve">Unidade BOTTOM LOADING (2 posições, 7 pontos): 0475, 0476, 0990-0991
BOTTOM-3107: 0475
BOTTOM-3108: 0476
(sem TAG) – Preset de carregamento: 0990-0991</t>
  </si>
  <si>
    <t xml:space="preserve">CARACTERIZACAO!X58</t>
  </si>
  <si>
    <t xml:space="preserve">Skid de carregamento de vagões-tanque PLCVT-01 / U-3105 (4 pontos): 0836-0881
FT-3180: 0878
FT-3181: 0842-0844
FT-3182: 0881
FCV-3180: 0868-0871
FCV-3181: 0850-0852
FCV-3182: 0873-0876
FCV-3183: 0855-0859
TE-3181A: 0846
TE-3183A: 0848</t>
  </si>
  <si>
    <t xml:space="preserve">CARACTERIZACAO!X62</t>
  </si>
  <si>
    <t xml:space="preserve">Skid de DESCARGA de caminhões-tanque com duas bombas (PLDCT-03): ANP Fig. 175, 176</t>
  </si>
  <si>
    <t xml:space="preserve">CARACTERIZACAO!X72</t>
  </si>
  <si>
    <t xml:space="preserve">Carregamento ferroviário (braços TSPRO, SDV, sensores, alvos, botoeiras): 0886-0960 | ANP Fig. 119, 128, 131
BR ferrov. (lote 1): 0888-0931
BR ferrov. (lote 2): 0950, 0951, 0956
Plataformas 8 a 14 – lado B: 0886, 0897, 0900, 0906, 0923, 0934, 0960, 0917</t>
  </si>
  <si>
    <t xml:space="preserve">CARACTERIZACAO!X73</t>
  </si>
  <si>
    <t xml:space="preserve">Componentes de campo sem vínculo documentado (linha 14)</t>
  </si>
  <si>
    <t xml:space="preserve">(TAG pendente) – Medidor de vazao tipo turbina: 0306, 0307
(TAG pendente) – Medidor de vazao tipo turbina: 0417-0420
(TAG pendente) – Medidor de vazao tipo turbina: 0403-0405
(TAG pendente) – Medidor de vazao tipo turbina: 0356-0359
(TAG pendente) – Medidor de vazao tipo turbina: 0408-0410
(TAG pendente) – Medidor de vazao tipo turbina: 0557, 0558
(TAG pendente) – Medidor de vazao tipo turbina: 0654, 0658, 0659
(TAG pendente) – Medidor de vazao tipo turbina: 0413-0415
(TAG pendente) – Medidor de vazao tipo turbina: 0562-0564
(TAG pendente) – Medidor de vazao tipo turbina: 0674-0676
FCV-3140: 0527-0532
FCV-3141: 0686-0691
FCV-3142: 0525-0526
FCV-3144: 0620-0622
FCV-3145: 0636-0637
FCV-3146: 0612-0618
FCV-3147: 0630-0634
FCV-3148: 0607-0609
FCV-3149: 0534-0537
FCV-3150: 0693-0696
FCV-3151: 0539-0540
FCV-3152: 0698-0700
FCV-3155: 0387
FCV-3156: 0459-0465
FCV-3157: 0335-0336
FCV-3158: 0338-0340
FCV-3159: 0330-0333
FCV-3160: 0341-0346
FCV-3161: 0327-0329
FCV-3164: 0389-0390
FCV-3165: 0467-0470
FT-3141: 0662-0663, 0667, 0670
FT-3142: 0553, 0554
FT-3143: 0711, 0712
FT-3148: 0649-0651
FT-3151: 0315-0317, 0567-0570
FT-3154: 0439, 0440
FT-3156: 0441, 0442
FT-3159: 0308, 0311, 0312
FT-3163: 0437, 0438
SDV-3103: 0489-0490
SDV-3111: 0492-0494
SDV-3112: 0496-0499
SDV-3113: 0485-0487
TE-3101A: 0548
TE-3141A: 0703, 0704
TE-3147A: 0643
TE-3149A: 0546
TE-3152A: 0708, 0709
XS-3103A: 0571, 0572
XS-3104: 0624, 0722, 0723
XS-3104B: 0594, 0595, 0724, 0725
XS-3107A: 0472, 0473
XS-3107B: 0430, 0431
XS-3108A: 0477, 0478
XS-31209: 0279, 0280
XS-31211: 0268, 0269
XS-31212: 0285, 0286</t>
  </si>
  <si>
    <t xml:space="preserve">CARACTERIZACAO!X77</t>
  </si>
  <si>
    <t xml:space="preserve">CARACTERIZACAO!X135</t>
  </si>
  <si>
    <t xml:space="preserve">Selos flutuantes – TQ-3103 e TQ-3104 (gasolina A, 1.700 m³): placas dos tanques (CARACTERIZAÇÃO v4)</t>
  </si>
  <si>
    <t xml:space="preserve">CARACTERIZACAO!X136</t>
  </si>
  <si>
    <t xml:space="preserve">Selos flutuantes – TQ-3109 e TQ-3110 (etanol anidro, 800 m³): placas dos tanques (CARACTERIZAÇÃO v4)</t>
  </si>
  <si>
    <t xml:space="preserve">CARACTERIZACAO!X137</t>
  </si>
  <si>
    <t xml:space="preserve">Selos flutuantes – 2 dos 3 tanques TQ-3111/3112/3113 (etanol hidratado, 300 m³): placas dos tanques (CARACTERIZAÇÃO v4)</t>
  </si>
  <si>
    <t xml:space="preserve">CARACTERIZACAO!X138</t>
  </si>
  <si>
    <t xml:space="preserve">Subestação tipo eletrocentro VOLGA: 0782-0784, 0992-0995, terceiros 21 e 23/09/2026
QGMT-3100-01: 114620; 0929 (vista)
SMF: 114630
PN-3100 (lado A): 114639; 0933b (vista)
BC-3100: 114709
TL-3100: 114700
QGBT-3100: 114648
NB-3100: 114716
BB.NB-3100: 114728
QL-3100: 114753
QD-UPS-3100: 114745
HVAC-WM: 114800
PNA 3105: 114737
PN-3105: 0782-0784
Painel VOLGA sem TAG: 0066, 0171, 0172</t>
  </si>
  <si>
    <t xml:space="preserve">CARACTERIZACAO!X139</t>
  </si>
  <si>
    <t xml:space="preserve">Totais (CONJUNTO)</t>
  </si>
  <si>
    <t xml:space="preserve">Nota: o total de cotação soma só as linhas CONJUNTO (as linhas 14 e 15-17 estão nos subitens); a linha 14 usa o preço único Metroval.</t>
  </si>
  <si>
    <t xml:space="preserve">Relação de NFs de Máquinas e Equipamentos do RT0538 (comprovação 2025) e atribuição às linhas da crítica</t>
  </si>
  <si>
    <t xml:space="preserve">Data</t>
  </si>
  <si>
    <t xml:space="preserve">Emitente</t>
  </si>
  <si>
    <t xml:space="preserve">CNPJ</t>
  </si>
  <si>
    <t xml:space="preserve">Descrição no RT0538</t>
  </si>
  <si>
    <t xml:space="preserve">Valor (R$)</t>
  </si>
  <si>
    <t xml:space="preserve">Linha(s) da crítica</t>
  </si>
  <si>
    <t xml:space="preserve">Base da atribuição</t>
  </si>
  <si>
    <t xml:space="preserve">Cotação OPE154 correspondente (v2 – azul escuro)</t>
  </si>
  <si>
    <t xml:space="preserve">Observação v2 (roxo)</t>
  </si>
  <si>
    <t xml:space="preserve">STEMAC S.A. Grupos Geradores</t>
  </si>
  <si>
    <t xml:space="preserve">92.753.269/0052-02</t>
  </si>
  <si>
    <t xml:space="preserve">GMG 0575KVA 440V 60HZ</t>
  </si>
  <si>
    <t xml:space="preserve">exata (valor = linha 1)</t>
  </si>
  <si>
    <t xml:space="preserve">STEMAC 13107/2023 REV01 (29/08/2023): R$ 393.500,00 – exata.</t>
  </si>
  <si>
    <t xml:space="preserve">CNPJ da proposta (92.753.268/0052-62) difere do da NF.</t>
  </si>
  <si>
    <t xml:space="preserve">KSB Brasil Ltda</t>
  </si>
  <si>
    <t xml:space="preserve">60.680.873/0001-14</t>
  </si>
  <si>
    <t xml:space="preserve">Conjunto bomba KSB</t>
  </si>
  <si>
    <t xml:space="preserve">2 e 3</t>
  </si>
  <si>
    <t xml:space="preserve">exata (soma das linhas 2 + 3 = 850.000,00)</t>
  </si>
  <si>
    <t xml:space="preserve">KSB RAS0045265 Rev. 7 (19/09/2023): 2 × 407.600,52 + 34.798,96 = R$ 850.000,00 – exata.</t>
  </si>
  <si>
    <t xml:space="preserve">Motor diesel MWM 6.12TCE; tanques 1.000 L inclusos.</t>
  </si>
  <si>
    <t xml:space="preserve">60.680.873/0009-71</t>
  </si>
  <si>
    <t xml:space="preserve">Bomba KSB</t>
  </si>
  <si>
    <t xml:space="preserve">4 (10 un.), 5, 12, 13</t>
  </si>
  <si>
    <t xml:space="preserve">decomposição aritmética única pelos preços unitários da crítica</t>
  </si>
  <si>
    <t xml:space="preserve">KSB RAS0051138 Rev. 10 (11/12/2023): preço por TAG (28 bombas, R$ 2.630.491,47).</t>
  </si>
  <si>
    <t xml:space="preserve">As 3 NFs KSB somam R$ 2.701.551,48 = cotação + R$ 71.060,00. Vínculo TAG × linha corrigido (ver ACHADOS A01/A02).</t>
  </si>
  <si>
    <t xml:space="preserve">4 (2 un.), 6, 7, 8, 9, 10</t>
  </si>
  <si>
    <t xml:space="preserve">KSB RAS0051138 Rev. 10: preço por TAG.</t>
  </si>
  <si>
    <t xml:space="preserve">Idem.</t>
  </si>
  <si>
    <t xml:space="preserve">Bomba Megaflow V80-250K</t>
  </si>
  <si>
    <t xml:space="preserve">por descrição (Megaflow); NF excede a linha em R$ 71.060,00</t>
  </si>
  <si>
    <t xml:space="preserve">KSB RAS0051138 Rev. 10, item 23: B-3132/33 = R$ 162.486,68.</t>
  </si>
  <si>
    <t xml:space="preserve">Excesso de R$ 71.060,00 sem contrapartida na cotação – pedir NF detalhada.</t>
  </si>
  <si>
    <t xml:space="preserve">41385</t>
  </si>
  <si>
    <t xml:space="preserve">02/07/2024</t>
  </si>
  <si>
    <t xml:space="preserve">Metroval Controle de Fluidos Ltda</t>
  </si>
  <si>
    <t xml:space="preserve">58.762.956/0001-00</t>
  </si>
  <si>
    <t xml:space="preserve">Sistema de carregamento rodoviário bottomload e topload</t>
  </si>
  <si>
    <t xml:space="preserve">14a + 14b (provável)</t>
  </si>
  <si>
    <t xml:space="preserve">por descrição ("carregamento rodoviário bottomload e topload"); não separa 14a/14b; excede 14a+14b em R$ 690.801,61</t>
  </si>
  <si>
    <t xml:space="preserve">Metroval 230200112STM-SC-RevE (30/08/2023): pacote R$ 8.992.832,34, sem preço por subitem.</t>
  </si>
  <si>
    <t xml:space="preserve">A proposta prevê faturamento direto por Redlands, MKG, PHD Master e Ecoserv.</t>
  </si>
  <si>
    <t xml:space="preserve">PHD Master Consultoria Ltda</t>
  </si>
  <si>
    <t xml:space="preserve">68.806.496/0001-29</t>
  </si>
  <si>
    <t xml:space="preserve">Itens diversos</t>
  </si>
  <si>
    <t xml:space="preserve">valor exato = 14d; emitente PHD MASTER CONSULTORIA (não Metroval)</t>
  </si>
  <si>
    <t xml:space="preserve">Metroval: item (d) skid de descarga com duas bombas; PHD Master na lista de faturamento direto.</t>
  </si>
  <si>
    <t xml:space="preserve">Explica o emitente PHD; composição ainda pendente (bombas B-3124/25 cotadas pela KSB).</t>
  </si>
  <si>
    <t xml:space="preserve">42239</t>
  </si>
  <si>
    <t xml:space="preserve">13/11/2024</t>
  </si>
  <si>
    <t xml:space="preserve">Válvula on-off</t>
  </si>
  <si>
    <t xml:space="preserve">14e (provável)</t>
  </si>
  <si>
    <t xml:space="preserve">por descrição (válvulas on-off = 10 SDV do carregamento ferroviário)</t>
  </si>
  <si>
    <t xml:space="preserve">Metroval: item (e) carregamento ferroviário (sem preço).</t>
  </si>
  <si>
    <t xml:space="preserve">Candidata às 10 SDV (campo: VOOM-100).</t>
  </si>
  <si>
    <t xml:space="preserve">7032</t>
  </si>
  <si>
    <t xml:space="preserve">04/06/2024</t>
  </si>
  <si>
    <t xml:space="preserve">TSPRO Fab. Dist. e Rep. de Equip. Industriais</t>
  </si>
  <si>
    <t xml:space="preserve">13.108.393/0001-01</t>
  </si>
  <si>
    <t xml:space="preserve">BT modelo C 4 pol. vedações</t>
  </si>
  <si>
    <t xml:space="preserve">por descrição (TSPRO = braços ferroviários BTC 4")</t>
  </si>
  <si>
    <t xml:space="preserve">Sem cotação TSPRO no OPE154.</t>
  </si>
  <si>
    <t xml:space="preserve">TSPRO não consta na lista de faturamento direto da Metroval – compra adicional ou substituição.</t>
  </si>
  <si>
    <t xml:space="preserve">7488</t>
  </si>
  <si>
    <t xml:space="preserve">03/10/2024</t>
  </si>
  <si>
    <t xml:space="preserve">BT modelo C 4 pol.</t>
  </si>
  <si>
    <t xml:space="preserve">11642</t>
  </si>
  <si>
    <t xml:space="preserve">05/09/2024</t>
  </si>
  <si>
    <t xml:space="preserve">Redlands do Brasil Ind. e Com. Ltda</t>
  </si>
  <si>
    <t xml:space="preserve">01.203.871/0001-75</t>
  </si>
  <si>
    <t xml:space="preserve">Escada pantográfica</t>
  </si>
  <si>
    <t xml:space="preserve">14 (grupo)</t>
  </si>
  <si>
    <t xml:space="preserve">sem vínculo a sublinha (escada pantográfica - plataformas)</t>
  </si>
  <si>
    <t xml:space="preserve">Redlands 0760/24 Rev.01 (10/01/2024): 21 escadas pantográficas PF-1604 × 11.495,00 = R$ 241.395,00 – exata.</t>
  </si>
  <si>
    <t xml:space="preserve">NF identificada: escadas pantográficas das plataformas.</t>
  </si>
  <si>
    <t xml:space="preserve">11726</t>
  </si>
  <si>
    <t xml:space="preserve">09/10/2024</t>
  </si>
  <si>
    <t xml:space="preserve">sem vínculo a sublinha</t>
  </si>
  <si>
    <t xml:space="preserve">Sem cotação específica (Redlands na lista de faturamento direto da Metroval).</t>
  </si>
  <si>
    <t xml:space="preserve">Candidata aos braços CC32 ou peças.</t>
  </si>
  <si>
    <t xml:space="preserve">1621</t>
  </si>
  <si>
    <t xml:space="preserve">22/10/2024</t>
  </si>
  <si>
    <t xml:space="preserve">Sem cotação específica (PHD Master na lista de faturamento direto).</t>
  </si>
  <si>
    <t xml:space="preserve">—</t>
  </si>
  <si>
    <t xml:space="preserve">91</t>
  </si>
  <si>
    <t xml:space="preserve">Ecoserv Automação Industrial Ltda</t>
  </si>
  <si>
    <t xml:space="preserve">49.842.939/0001-92</t>
  </si>
  <si>
    <t xml:space="preserve">Sem cotação específica (Ecoserv na lista de faturamento direto).</t>
  </si>
  <si>
    <t xml:space="preserve">110</t>
  </si>
  <si>
    <t xml:space="preserve">24/04/2024</t>
  </si>
  <si>
    <t xml:space="preserve">Monitor de aterramento</t>
  </si>
  <si>
    <t xml:space="preserve">sem vínculo a sublinha (monitor de aterramento - carregamento)</t>
  </si>
  <si>
    <t xml:space="preserve">Ecoserv 036/24 (09/02/2024): 32 monitores de aterramento × 12.090,00 = R$ 386.880,00 – exata.</t>
  </si>
  <si>
    <t xml:space="preserve">NF identificada: monitores KFW SLA-S-Y (XS-xxxx em campo).</t>
  </si>
  <si>
    <t xml:space="preserve">142</t>
  </si>
  <si>
    <t xml:space="preserve">12/08/2024</t>
  </si>
  <si>
    <t xml:space="preserve">Amostrador simples</t>
  </si>
  <si>
    <t xml:space="preserve">sem vínculo a sublinha (amostrador)</t>
  </si>
  <si>
    <t xml:space="preserve">Ecoserv 036/24 Rev. 00 (20/02/2024): 4 amostradores KFW × 25.000,00 = R$ 100.000,00 – exata.</t>
  </si>
  <si>
    <t xml:space="preserve">NF identificada: amostradores do skid de descarga (14d).</t>
  </si>
  <si>
    <t xml:space="preserve">161</t>
  </si>
  <si>
    <t xml:space="preserve">04/11/2024</t>
  </si>
  <si>
    <t xml:space="preserve">Sem cotação específica.</t>
  </si>
  <si>
    <t xml:space="preserve">26460</t>
  </si>
  <si>
    <t xml:space="preserve">22/03/2024</t>
  </si>
  <si>
    <t xml:space="preserve">MKG Equipamentos Ltda</t>
  </si>
  <si>
    <t xml:space="preserve">05.115.921/0001-13</t>
  </si>
  <si>
    <t xml:space="preserve">sem vínculo a sublinha (MKG = filtros; em campo os filtros MKG estão nas linhas de produto - Outros Fixos?)</t>
  </si>
  <si>
    <t xml:space="preserve">Sem cotação MKG; Smart Control cotou 24 filtros T 6"/8"/10" por R$ 645.624,00 (OPE154_22).</t>
  </si>
  <si>
    <t xml:space="preserve">MKG na lista de faturamento direto da Metroval; filtros MKG em campo.</t>
  </si>
  <si>
    <t xml:space="preserve">4965</t>
  </si>
  <si>
    <t xml:space="preserve">16/09/2024</t>
  </si>
  <si>
    <t xml:space="preserve">Serviço de assistência</t>
  </si>
  <si>
    <t xml:space="preserve">serviço de assistência Metroval</t>
  </si>
  <si>
    <t xml:space="preserve">Metroval: supervisão de instalação/comissionamento "inclusa no preço" (condições de fornecimento).</t>
  </si>
  <si>
    <t xml:space="preserve">Serviço faturado à parte apesar da proposta – conferir.</t>
  </si>
  <si>
    <t xml:space="preserve">Romão Tecnologias Industriais Ltda</t>
  </si>
  <si>
    <t xml:space="preserve">02.807.845/0001-19</t>
  </si>
  <si>
    <t xml:space="preserve">Selo película vedação simples</t>
  </si>
  <si>
    <t xml:space="preserve">15, 16, 17</t>
  </si>
  <si>
    <t xml:space="preserve">por descrição (selos); NF excede as 3 linhas em R$ 54.399,96</t>
  </si>
  <si>
    <t xml:space="preserve">Romão 00638 Rev 04 (17/01/2024): selos R$ 546.941,16 + supervisão R$ 109.200,00 + frete R$ 101.183,92 = R$ 757.325,08.</t>
  </si>
  <si>
    <t xml:space="preserve">Excesso da NF (R$ 54.399,96) não bate com frete nem supervisão – pedir NF detalhada.</t>
  </si>
  <si>
    <t xml:space="preserve">22</t>
  </si>
  <si>
    <t xml:space="preserve">30/04/2024</t>
  </si>
  <si>
    <t xml:space="preserve">Volga Engenharia Ind. e Com. Ltda</t>
  </si>
  <si>
    <t xml:space="preserve">03.347.463/0006-27</t>
  </si>
  <si>
    <t xml:space="preserve">Eletrocentro - subestação de energia</t>
  </si>
  <si>
    <t xml:space="preserve">exata (22 + 33 + 34 = linha 18)</t>
  </si>
  <si>
    <t xml:space="preserve">VOLGA 20230138 REV 6A (06/10/2023): R$ 3.163.087,46 – exata na soma das 3 NFs.</t>
  </si>
  <si>
    <t xml:space="preserve">Proposta da matriz (0001-12); NF da filial (0006-27).</t>
  </si>
  <si>
    <t xml:space="preserve">33</t>
  </si>
  <si>
    <t xml:space="preserve">22/05/2024</t>
  </si>
  <si>
    <t xml:space="preserve">VOLGA 20230138 REV 6A.</t>
  </si>
  <si>
    <t xml:space="preserve">34</t>
  </si>
  <si>
    <t xml:space="preserve">Total das NFs de M&amp;E</t>
  </si>
  <si>
    <t xml:space="preserve">Total da crítica de M&amp;E</t>
  </si>
  <si>
    <t xml:space="preserve">NF − crítica</t>
  </si>
  <si>
    <t xml:space="preserve">Conferência com a aba CARACTERIZACAO (deve ser zero)</t>
  </si>
  <si>
    <t xml:space="preserve">Composição da diferença: KSB 543048 (+71.060,00 sobre a linha 11) + Romão 2739 (+54.399,96 sobre 15-17) + grupo 14 (+80.487,06 sobre 14a-14e) = R$ 205.947,02.</t>
  </si>
  <si>
    <t xml:space="preserve">Propostas comerciais do arquivo OPE154_48.zip (49 PDFs; OPE154_16 = cópia de OPE154_05) – posição 12/10/2026. Azul escuro = dado da proposta; roxo = enquadramento/observação do avaliador.</t>
  </si>
  <si>
    <t xml:space="preserve">Arquivo</t>
  </si>
  <si>
    <t xml:space="preserve">Fornecedor (CNPJ)</t>
  </si>
  <si>
    <t xml:space="preserve">Proposta nº / revisão</t>
  </si>
  <si>
    <t xml:space="preserve">Objeto</t>
  </si>
  <si>
    <t xml:space="preserve">Valor total (R$)</t>
  </si>
  <si>
    <t xml:space="preserve">Linha da crítica / NF relacionada</t>
  </si>
  <si>
    <t xml:space="preserve">Enquadramento proposto</t>
  </si>
  <si>
    <t xml:space="preserve">Observação (v2)</t>
  </si>
  <si>
    <t xml:space="preserve">OPE154.pdf</t>
  </si>
  <si>
    <t xml:space="preserve">STEMAC S.A. Grupos Geradores (92.753.268/0052-62 – Itumbiara/GO)</t>
  </si>
  <si>
    <t xml:space="preserve">13107/2023 REV01 MM (FSP 973/2023)</t>
  </si>
  <si>
    <t xml:space="preserve">29/08/2023</t>
  </si>
  <si>
    <t xml:space="preserve">Grupo gerador diesel Global Lite 575/506 kVA, 440/254 V, em contêiner silenciado; Finame 04105372</t>
  </si>
  <si>
    <t xml:space="preserve">Linha 1 – NF 149420 (exata)</t>
  </si>
  <si>
    <t xml:space="preserve">M&amp;E (crítica)</t>
  </si>
  <si>
    <t xml:space="preserve">CNPJ da proposta difere do da NF (92.753.269/0052-02); garantia 12 meses; prazo 120 dias.</t>
  </si>
  <si>
    <t xml:space="preserve">OPE154_02.pdf</t>
  </si>
  <si>
    <t xml:space="preserve">RAS0045265 Rev. 7</t>
  </si>
  <si>
    <t xml:space="preserve">19/09/2023</t>
  </si>
  <si>
    <t xml:space="preserve">Bombas SCI: 2 × MEGACPK 250-200-500 com motor diesel MWM 6.12TCE 275 kW (B-3101A/B, Finame 03279333) + 1 Hydrobloc M A 604 (jockey, Finame 02171421)</t>
  </si>
  <si>
    <t xml:space="preserve">Linhas 2 e 3 – NF 526572 (exata)</t>
  </si>
  <si>
    <t xml:space="preserve">Planilha de preços grafa a jockey como B-1002; tanque 1.000 L e painéis NFPA 20 inclusos; start-up cotado à parte (3 diárias × R$ 2.850).</t>
  </si>
  <si>
    <t xml:space="preserve">OPE154_03.pdf</t>
  </si>
  <si>
    <t xml:space="preserve">RAS0051138 Rev. 7 (escopo) / planilha de preços Rev. 10</t>
  </si>
  <si>
    <t xml:space="preserve">19/09/2023 / 11/12/2023</t>
  </si>
  <si>
    <t xml:space="preserve">28 bombas de processo e drenagem com preço por TAG: 21 MEGACPK 125-080-315 / 100-065-315 / 125-100-315, 4 MEGAFLOW V 80-250 K, 1 MEGACPK 050-032-200.1 (H-31100), 2 MEGACPK 125-100-250 (B-3124/25); Finame 03279333</t>
  </si>
  <si>
    <t xml:space="preserve">Linhas 4 a 13 – NFs 34370, 34511 e 543048 (soma das NFs excede a cotação em R$ 71.060,00)</t>
  </si>
  <si>
    <t xml:space="preserve">Corrige o vínculo TAG × linha: linha 4 = B-3103..3108 + 3110..3115; linha 6 = B-3116/3117; linha 8 = B-3120/3122/3123; linha 9 = B-3121. Start-up cotado à parte (20 diárias × R$ 3.800 = R$ 76.000).</t>
  </si>
  <si>
    <t xml:space="preserve">OPE154_04.pdf</t>
  </si>
  <si>
    <t xml:space="preserve">Metroval Controle de Fluidos Ltda (58.762.956/0001-00)</t>
  </si>
  <si>
    <t xml:space="preserve">230200112STM-SC-RevE</t>
  </si>
  <si>
    <t xml:space="preserve">30/08/2023</t>
  </si>
  <si>
    <t xml:space="preserve">Conjunto de skids de carregamento rodoviário (top e bottom loading), ferroviário (vagões) e descarga com duas bombas + carregamento ferroviário; Finame 03204045</t>
  </si>
  <si>
    <t xml:space="preserve">Linha 14 (14a-14e) – 14 NFs do grupo (R$ 9.073.319,40)</t>
  </si>
  <si>
    <t xml:space="preserve">Prevê faturamento direto por Redlands, MKG, PHD Master e Ecoserv (explica as NFs desses emitentes na linha 14). Opção 5.1 sem preset Metroval (presets Toptech em campo).</t>
  </si>
  <si>
    <t xml:space="preserve">OPE154_05.pdf</t>
  </si>
  <si>
    <t xml:space="preserve">00638 (ident. 0171-23 Rev 04)</t>
  </si>
  <si>
    <t xml:space="preserve">17/01/2024</t>
  </si>
  <si>
    <t xml:space="preserve">6 selos flutuantes E037 em alumínio (2 × 14,4×13,33 m; 2 × 9,6×11,45 m; 2 × 9,6×7,63 m) R$ 546.941,16 + supervisão de montagem R$ 109.200,00 + frete R$ 101.183,92; Finame 03967780</t>
  </si>
  <si>
    <t xml:space="preserve">Linhas 15, 16 e 17 – NF 2739 (R$ 601.341,12; excesso de R$ 54.399,96 não explicado pela proposta)</t>
  </si>
  <si>
    <t xml:space="preserve">Garantia 5 anos só com montagem Romão; OPE154_16.pdf é cópia idêntica deste arquivo.</t>
  </si>
  <si>
    <t xml:space="preserve">OPE154_06.pdf</t>
  </si>
  <si>
    <t xml:space="preserve">Volga Engenharia Ind. e Com. Ltda (03.347.463/0001-12 – matriz GO)</t>
  </si>
  <si>
    <t xml:space="preserve">20230138 REV 6A (PT20230138-REV6)</t>
  </si>
  <si>
    <t xml:space="preserve">06/10/2023</t>
  </si>
  <si>
    <t xml:space="preserve">Subestação tipo eletrocentro ID10365_PALMEIRANTE; Finame 04037708</t>
  </si>
  <si>
    <t xml:space="preserve">Linha 18 – NFs 22 + 33 + 34 (exata)</t>
  </si>
  <si>
    <t xml:space="preserve">Sem preço por painel; DIFAL excluso; prazo 170 dias; NFs emitidas pela filial 0006-27.</t>
  </si>
  <si>
    <t xml:space="preserve">OPE154_07.pdf</t>
  </si>
  <si>
    <t xml:space="preserve">Chronus Automação (37.151.496/0001-04)</t>
  </si>
  <si>
    <t xml:space="preserve">Proposta técnica/comercial Rev. 03</t>
  </si>
  <si>
    <t xml:space="preserve">27/02/2024</t>
  </si>
  <si>
    <t xml:space="preserve">Projeto e montagem de 5 painéis: PNA-3104 CLP processo (S7-1500) R$ 120.000; PNA-3106 CLP segurança R$ 55.000; PNA-3103 switch rodoviário R$ 45.000; PNA-3102 switch ferroviário R$ 45.000; PNA-3101 switch portaria R$ 35.000</t>
  </si>
  <si>
    <t xml:space="preserve">Fora da crítica de M&amp;E (automação)</t>
  </si>
  <si>
    <t xml:space="preserve">Outros Fixos / automação</t>
  </si>
  <si>
    <t xml:space="preserve">Campo leu PNA 3102, 3103 e 3105; o PNA-3105 (radares) não está nesta proposta.</t>
  </si>
  <si>
    <t xml:space="preserve">OPE154_08.pdf</t>
  </si>
  <si>
    <t xml:space="preserve">Automind Automação Industrial Ltda (16.119.281/0001-36)</t>
  </si>
  <si>
    <t xml:space="preserve">PC-303-BX-003 Rev. 00</t>
  </si>
  <si>
    <t xml:space="preserve">22/02/2024</t>
  </si>
  <si>
    <t xml:space="preserve">Software do sistema de automação: iFix (2 servidores redundantes, 2 IGS, 2 clients) R$ 219.514,70 + STEP 7 Professional V19 + STEP 7 Safety Advanced V19</t>
  </si>
  <si>
    <t xml:space="preserve">Fora da crítica</t>
  </si>
  <si>
    <t xml:space="preserve">Software / intangível</t>
  </si>
  <si>
    <t xml:space="preserve">Não é bem físico; não entra no laudo de M&amp;E.</t>
  </si>
  <si>
    <t xml:space="preserve">OPE154_09.pdf</t>
  </si>
  <si>
    <t xml:space="preserve">Ecoserv Automação Industrial Ltda (49.842.939/0001-92)</t>
  </si>
  <si>
    <t xml:space="preserve">036/24</t>
  </si>
  <si>
    <t xml:space="preserve">09/02/2024</t>
  </si>
  <si>
    <t xml:space="preserve">32 monitores de aterramento completos (cabo espiralado e garra), R$ 12.090,00/un.</t>
  </si>
  <si>
    <t xml:space="preserve">Linha 14 – NF 110 Ecoserv (exata)</t>
  </si>
  <si>
    <t xml:space="preserve">M&amp;E (linha 14 – componentes XS/KFW)</t>
  </si>
  <si>
    <t xml:space="preserve">Identifica a NF 110; equipamento lido em campo como KFW SLA-S-Y (XS-xxxx).</t>
  </si>
  <si>
    <t xml:space="preserve">OPE154_10.pdf</t>
  </si>
  <si>
    <t xml:space="preserve">Mamuth Transporte de Máquinas Ltda</t>
  </si>
  <si>
    <t xml:space="preserve">PMT 517/24</t>
  </si>
  <si>
    <t xml:space="preserve">26/02/2024</t>
  </si>
  <si>
    <t xml:space="preserve">Locação de guindaste telescópico 100 t com operador e rigger, mínimo 6 meses</t>
  </si>
  <si>
    <t xml:space="preserve">Serviço (montagem)</t>
  </si>
  <si>
    <t xml:space="preserve">Locação – não é bem.</t>
  </si>
  <si>
    <t xml:space="preserve">OPE154_11.pdf</t>
  </si>
  <si>
    <t xml:space="preserve">Kidde Brasil Ltda (66.220.047/0001-79)</t>
  </si>
  <si>
    <t xml:space="preserve">DS_240312 REV(3)</t>
  </si>
  <si>
    <t xml:space="preserve">25/01/2024</t>
  </si>
  <si>
    <t xml:space="preserve">SDAI – central de detecção e alarme GST200N-2, repetidora, 20 + 19 acionadores manuais, 2 sirenes, módulos; projeto, instrução e comissionamento</t>
  </si>
  <si>
    <t xml:space="preserve">Fora da crítica de M&amp;E</t>
  </si>
  <si>
    <t xml:space="preserve">Outros Fixos / SCI (detecção e alarme)</t>
  </si>
  <si>
    <t xml:space="preserve">Material importado R$ 113.012,69 + serviços R$ 52.802,89.</t>
  </si>
  <si>
    <t xml:space="preserve">OPE154_12.pdf</t>
  </si>
  <si>
    <t xml:space="preserve">Endress+Hauser Controle e Automação Ltda (49.423.619/0001-06)</t>
  </si>
  <si>
    <t xml:space="preserve">2003681568 REV.05</t>
  </si>
  <si>
    <t xml:space="preserve">13/12/2023</t>
  </si>
  <si>
    <t xml:space="preserve">Transmissores de nível radar NMR84 (flange 4", 4-20 mA/fieldbus, AISI 316L, IP68) R$ 778.944,33 + instalação R$ 117.508,37</t>
  </si>
  <si>
    <t xml:space="preserve">Outros Fixos / instrumentação de tanques</t>
  </si>
  <si>
    <t xml:space="preserve">Instrumentação do PNA-3105 (painel de automação radares) lido em campo.</t>
  </si>
  <si>
    <t xml:space="preserve">OPE154_13.pdf</t>
  </si>
  <si>
    <t xml:space="preserve">Solo Engenharia Ltda (08.743.714/0001-00)</t>
  </si>
  <si>
    <t xml:space="preserve">158.2023 REV.07</t>
  </si>
  <si>
    <t xml:space="preserve">02/02/2024</t>
  </si>
  <si>
    <t xml:space="preserve">Montagem de tanques (fundo, teto domo, costado, acessórios, teste hidrostático, anéis aspersores, pintura) e selo flutuante; 240 dias</t>
  </si>
  <si>
    <t xml:space="preserve">Serviço (montagem de tanques)</t>
  </si>
  <si>
    <t xml:space="preserve">Solo = fabricante que assina as placas dos tanques; itens de locação e insumos com faturamento direto.</t>
  </si>
  <si>
    <t xml:space="preserve">OPE154_14.pdf</t>
  </si>
  <si>
    <t xml:space="preserve">RI Engenharia e Montagens (13.384.574/0001-52)</t>
  </si>
  <si>
    <t xml:space="preserve">Proposta comercial Rev. 03</t>
  </si>
  <si>
    <t xml:space="preserve">12/03/2024</t>
  </si>
  <si>
    <t xml:space="preserve">Serviços de montagem eletromecânica, elétrica e instrumentação – Terminal Palmeirante</t>
  </si>
  <si>
    <t xml:space="preserve">CNPJ impresso com formatação irregular (133.845.74/0001-52).</t>
  </si>
  <si>
    <t xml:space="preserve">OPE154_15.pdf</t>
  </si>
  <si>
    <t xml:space="preserve">DV 24.03.078 Rev. 2</t>
  </si>
  <si>
    <t xml:space="preserve">21/02/2024</t>
  </si>
  <si>
    <t xml:space="preserve">Câmaras de espuma padrão Petrobras N-1203: 6 × MCS-17, 2 × MCS-33, 2 × MCS-9, com defletores</t>
  </si>
  <si>
    <t xml:space="preserve">Outros Fixos / SCI (câmaras de espuma dos tanques)</t>
  </si>
  <si>
    <t xml:space="preserve">10 câmaras para os tanques de teto fixo.</t>
  </si>
  <si>
    <t xml:space="preserve">OPE154_16.pdf</t>
  </si>
  <si>
    <t xml:space="preserve">00638 Rev 04 (cópia)</t>
  </si>
  <si>
    <t xml:space="preserve">Cópia idêntica do OPE154_05.pdf</t>
  </si>
  <si>
    <t xml:space="preserve">Linhas 15-17</t>
  </si>
  <si>
    <t xml:space="preserve">Arquivo duplicado (mesmo conteúdo e tamanho).</t>
  </si>
  <si>
    <t xml:space="preserve">OPE154_17.pdf</t>
  </si>
  <si>
    <t xml:space="preserve">MEMPS Estruturas Metálicas (São Luís/MA) – aceite por Kalli Ind. e Serviços (34.112.492/0001-29)</t>
  </si>
  <si>
    <t xml:space="preserve">EM 120 2023 Rev. 09 (PQ-E037-BPA-GG-010)</t>
  </si>
  <si>
    <t xml:space="preserve">31/08/2023</t>
  </si>
  <si>
    <t xml:space="preserve">Fornecimento de chapas e pré-fabricação de 13 tanques (TQ-3101 a TQ-3112 e TQ-3120): fundo, costado, teto, bocais, escadas, plataformas, pintura</t>
  </si>
  <si>
    <t xml:space="preserve">Instalações (tanques) / serviço</t>
  </si>
  <si>
    <t xml:space="preserve">Base para a caracterização dos tanques (pesos de chapas e bocais por TQ); matéria-prima A36 com faturamento direto.</t>
  </si>
  <si>
    <t xml:space="preserve">OPE154_18.pdf</t>
  </si>
  <si>
    <t xml:space="preserve">Tecnofluid do Brasil Ltda (01.988.655/0001-82) via HLE Equipamentos (43.625.829/0001-92)</t>
  </si>
  <si>
    <t xml:space="preserve">0027194 Rev. 2</t>
  </si>
  <si>
    <t xml:space="preserve">14/02/2024</t>
  </si>
  <si>
    <t xml:space="preserve">Chaves de nível tipo deslocador CND-L-111 (LSHH-3101 a 3112, 12 un.) e bóia magnética CBM (LSHL-3190/3191)</t>
  </si>
  <si>
    <t xml:space="preserve">TAGs por tanque; sensores namur Ex ia.</t>
  </si>
  <si>
    <t xml:space="preserve">OPE154_19.pdf</t>
  </si>
  <si>
    <t xml:space="preserve">Spraying Systems do Brasil (52.462.215/0001-28)</t>
  </si>
  <si>
    <t xml:space="preserve">COT-12238-V8Y9V Rev. 03</t>
  </si>
  <si>
    <t xml:space="preserve">Bicos projetores de combate a incêndio (aspersores do costado): 432 × 90° 3/8" + 168 × 120° 1/4" + 36 × 120° 3/8"</t>
  </si>
  <si>
    <t xml:space="preserve">Outros Fixos / SCI (anéis aspersores)</t>
  </si>
  <si>
    <t xml:space="preserve">636 bicos para os anéis de resfriamento dos tanques.</t>
  </si>
  <si>
    <t xml:space="preserve">OPE154_20.pdf</t>
  </si>
  <si>
    <t xml:space="preserve">A.G. Gerenciamento (06.111.305/0001-57) – Consolidated/Baker Hughes e Leser</t>
  </si>
  <si>
    <t xml:space="preserve">51 Rev02 (BPA-0007-D)</t>
  </si>
  <si>
    <t xml:space="preserve">09/04/2024</t>
  </si>
  <si>
    <t xml:space="preserve">Válvulas de alívio térmico: 23 Valvepress 3/4"×1" + 4 Leser 3/4"×1" + limpadores</t>
  </si>
  <si>
    <t xml:space="preserve">Outros Fixos / tubulação</t>
  </si>
  <si>
    <t xml:space="preserve">TAGs TSV-3124/3125/3126 citadas; nota técnica sobre contrapressão.</t>
  </si>
  <si>
    <t xml:space="preserve">OPE154_21.pdf</t>
  </si>
  <si>
    <t xml:space="preserve">Protego Brasil (14.325.185/0001-19) via AG Gerenciamento</t>
  </si>
  <si>
    <t xml:space="preserve">006521 Rev. 7</t>
  </si>
  <si>
    <t xml:space="preserve">13/11/2023 (rev. 7)</t>
  </si>
  <si>
    <t xml:space="preserve">Válvulas de alívio de pressão/vácuo com corta-chamas VD/TS 8" e 10", válvulas de vácuo V/SV-AD 8", respiros de emergência ER/V 28", corta-chamas LH/AD 6" (tanques 3101/3102, 3105/3106, 3107/3108)</t>
  </si>
  <si>
    <t xml:space="preserve">Outros Fixos / acessórios de tanques</t>
  </si>
  <si>
    <t xml:space="preserve">TAGs PVSV-3101/3102/3107/3108, PSV-3101/3102/3105-3108, XSE-3105/3106.</t>
  </si>
  <si>
    <t xml:space="preserve">OPE154_22.pdf</t>
  </si>
  <si>
    <t xml:space="preserve">Smart Control Ind. (válvulas e filtros)</t>
  </si>
  <si>
    <t xml:space="preserve">sem número (pág. de preços)</t>
  </si>
  <si>
    <t xml:space="preserve">s/d (2024)</t>
  </si>
  <si>
    <t xml:space="preserve">Figuras 8 (4", 6", 8") e filtros T 150# 6" (10 un.), 8" (9 un.), 10" (5 un.)</t>
  </si>
  <si>
    <t xml:space="preserve">Fora da crítica de M&amp;E (ver NF 26460 MKG)</t>
  </si>
  <si>
    <t xml:space="preserve">Outros Fixos / tubulação (filtros)</t>
  </si>
  <si>
    <t xml:space="preserve">Em campo os filtros são MKG (NF 26460, R$ 193.140,00) – esta cotação Smart Control provavelmente não foi contratada.</t>
  </si>
  <si>
    <t xml:space="preserve">OPE154_23.pdf</t>
  </si>
  <si>
    <t xml:space="preserve">Smart Control Ind.</t>
  </si>
  <si>
    <t xml:space="preserve">Válvulas, conexões e acessórios (pacote)</t>
  </si>
  <si>
    <t xml:space="preserve">Instalações (tubulação)</t>
  </si>
  <si>
    <t xml:space="preserve">Pacote de materiais de tubulação.</t>
  </si>
  <si>
    <t xml:space="preserve">OPE154_24.pdf</t>
  </si>
  <si>
    <t xml:space="preserve">Tubos Ipiranga Ind. e Com. Ltda (01.477.885/0001-87)</t>
  </si>
  <si>
    <t xml:space="preserve">VSS 3770 REV 04</t>
  </si>
  <si>
    <t xml:space="preserve">19/01/2024</t>
  </si>
  <si>
    <t xml:space="preserve">Pacote de tubos, conexões e acessórios (CAPEX)</t>
  </si>
  <si>
    <t xml:space="preserve">IPI 3,25 %; ICMS 4 % importado / 7 % nacional.</t>
  </si>
  <si>
    <t xml:space="preserve">OPE154_25.pdf</t>
  </si>
  <si>
    <t xml:space="preserve">(fornecedor não identificado no texto) – proposta 274590, Vinícius Maia</t>
  </si>
  <si>
    <t xml:space="preserve">274590</t>
  </si>
  <si>
    <t xml:space="preserve">19/02/2024</t>
  </si>
  <si>
    <t xml:space="preserve">133 itens de conexões: acoplamentos ranhurados, curvas, flanges, luvas, reduções, tês</t>
  </si>
  <si>
    <t xml:space="preserve">Lista de conexões para a rede de incêndio (ranhurado AWWA C606) e processo.</t>
  </si>
  <si>
    <t xml:space="preserve">OPE154_26.pdf</t>
  </si>
  <si>
    <t xml:space="preserve">Silkdelic (07.435.267/0001-50)</t>
  </si>
  <si>
    <t xml:space="preserve">Orçamento 07/02/2024</t>
  </si>
  <si>
    <t xml:space="preserve">07/02/2024</t>
  </si>
  <si>
    <t xml:space="preserve">402 placas de sinalização em PVC</t>
  </si>
  <si>
    <t xml:space="preserve">Outros Fixos / sinalização</t>
  </si>
  <si>
    <t xml:space="preserve">OPE154_27.pdf</t>
  </si>
  <si>
    <t xml:space="preserve">Vidrak Visores de Vidros Industriais Ltda (22.633.336/0001-24)</t>
  </si>
  <si>
    <t xml:space="preserve">184481 (cotação cliente BPA-0041-24)</t>
  </si>
  <si>
    <t xml:space="preserve">32 visores de fluxo 4" flangeados: 28 "Ferroviária" + 4 "Rodoviária"</t>
  </si>
  <si>
    <t xml:space="preserve">Linha 14e (projeto LI-3100-6107: visores H-3177 a 31204)</t>
  </si>
  <si>
    <t xml:space="preserve">Outros Fixos / acessórios de carregamento</t>
  </si>
  <si>
    <t xml:space="preserve">Correlato ao desvio ferroviário.</t>
  </si>
  <si>
    <t xml:space="preserve">OPE154_28.pdf</t>
  </si>
  <si>
    <t xml:space="preserve">VSS 3770 REV 04 (complemento)</t>
  </si>
  <si>
    <t xml:space="preserve">15/02/2024</t>
  </si>
  <si>
    <t xml:space="preserve">Meias-luvas e tampões (21 itens)</t>
  </si>
  <si>
    <t xml:space="preserve">OPE154_29.pdf</t>
  </si>
  <si>
    <t xml:space="preserve">D C Vecchi / Vecchi Ambiental (22.359.605/0001-06)</t>
  </si>
  <si>
    <t xml:space="preserve">PTC-24026 Rev. 03</t>
  </si>
  <si>
    <t xml:space="preserve">Separador de água e óleo em aço carbono com placas coalescentes, 50 m³/h, 4.500 × 1.500 × 1.400 mm</t>
  </si>
  <si>
    <t xml:space="preserve">Outros Fixos / tratamento de efluentes</t>
  </si>
  <si>
    <t xml:space="preserve">Possível ligação com as elevatórias de efluentes (PN-3105/3106 e bombas Megaflow).</t>
  </si>
  <si>
    <t xml:space="preserve">OPE154_30.pdf</t>
  </si>
  <si>
    <t xml:space="preserve">Tecnofluid do Brasil Ltda via HLE</t>
  </si>
  <si>
    <t xml:space="preserve">0027247</t>
  </si>
  <si>
    <t xml:space="preserve">Régua de medição de nível 3,5 m em alumínio, antifaísca, com certificado RBC</t>
  </si>
  <si>
    <t xml:space="preserve">Ferramental / instrumentação</t>
  </si>
  <si>
    <t xml:space="preserve">OPE154_31.pdf</t>
  </si>
  <si>
    <t xml:space="preserve">Total Equip. e Acess. Industriais Ltda (07.597.419/0001-11)</t>
  </si>
  <si>
    <t xml:space="preserve">021737 (RFP BPA-0013-24 Rev. 4)</t>
  </si>
  <si>
    <t xml:space="preserve">33 manômetros inox 115 mm e 21 pressostatos diferenciais Zurich Ex</t>
  </si>
  <si>
    <t xml:space="preserve">Outros Fixos / instrumentação</t>
  </si>
  <si>
    <t xml:space="preserve">OPE154_32.pdf</t>
  </si>
  <si>
    <t xml:space="preserve">036/24 Rev. 00</t>
  </si>
  <si>
    <t xml:space="preserve">20/02/2024</t>
  </si>
  <si>
    <t xml:space="preserve">4 amostradores "sampler" de hidrocarboneto KFW para skid de descarga, R$ 25.000,00/un.</t>
  </si>
  <si>
    <t xml:space="preserve">Linha 14d – NF 142 Ecoserv (exata)</t>
  </si>
  <si>
    <t xml:space="preserve">M&amp;E (linha 14 – componente do skid de descarga)</t>
  </si>
  <si>
    <t xml:space="preserve">Identifica a NF 142.</t>
  </si>
  <si>
    <t xml:space="preserve">OPE154_33.pdf</t>
  </si>
  <si>
    <t xml:space="preserve">FGFLEX Ind. e Com. de Mangueiras Industriais Ltda (35.717.443/0001-82)</t>
  </si>
  <si>
    <t xml:space="preserve">240302887 Rev. 02</t>
  </si>
  <si>
    <t xml:space="preserve">23/02/2024</t>
  </si>
  <si>
    <t xml:space="preserve">32 mangueiras 4" × 5 m PTFE 150 psi (R$ 4.406,75) + 4 mangueiras 3" × 6 m (R$ 5.651,29)</t>
  </si>
  <si>
    <t xml:space="preserve">Outros Fixos / mangueiras de carregamento</t>
  </si>
  <si>
    <t xml:space="preserve">Valor total com IPI.</t>
  </si>
  <si>
    <t xml:space="preserve">OPE154_34.pdf</t>
  </si>
  <si>
    <t xml:space="preserve">Alpha Equipamentos Elétricos Ltda (47.876.552/0001-21)</t>
  </si>
  <si>
    <t xml:space="preserve">ALP-0868/24 R4</t>
  </si>
  <si>
    <t xml:space="preserve">22/01/2024</t>
  </si>
  <si>
    <t xml:space="preserve">15 caixas de ligação Ex em alumínio + 8 painéis Ex eletrônica IP67</t>
  </si>
  <si>
    <t xml:space="preserve">Outros Fixos / elétrica Ex</t>
  </si>
  <si>
    <t xml:space="preserve">OPE154_35.pdf</t>
  </si>
  <si>
    <t xml:space="preserve">Abastek Automação Ltda (26.179.697/0001-01) – Unidata</t>
  </si>
  <si>
    <t xml:space="preserve">1.817 (RFP BPA-0058-24)</t>
  </si>
  <si>
    <t xml:space="preserve">16/02/2024</t>
  </si>
  <si>
    <t xml:space="preserve">2 controladores de acesso UCA 330 touchscreen IP66</t>
  </si>
  <si>
    <t xml:space="preserve">Outros Fixos / controle de acesso</t>
  </si>
  <si>
    <t xml:space="preserve">OPE154_36.pdf</t>
  </si>
  <si>
    <t xml:space="preserve">Pepperl+Fuchs Ltda (64.126.675/0001-64)</t>
  </si>
  <si>
    <t xml:space="preserve">9902090201</t>
  </si>
  <si>
    <t xml:space="preserve">15/01/2024</t>
  </si>
  <si>
    <t xml:space="preserve">3 smartphones Ex Smart-Ex 02 DZ1 + capas</t>
  </si>
  <si>
    <t xml:space="preserve">Móveis e utensílios / TI</t>
  </si>
  <si>
    <t xml:space="preserve">OPE154_37.pdf</t>
  </si>
  <si>
    <t xml:space="preserve">Ingram Micro Brasil Ltda (01.771.935/0010-25)</t>
  </si>
  <si>
    <t xml:space="preserve">Proposta 23/02/2024</t>
  </si>
  <si>
    <t xml:space="preserve">1 tablet Samsung Galaxy Tab Active3 64 GB</t>
  </si>
  <si>
    <t xml:space="preserve">TI</t>
  </si>
  <si>
    <t xml:space="preserve">OPE154_38.pdf</t>
  </si>
  <si>
    <t xml:space="preserve">Redlands do Brasil Ind. e Com. Ltda (01.203.871/0001-75)</t>
  </si>
  <si>
    <t xml:space="preserve">0760/24 Rev.01 (RC 1900020934)</t>
  </si>
  <si>
    <t xml:space="preserve">10/01/2024</t>
  </si>
  <si>
    <t xml:space="preserve">21 escadas pantográficas PF-1604, 4 degraus, 150 kg, R$ 11.495,00/un.</t>
  </si>
  <si>
    <t xml:space="preserve">Linha 14 – NF 11642 Redlands (exata)</t>
  </si>
  <si>
    <t xml:space="preserve">M&amp;E (linha 14 – acessório das plataformas) ou Outros Fixos</t>
  </si>
  <si>
    <t xml:space="preserve">Identifica a NF 11642; a proposta não inclui braços de carregamento.</t>
  </si>
  <si>
    <t xml:space="preserve">OPE154_39.pdf</t>
  </si>
  <si>
    <t xml:space="preserve">006521 Rev. 7 – variante "opção para atendimento da API 2000 7ª ed." (tabela de preços em imagem)</t>
  </si>
  <si>
    <t xml:space="preserve">13/01/2024</t>
  </si>
  <si>
    <t xml:space="preserve">Calotas respiro à prova de deflagração LH/AD ACA216 em aço carbono WCB, tela inox, IIB3, 60 °C: 1 × flange 2" (R$ 6.880,00), 1 × flange 8" (R$ 21.380,00), 17 × 2" (R$ 116.960,00) + 1 válvula de segurança/alívio de vácuo com corta-chamas Protego V/SV-AD-IIB3, flange 3" 150#, set −2,2 mbar, 120 Nm³/h (R$ 15.310,00); entrega 14/09/2024</t>
  </si>
  <si>
    <t xml:space="preserve">NÃO é cópia do OPE154_21: mesmo nº de orçamento e revisão, mas itens e valor diferentes. Tabela só legível por imagem (lida em 13/10/2026).</t>
  </si>
  <si>
    <t xml:space="preserve">OPE154_40.pdf</t>
  </si>
  <si>
    <t xml:space="preserve">Naville Iluminação / EWRBOT (05.284.514/0001-30) – Sermatex</t>
  </si>
  <si>
    <t xml:space="preserve">88097 Rev1</t>
  </si>
  <si>
    <t xml:space="preserve">29/02/2024</t>
  </si>
  <si>
    <t xml:space="preserve">11 botões de emergência Sermatex SGEX22GBETRN11 1NA+1NF, R$ 744,11/un. com ST e IPI</t>
  </si>
  <si>
    <t xml:space="preserve">Linha 14e (crítica cita 6 botoeiras de emergência)</t>
  </si>
  <si>
    <t xml:space="preserve">Outros Fixos / elétrica</t>
  </si>
  <si>
    <t xml:space="preserve">Fornecedor distinto da Metroval.</t>
  </si>
  <si>
    <t xml:space="preserve">OPE154_41.pdf</t>
  </si>
  <si>
    <t xml:space="preserve">A.G. Gerenciamento (06.111.305/0001-57) – Mankenberg</t>
  </si>
  <si>
    <t xml:space="preserve">98 Rev01 (AGM 1116)</t>
  </si>
  <si>
    <t xml:space="preserve">23/01/2024</t>
  </si>
  <si>
    <t xml:space="preserve">17 eliminadores de ar automáticos inox 16 kgf/cm² BSP 3/4"</t>
  </si>
  <si>
    <t xml:space="preserve">Proposta registra dúvida de aplicação (purgador × ventosa).</t>
  </si>
  <si>
    <t xml:space="preserve">OPE154_42.pdf</t>
  </si>
  <si>
    <t xml:space="preserve">Granville Equipamentos de Segurança Ltda (44.471.407/0001-72)</t>
  </si>
  <si>
    <t xml:space="preserve">Cotação 22/01/2024</t>
  </si>
  <si>
    <t xml:space="preserve">40 troles manuais LEA 1,5 t (trava-quedas das plataformas), R$ 1.117,00/un.</t>
  </si>
  <si>
    <t xml:space="preserve">Linhas 14a/14b (LI-3100-6107: trole com trava-quedas PLCCT-01/02)</t>
  </si>
  <si>
    <t xml:space="preserve">Outros Fixos / segurança das plataformas</t>
  </si>
  <si>
    <t xml:space="preserve">OPE154_43.pdf</t>
  </si>
  <si>
    <t xml:space="preserve">H &amp; M Peças e Serviços Ltda (13.751.804/0001-74)</t>
  </si>
  <si>
    <t xml:space="preserve">3799-B</t>
  </si>
  <si>
    <t xml:space="preserve">74 chuveiros/lava-olhos de emergência de piso NPT 1", R$ 1.436,50/un.</t>
  </si>
  <si>
    <t xml:space="preserve">Linha 12 (pontos alimentados pela B-31100)</t>
  </si>
  <si>
    <t xml:space="preserve">Outros Fixos / segurança</t>
  </si>
  <si>
    <t xml:space="preserve">Desconto de 15 % negociado para 30/60 DDL.</t>
  </si>
  <si>
    <t xml:space="preserve">OPE154_44.pdf</t>
  </si>
  <si>
    <t xml:space="preserve">HCI – Hidráulica Conexões Industriais Ltda (62.312.426/0001-38)</t>
  </si>
  <si>
    <t xml:space="preserve">459134 Rev. 4 (BPA-0020-D-23)</t>
  </si>
  <si>
    <t xml:space="preserve">Tubulação e conexões (planilha anexa)</t>
  </si>
  <si>
    <t xml:space="preserve">OPE154_45.pdf</t>
  </si>
  <si>
    <t xml:space="preserve">Açotubo (proposta PPU – Guarulhos)</t>
  </si>
  <si>
    <t xml:space="preserve">PPU 28/02/2024</t>
  </si>
  <si>
    <t xml:space="preserve">28/02/2024</t>
  </si>
  <si>
    <t xml:space="preserve">Conexões roscadas e de solda (18 itens)</t>
  </si>
  <si>
    <t xml:space="preserve">IPI excluso.</t>
  </si>
  <si>
    <t xml:space="preserve">OPE154_46.pdf</t>
  </si>
  <si>
    <t xml:space="preserve">Cofermeta Tubos, Conexões e Válvulas (27.999.486/0001-70)</t>
  </si>
  <si>
    <t xml:space="preserve">0045/2024</t>
  </si>
  <si>
    <t xml:space="preserve">26/01/2024</t>
  </si>
  <si>
    <t xml:space="preserve">Juntas de vedação PTFE e celulose-NBR, junta de expansão (25 itens)</t>
  </si>
  <si>
    <t xml:space="preserve">OPE154_47.pdf</t>
  </si>
  <si>
    <t xml:space="preserve">Berlinck Rio Comercial Ltda (04.914.133/0001-24)</t>
  </si>
  <si>
    <t xml:space="preserve">Proposta 25/03/2024 (RFP BPA-0035-24)</t>
  </si>
  <si>
    <t xml:space="preserve">25/03/2024</t>
  </si>
  <si>
    <t xml:space="preserve">Placas de orifício de restrição WIKA: 2 × 2" + 7 × 6"</t>
  </si>
  <si>
    <t xml:space="preserve">OPE154_48.pdf</t>
  </si>
  <si>
    <t xml:space="preserve">Tubos Ipiranga Ind. e Com. Ltda (01.477.885/0006-91)</t>
  </si>
  <si>
    <t xml:space="preserve">VSS 3901 REV01</t>
  </si>
  <si>
    <t xml:space="preserve">28/06/2024</t>
  </si>
  <si>
    <t xml:space="preserve">Válvulas de esfera, gaveta e retenção, tubos, conexões, prisioneiros (90 itens)</t>
  </si>
  <si>
    <t xml:space="preserve">Instalações (tubulação e válvulas)</t>
  </si>
  <si>
    <t xml:space="preserve">118 válvulas de esfera 4" 150# (R$ 246.537,40) + 42 retenções wafer 4".</t>
  </si>
  <si>
    <t xml:space="preserve">OPE154_49.pdf</t>
  </si>
  <si>
    <t xml:space="preserve">Planeta Distribuidora e Soluções (36.360.046/0001-69)</t>
  </si>
  <si>
    <t xml:space="preserve">9152</t>
  </si>
  <si>
    <t xml:space="preserve">7 suportes de TV</t>
  </si>
  <si>
    <t xml:space="preserve">Móveis e utensílios</t>
  </si>
  <si>
    <t xml:space="preserve">Soma das propostas listadas (inclui serviços, duplicata e itens fora da crítica – apenas conferência)</t>
  </si>
  <si>
    <t xml:space="preserve">Soma das propostas que cobrem a crítica de M&amp;E (STEMAC + KSB ×2 + Metroval + Romão selos + VOLGA)</t>
  </si>
  <si>
    <t xml:space="preserve">Total da crítica de M&amp;E (RT GEREN/COSAN 2024/189)</t>
  </si>
  <si>
    <t xml:space="preserve">Diferença cotações − crítica (1 centavo = arredondamento da KSB)</t>
  </si>
  <si>
    <t xml:space="preserve">Achados, correções e proposições da v2 (12/10/2026) – tudo em roxo = contextualização/decisão do avaliador a partir das cotações OPE154 e da base de 07/10.</t>
  </si>
  <si>
    <t xml:space="preserve">Nº</t>
  </si>
  <si>
    <t xml:space="preserve">Linha(s)</t>
  </si>
  <si>
    <t xml:space="preserve">Tipo</t>
  </si>
  <si>
    <t xml:space="preserve">Descrição</t>
  </si>
  <si>
    <t xml:space="preserve">Fonte</t>
  </si>
  <si>
    <t xml:space="preserve">Efeito / ação</t>
  </si>
  <si>
    <t xml:space="preserve">A01</t>
  </si>
  <si>
    <t xml:space="preserve">4, 6</t>
  </si>
  <si>
    <t xml:space="preserve">CORREÇÃO</t>
  </si>
  <si>
    <t xml:space="preserve">As 12 bombas de R$ 101.981,67 (linha 4) são B-3103, 3104, 3105, 3106, 3107, 3108, 3110, 3111, 3112, 3113, 3114 e 3115; as 2 de R$ 87.358,35 (linha 6) são B-3116 e B-3117. A base de 07/10 trocava B-3111/3112 por B-3116/3117.</t>
  </si>
  <si>
    <t xml:space="preserve">KSB RAS0051138, planilha de preços Rev. 10 (11/12/2023), itens 1-15</t>
  </si>
  <si>
    <t xml:space="preserve">Refaz o vínculo TAG × linha; componentes B-3111/3112 passam à linha 4 e B-3116/3117 à linha 6 (linhas da base mantidas, correção anotada em roxo).</t>
  </si>
  <si>
    <t xml:space="preserve">A02</t>
  </si>
  <si>
    <t xml:space="preserve">8, 9</t>
  </si>
  <si>
    <t xml:space="preserve">Linha 8 (3 × R$ 102.853,99) = B-3120, B-3122 e B-3123; linha 9 (R$ 102.010,24) = B-3121. A base dividia 3120/3121/3122 × 3123.</t>
  </si>
  <si>
    <t xml:space="preserve">KSB RAS0051138 Rev. 10, itens 18-21</t>
  </si>
  <si>
    <t xml:space="preserve">A03</t>
  </si>
  <si>
    <t xml:space="preserve">4 a 13</t>
  </si>
  <si>
    <t xml:space="preserve">ACHADO</t>
  </si>
  <si>
    <t xml:space="preserve">A soma da cotação KSB (R$ 2.630.491,47) é igual à soma das linhas 4-13 da crítica (1 centavo de diferença): a crítica foi montada a partir dessa planilha de preços. As 3 NFs KSB somam R$ 2.701.551,48 – excesso de R$ 71.060,00 do processo inteiro, sem contrapartida na cotação.</t>
  </si>
  <si>
    <t xml:space="preserve">KSB RAS0051138 Rev. 10; NF_ME</t>
  </si>
  <si>
    <t xml:space="preserve">Pedir NF 543048 detalhada; o excesso não é frete (CIF) nem start-up (R$ 76.000 cotado à parte).</t>
  </si>
  <si>
    <t xml:space="preserve">A04</t>
  </si>
  <si>
    <t xml:space="preserve">11, 12</t>
  </si>
  <si>
    <t xml:space="preserve">DIVERGÊNCIA</t>
  </si>
  <si>
    <t xml:space="preserve">Finame: crítica cita 02171533 nas linhas 11 e 12; a cotação KSB usa 03279333 para todas as 28 bombas.</t>
  </si>
  <si>
    <t xml:space="preserve">KSB RAS0051138 Rev. 10</t>
  </si>
  <si>
    <t xml:space="preserve">Registrar; conferir o código Finame no cadastro BNDES do modelo Megaflow V e da 050-032-200.1.</t>
  </si>
  <si>
    <t xml:space="preserve">A05</t>
  </si>
  <si>
    <t xml:space="preserve">Três identificadores para a mesma bomba: H-31100 (cotação KSB), B-31100 (LI-3100-6107) e "BOMBA 3160" (botoeira).</t>
  </si>
  <si>
    <t xml:space="preserve">KSB RAS0051138 item 24; base T45</t>
  </si>
  <si>
    <t xml:space="preserve">Usar B-31100 no laudo e citar os outros dois.</t>
  </si>
  <si>
    <t xml:space="preserve">A06</t>
  </si>
  <si>
    <t xml:space="preserve">2, 3</t>
  </si>
  <si>
    <t xml:space="preserve">Motor diesel das B-3101A/B = MWM 6.12TCE 275 kW 1800 rpm; tanques de 1.000 L fazem parte do fornecimento KSB; jockey Hydrobloc M A 604 monobloco com motor WEG. NF 526572 = cotação (R$ 850.000,00).</t>
  </si>
  <si>
    <t xml:space="preserve">KSB RAS0045265 Rev. 7 (19/09/2023)</t>
  </si>
  <si>
    <t xml:space="preserve">Preenche os dados de placa não lidos; TQ-3122/3123 não são bem à parte.</t>
  </si>
  <si>
    <t xml:space="preserve">A07</t>
  </si>
  <si>
    <t xml:space="preserve">CNPJ de faturamento na proposta STEMAC (92.753.268/0052-62, Itumbiara/GO) difere do CNPJ da NF 149420 (92.753.269/0052-02).</t>
  </si>
  <si>
    <t xml:space="preserve">STEMAC 13107/2023 REV01</t>
  </si>
  <si>
    <t xml:space="preserve">Conferir no XML da NF.</t>
  </si>
  <si>
    <t xml:space="preserve">A08</t>
  </si>
  <si>
    <t xml:space="preserve">A proposta Metroval prevê faturamento direto por Redlands, MKG, PHD Master e Ecoserv – explica as NFs desses emitentes dentro da linha 14. TSPRO não consta da lista.</t>
  </si>
  <si>
    <t xml:space="preserve">Metroval 230200112STM-SC-RevE, item 7.2</t>
  </si>
  <si>
    <t xml:space="preserve">As NFs Redlands/MKG/PHD/Ecoserv são parte do pacote Metroval, não compras avulsas; TSPRO (R$ 305.750,34) é compra adicional ou substituição.</t>
  </si>
  <si>
    <t xml:space="preserve">A09</t>
  </si>
  <si>
    <t xml:space="preserve">NFs identificadas pelo OPE154: 11642 Redlands = 21 escadas pantográficas PF-1604 (R$ 241.395,00 exatos); 110 Ecoserv = 32 monitores de aterramento (R$ 386.880,00 exatos); 142 Ecoserv = 4 amostradores KFW do skid de descarga (R$ 100.000,00 exatos).</t>
  </si>
  <si>
    <t xml:space="preserve">Redlands 0760/24; Ecoserv 036/24 (09/02 e 20/02/2024)</t>
  </si>
  <si>
    <t xml:space="preserve">Aba NF_ME atualizada (coluna I).</t>
  </si>
  <si>
    <t xml:space="preserve">A10</t>
  </si>
  <si>
    <t xml:space="preserve">13, 14d</t>
  </si>
  <si>
    <t xml:space="preserve">PROPOSIÇÃO</t>
  </si>
  <si>
    <t xml:space="preserve">A Metroval registra que a Ultracargo compraria diretamente alguns equipamentos; a KSB cotou B-3124/25 no pacote de bombas. As "duas bombas" do skid 14d são provavelmente as da linha 13: sobreposição descritiva, não necessariamente de valor.</t>
  </si>
  <si>
    <t xml:space="preserve">Metroval item 5; KSB RAS0051138 item 25; ANP Fig. 175-178</t>
  </si>
  <si>
    <t xml:space="preserve">Manter a ressalva até a composição da NF PHD 1551.</t>
  </si>
  <si>
    <t xml:space="preserve">A11</t>
  </si>
  <si>
    <t xml:space="preserve">A proposta Metroval diz "duas unidades de skid" para vagões no texto e "1 unidade" na composição de preço; crítica e placa Metroval confirmam 1 unidade de 4 pontos.</t>
  </si>
  <si>
    <t xml:space="preserve">Metroval 230200112STM-SC-RevE, itens 4(c) e 6</t>
  </si>
  <si>
    <t xml:space="preserve">Registrar como erro de texto da proposta.</t>
  </si>
  <si>
    <t xml:space="preserve">A12</t>
  </si>
  <si>
    <t xml:space="preserve">Opção 5.1 da Metroval (preço sem o preset Metroval, sem driver Automind) explica os presets Toptech MultiLoad II vistos em campo.</t>
  </si>
  <si>
    <t xml:space="preserve">Metroval item 5</t>
  </si>
  <si>
    <t xml:space="preserve">Contexto para o laudo.</t>
  </si>
  <si>
    <t xml:space="preserve">A13</t>
  </si>
  <si>
    <t xml:space="preserve">Cotação Romão = linhas 15-17 (R$ 546.941,16) + supervisão R$ 109.200 + frete R$ 101.183,92. O excesso da NF 2739 (R$ 54.399,96) não corresponde a nenhuma dessas parcelas.</t>
  </si>
  <si>
    <t xml:space="preserve">Romão 00638 Rev 04</t>
  </si>
  <si>
    <t xml:space="preserve">Pedir NF 2739 detalhada.</t>
  </si>
  <si>
    <t xml:space="preserve">A14</t>
  </si>
  <si>
    <t xml:space="preserve">A Solo Engenharia cotou a montagem dos selos (serviço de R$ 17,56 milhões com os tanques). Se a montagem não foi da Romão, a garantia do selo cai de 5 anos para 12/18 meses.</t>
  </si>
  <si>
    <t xml:space="preserve">Romão 00638 item 7; Solo 158.2023</t>
  </si>
  <si>
    <t xml:space="preserve">Perguntar quem montou os selos.</t>
  </si>
  <si>
    <t xml:space="preserve">A15</t>
  </si>
  <si>
    <t xml:space="preserve">Cotação VOLGA = crítica = NFs 22+33+34; sem preço por painel. Proposta da matriz (CNPJ 0001-12), NFs da filial (0006-27).</t>
  </si>
  <si>
    <t xml:space="preserve">VOLGA 20230138 REV 6A</t>
  </si>
  <si>
    <t xml:space="preserve">Pedir PT20230138-REV6 para ratear o valor entre os 26 itens do as-built.</t>
  </si>
  <si>
    <t xml:space="preserve">A16</t>
  </si>
  <si>
    <t xml:space="preserve">18 / Outros Fixos</t>
  </si>
  <si>
    <t xml:space="preserve">Painéis Chronus cotados: PNA-3101, 3102, 3103, 3104 e 3106 (R$ 300.000,00). O PNA-3105 (campo, radares) não está na proposta; os radares Endress NMR84 (R$ 896.452,70) são a instrumentação desse painel.</t>
  </si>
  <si>
    <t xml:space="preserve">Chronus 27/02/2024; Endress 2003681568 REV.05</t>
  </si>
  <si>
    <t xml:space="preserve">Automação e radares ficam fora da linha 18 – candidatos a Outros Fixos.</t>
  </si>
  <si>
    <t xml:space="preserve">A17</t>
  </si>
  <si>
    <t xml:space="preserve">geral</t>
  </si>
  <si>
    <t xml:space="preserve">Das 48 propostas distintas do OPE154 (49 PDFs; OPE154_16 é cópia de OPE154_05; OPE154_39 é um 2º orçamento Protego com tabela em imagem), 7 cobrem as 22 linhas de M&amp;E da crítica (STEMAC, KSB ×2, Metroval, Romão, VOLGA + correlatos Ecoserv/Redlands); as demais 41 são tanques, tubulação, válvulas, instrumentação, SCI, automação, serviços e utensílios – escopo do empreendimento fora da crítica de M&amp;E.</t>
  </si>
  <si>
    <t xml:space="preserve">OPE154 (49 PDFs; _16 = cópia de _05)</t>
  </si>
  <si>
    <t xml:space="preserve">Aba COTACOES_OPE154 com enquadramento proposto (M&amp;E / Outros Fixos / instalações / serviço).</t>
  </si>
  <si>
    <t xml:space="preserve">A18</t>
  </si>
  <si>
    <t xml:space="preserve">CORREÇÃO DE FORMATO</t>
  </si>
  <si>
    <t xml:space="preserve">Na base de 07/10, a coluna D (descrição consolidada) estava toda na cor do primeiro rótulo (ex.: NF e SAP em preto dentro de "Crítica"). Na célula única da v2 as cores seguem a legenda por rótulo: Crítica preto, NF vermelho, SAP verde, Projeto amarelo, Placa/campo azul.</t>
  </si>
  <si>
    <t xml:space="preserve">base.xlsx, coluna D</t>
  </si>
  <si>
    <t xml:space="preserve">Coluna D original preservada; célula única (coluna X e aba CONDENSADO) com cores corrigidas.</t>
  </si>
  <si>
    <t xml:space="preserve">A19</t>
  </si>
  <si>
    <t xml:space="preserve">O arquivo 2026-10-11_PRE_ANALISE_UNICA_v3.zip anexado trata da documentação fundiária das Fazendas Paloma (Paulo Roberto de Paula) e não contém nada sobre Ultracargo/Palmeirante; não foi usado nesta compatibilização.</t>
  </si>
  <si>
    <t xml:space="preserve">zip PRE_ANALISE (BRIEFING.md, CHECKLIST, DOCUMENTOS)</t>
  </si>
  <si>
    <t xml:space="preserve">Confirmar se o anexo pretendido era outro (ex.: a pré-análise de fotos da Ultracargo).</t>
  </si>
  <si>
    <t xml:space="preserve">A20</t>
  </si>
  <si>
    <t xml:space="preserve">Visores de fluxo Vidrak (28 ferroviários + 4 rodoviários = H-3177 a 31204 da LI-3100-6107) e 11 botões de emergência Sermatex (Naville) foram cotados à parte da Metroval.</t>
  </si>
  <si>
    <t xml:space="preserve">Vidrak 184481; Naville 88097</t>
  </si>
  <si>
    <t xml:space="preserve">Itens de 14e podem ter fornecedores além da Metroval/TSPRO.</t>
  </si>
  <si>
    <t xml:space="preserve">A21</t>
  </si>
  <si>
    <t xml:space="preserve">14a/14b</t>
  </si>
  <si>
    <t xml:space="preserve">40 troles LEA 1,5 t (Granville, R$ 44.680) e 21 escadas pantográficas (Redlands, R$ 241.395) são acessórios de segurança das plataformas: decidir se entram como componentes de 14a/14b ou como Outros Fixos.</t>
  </si>
  <si>
    <t xml:space="preserve">Granville 22/01/2024; Redlands 0760/24; LI-3100-6107</t>
  </si>
  <si>
    <t xml:space="preserve">Decisão de enquadramento para Rafael.</t>
  </si>
  <si>
    <t xml:space="preserve">A22</t>
  </si>
  <si>
    <t xml:space="preserve">todas</t>
  </si>
  <si>
    <t xml:space="preserve">Relatório fotográfico: usar a célula única de cada conjunto (aba CONDENSADO) como legenda-base; imagem-chave = placa do conjunto; componentes com placa fotografada listados em "Fotos". Pendências de placa: Hydrobloc B-3102, motores diesel das B-3101, TR-3100 750 kVA, TR.NB-3100, placa geral do eletrocentro, skid 14d, braços bottom loading, PN-3106.</t>
  </si>
  <si>
    <t xml:space="preserve">base (coluna U) + v2</t>
  </si>
  <si>
    <t xml:space="preserve">Lista de fotos faltantes para a próxima visita.</t>
  </si>
</sst>
</file>

<file path=xl/styles.xml><?xml version="1.0" encoding="utf-8"?>
<styleSheet xmlns="http://schemas.openxmlformats.org/spreadsheetml/2006/main">
  <numFmts count="4">
    <numFmt numFmtId="164" formatCode="General"/>
    <numFmt numFmtId="165" formatCode="#,##0.00;[RED]\-#,##0.00"/>
    <numFmt numFmtId="166" formatCode="#,##0.00"/>
    <numFmt numFmtId="167" formatCode="#,##0.00_);[RED]\(#,##0.00\)"/>
  </numFmts>
  <fonts count="40">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sz val="10"/>
      <color rgb="FF000000"/>
      <name val="Arial"/>
      <family val="0"/>
      <charset val="1"/>
    </font>
    <font>
      <b val="true"/>
      <sz val="10"/>
      <color rgb="FF000000"/>
      <name val="Arial"/>
      <family val="0"/>
      <charset val="1"/>
    </font>
    <font>
      <sz val="10"/>
      <color rgb="FFC00000"/>
      <name val="Arial"/>
      <family val="0"/>
      <charset val="1"/>
    </font>
    <font>
      <sz val="10"/>
      <color rgb="FF00703C"/>
      <name val="Arial"/>
      <family val="0"/>
      <charset val="1"/>
    </font>
    <font>
      <sz val="10"/>
      <color rgb="FFB38600"/>
      <name val="Arial"/>
      <family val="0"/>
      <charset val="1"/>
    </font>
    <font>
      <sz val="10"/>
      <color rgb="FF1F4E9A"/>
      <name val="Arial"/>
      <family val="0"/>
      <charset val="1"/>
    </font>
    <font>
      <b val="true"/>
      <sz val="10"/>
      <color rgb="FF7030A0"/>
      <name val="Arial"/>
      <family val="0"/>
      <charset val="1"/>
    </font>
    <font>
      <sz val="10"/>
      <color rgb="FF002060"/>
      <name val="Arial"/>
      <family val="0"/>
      <charset val="1"/>
    </font>
    <font>
      <sz val="10"/>
      <color rgb="FF7030A0"/>
      <name val="Arial"/>
      <family val="0"/>
      <charset val="1"/>
    </font>
    <font>
      <sz val="9"/>
      <color rgb="FF7030A0"/>
      <name val="Arial"/>
      <family val="0"/>
      <charset val="1"/>
    </font>
    <font>
      <b val="true"/>
      <sz val="9"/>
      <color rgb="FFFFFFFF"/>
      <name val="Arial"/>
      <family val="0"/>
      <charset val="1"/>
    </font>
    <font>
      <sz val="9"/>
      <name val="Arial"/>
      <family val="0"/>
      <charset val="1"/>
    </font>
    <font>
      <b val="true"/>
      <sz val="9"/>
      <name val="Arial"/>
      <family val="0"/>
      <charset val="1"/>
    </font>
    <font>
      <b val="true"/>
      <sz val="9"/>
      <color rgb="FF000000"/>
      <name val="Arial"/>
      <family val="0"/>
      <charset val="1"/>
    </font>
    <font>
      <sz val="9"/>
      <color rgb="FF000000"/>
      <name val="Arial"/>
      <family val="0"/>
      <charset val="1"/>
    </font>
    <font>
      <sz val="9"/>
      <color rgb="FF002060"/>
      <name val="Arial"/>
      <family val="0"/>
      <charset val="1"/>
    </font>
    <font>
      <sz val="9"/>
      <color rgb="FF1F4E9A"/>
      <name val="Arial"/>
      <family val="0"/>
      <charset val="1"/>
    </font>
    <font>
      <sz val="9"/>
      <color rgb="FF00703C"/>
      <name val="Arial"/>
      <family val="0"/>
      <charset val="1"/>
    </font>
    <font>
      <sz val="9"/>
      <color rgb="FFC00000"/>
      <name val="Arial"/>
      <family val="0"/>
      <charset val="1"/>
    </font>
    <font>
      <sz val="9"/>
      <color rgb="FFB38600"/>
      <name val="Arial"/>
      <family val="0"/>
      <charset val="1"/>
    </font>
    <font>
      <b val="true"/>
      <sz val="12"/>
      <color rgb="FF1F3864"/>
      <name val="Arial"/>
      <family val="0"/>
      <charset val="1"/>
    </font>
    <font>
      <b val="true"/>
      <sz val="9"/>
      <color rgb="FF7030A0"/>
      <name val="Arial"/>
      <family val="0"/>
      <charset val="1"/>
    </font>
    <font>
      <i val="true"/>
      <sz val="9"/>
      <name val="Arial"/>
      <family val="0"/>
      <charset val="1"/>
    </font>
    <font>
      <b val="true"/>
      <sz val="9"/>
      <color rgb="FFC00000"/>
      <name val="Arial"/>
      <family val="0"/>
      <charset val="1"/>
    </font>
    <font>
      <b val="true"/>
      <sz val="9"/>
      <color rgb="FF00703C"/>
      <name val="Arial"/>
      <family val="0"/>
      <charset val="1"/>
    </font>
    <font>
      <strike val="true"/>
      <sz val="9"/>
      <color rgb="FF00703C"/>
      <name val="Arial"/>
      <family val="0"/>
      <charset val="1"/>
    </font>
    <font>
      <strike val="true"/>
      <sz val="9"/>
      <color rgb="FFC00000"/>
      <name val="Arial"/>
      <family val="0"/>
      <charset val="1"/>
    </font>
    <font>
      <b val="true"/>
      <sz val="9"/>
      <color rgb="FF1F4E9A"/>
      <name val="Arial"/>
      <family val="0"/>
      <charset val="1"/>
    </font>
    <font>
      <strike val="true"/>
      <sz val="9"/>
      <color rgb="FF000000"/>
      <name val="Arial"/>
      <family val="0"/>
      <charset val="1"/>
    </font>
    <font>
      <b val="true"/>
      <sz val="9"/>
      <color rgb="FF002060"/>
      <name val="Arial"/>
      <family val="0"/>
      <charset val="1"/>
    </font>
    <font>
      <b val="true"/>
      <sz val="9"/>
      <color rgb="FFB38600"/>
      <name val="Arial"/>
      <family val="0"/>
      <charset val="1"/>
    </font>
    <font>
      <strike val="true"/>
      <sz val="9"/>
      <color rgb="FFB38600"/>
      <name val="Arial"/>
      <family val="0"/>
      <charset val="1"/>
    </font>
    <font>
      <strike val="true"/>
      <sz val="9"/>
      <color rgb="FF1F4E9A"/>
      <name val="Arial"/>
      <family val="0"/>
      <charset val="1"/>
    </font>
    <font>
      <b val="true"/>
      <sz val="11"/>
      <color rgb="FFC00000"/>
      <name val="Arial"/>
      <family val="0"/>
      <charset val="1"/>
    </font>
    <font>
      <b val="true"/>
      <sz val="10"/>
      <color rgb="FF002060"/>
      <name val="Arial"/>
      <family val="0"/>
      <charset val="1"/>
    </font>
  </fonts>
  <fills count="8">
    <fill>
      <patternFill patternType="none"/>
    </fill>
    <fill>
      <patternFill patternType="gray125"/>
    </fill>
    <fill>
      <patternFill patternType="solid">
        <fgColor rgb="FF1F3864"/>
        <bgColor rgb="FF1F4E9A"/>
      </patternFill>
    </fill>
    <fill>
      <patternFill patternType="solid">
        <fgColor rgb="FFE4DFEC"/>
        <bgColor rgb="FFDDEBF7"/>
      </patternFill>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5B2C8A"/>
        <bgColor rgb="FF7030A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xf numFmtId="165" fontId="23" fillId="0" borderId="1" xfId="0" applyFont="true" applyBorder="true" applyAlignment="true" applyProtection="false">
      <alignment horizontal="general" vertical="top" textRotation="0" wrapText="true" indent="0" shrinkToFit="false"/>
      <protection locked="true" hidden="false"/>
    </xf>
    <xf numFmtId="165" fontId="20"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26" fillId="3" borderId="1" xfId="0" applyFont="true" applyBorder="true" applyAlignment="true" applyProtection="false">
      <alignment horizontal="general" vertical="center"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7" fontId="19" fillId="0" borderId="1" xfId="0" applyFont="true" applyBorder="true" applyAlignment="true" applyProtection="false">
      <alignment horizontal="center" vertical="center" textRotation="0" wrapText="true" indent="0" shrinkToFit="false"/>
      <protection locked="true" hidden="false"/>
    </xf>
    <xf numFmtId="167" fontId="23"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35"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center" textRotation="0" wrapText="true" indent="0" shrinkToFit="false"/>
      <protection locked="true" hidden="false"/>
    </xf>
    <xf numFmtId="164" fontId="19" fillId="0" borderId="1" xfId="0" applyFont="true" applyBorder="true" applyAlignment="true" applyProtection="false">
      <alignment horizontal="general" vertical="center" textRotation="0" wrapText="true" indent="0" shrinkToFit="false"/>
      <protection locked="true" hidden="false"/>
    </xf>
    <xf numFmtId="167" fontId="19" fillId="0" borderId="1" xfId="0" applyFont="true" applyBorder="true" applyAlignment="true" applyProtection="false">
      <alignment horizontal="general" vertical="center" textRotation="0" wrapText="true" indent="0" shrinkToFit="false"/>
      <protection locked="true" hidden="false"/>
    </xf>
    <xf numFmtId="167" fontId="23" fillId="0" borderId="1" xfId="0" applyFont="true" applyBorder="true" applyAlignment="true" applyProtection="false">
      <alignment horizontal="general" vertical="center" textRotation="0" wrapText="true" indent="0" shrinkToFit="false"/>
      <protection locked="true" hidden="false"/>
    </xf>
    <xf numFmtId="167" fontId="19"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7" fontId="23" fillId="0" borderId="1"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xf numFmtId="167" fontId="17" fillId="6"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9" fillId="0" borderId="1" xfId="0" applyFont="true" applyBorder="true" applyAlignment="true" applyProtection="false">
      <alignment horizontal="general" vertical="top" textRotation="0" wrapText="true" indent="0" shrinkToFit="false"/>
      <protection locked="true" hidden="false"/>
    </xf>
    <xf numFmtId="166" fontId="20"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6" fontId="23" fillId="0" borderId="0" xfId="0" applyFont="true" applyBorder="false" applyAlignment="true" applyProtection="false">
      <alignment horizontal="general" vertical="top" textRotation="0" wrapText="tru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00000"/>
          <bgColor rgb="FF000000"/>
        </patternFill>
      </fill>
    </dxf>
    <dxf>
      <fill>
        <patternFill patternType="solid">
          <fgColor rgb="FF002060"/>
          <bgColor rgb="FF000000"/>
        </patternFill>
      </fill>
    </dxf>
    <dxf>
      <fill>
        <patternFill patternType="solid">
          <fgColor rgb="FFDDEBF7"/>
          <bgColor rgb="FF000000"/>
        </patternFill>
      </fill>
    </dxf>
    <dxf>
      <fill>
        <patternFill patternType="solid">
          <fgColor rgb="FFFFF2CC"/>
          <bgColor rgb="FF000000"/>
        </patternFill>
      </fill>
    </dxf>
    <dxf>
      <fill>
        <patternFill patternType="solid">
          <fgColor rgb="FF00703C"/>
          <bgColor rgb="FF000000"/>
        </patternFill>
      </fill>
    </dxf>
    <dxf>
      <fill>
        <patternFill patternType="solid">
          <fgColor rgb="FF1F4E9A"/>
          <bgColor rgb="FF000000"/>
        </patternFill>
      </fill>
    </dxf>
    <dxf>
      <fill>
        <patternFill patternType="solid">
          <fgColor rgb="FFB38600"/>
          <bgColor rgb="FF000000"/>
        </patternFill>
      </fill>
    </dxf>
    <dxf>
      <fill>
        <patternFill patternType="solid">
          <fgColor rgb="FFE4DFEC"/>
          <bgColor rgb="FF000000"/>
        </patternFill>
      </fill>
    </dxf>
    <dxf>
      <fill>
        <patternFill patternType="solid">
          <fgColor rgb="FF7030A0"/>
          <bgColor rgb="FF000000"/>
        </patternFill>
      </fill>
    </dxf>
  </dxfs>
  <colors>
    <indexedColors>
      <rgbColor rgb="FF000000"/>
      <rgbColor rgb="FFFFFFFF"/>
      <rgbColor rgb="FFC00000"/>
      <rgbColor rgb="FF00FF00"/>
      <rgbColor rgb="FF0000FF"/>
      <rgbColor rgb="FFFFFF00"/>
      <rgbColor rgb="FFFF00FF"/>
      <rgbColor rgb="FF00FFFF"/>
      <rgbColor rgb="FF800000"/>
      <rgbColor rgb="FF00703C"/>
      <rgbColor rgb="FF000080"/>
      <rgbColor rgb="FFB38600"/>
      <rgbColor rgb="FF800080"/>
      <rgbColor rgb="FF008080"/>
      <rgbColor rgb="FFBFBFBF"/>
      <rgbColor rgb="FF808080"/>
      <rgbColor rgb="FF9999FF"/>
      <rgbColor rgb="FF7030A0"/>
      <rgbColor rgb="FFFFF2CC"/>
      <rgbColor rgb="FFDDEBF7"/>
      <rgbColor rgb="FF660066"/>
      <rgbColor rgb="FFFF8080"/>
      <rgbColor rgb="FF1F4E9A"/>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5B2C8A"/>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60"/>
  </cols>
  <sheetData>
    <row r="1" customFormat="false" ht="14.25" hidden="false" customHeight="true" outlineLevel="0" collapsed="false">
      <c r="A1" s="2" t="s">
        <v>0</v>
      </c>
    </row>
    <row r="2" customFormat="false" ht="14.25" hidden="false" customHeight="true" outlineLevel="0" collapsed="false">
      <c r="A2" s="3"/>
    </row>
    <row r="3" customFormat="false" ht="14.25" hidden="false" customHeight="true" outlineLevel="0" collapsed="false">
      <c r="A3" s="4" t="s">
        <v>1</v>
      </c>
    </row>
    <row r="4" customFormat="false" ht="14.25" hidden="false" customHeight="true" outlineLevel="0" collapsed="false">
      <c r="A4" s="3" t="s">
        <v>2</v>
      </c>
    </row>
    <row r="5" customFormat="false" ht="14.25" hidden="false" customHeight="true" outlineLevel="0" collapsed="false">
      <c r="A5" s="5" t="s">
        <v>3</v>
      </c>
    </row>
    <row r="6" customFormat="false" ht="14.25" hidden="false" customHeight="true" outlineLevel="0" collapsed="false">
      <c r="A6" s="6" t="s">
        <v>4</v>
      </c>
    </row>
    <row r="7" customFormat="false" ht="26.25" hidden="false" customHeight="true" outlineLevel="0" collapsed="false">
      <c r="A7" s="7" t="s">
        <v>5</v>
      </c>
    </row>
    <row r="8" customFormat="false" ht="14.25" hidden="false" customHeight="true" outlineLevel="0" collapsed="false">
      <c r="A8" s="8" t="s">
        <v>6</v>
      </c>
    </row>
    <row r="9" customFormat="false" ht="14.25" hidden="false" customHeight="true" outlineLevel="0" collapsed="false">
      <c r="A9" s="3"/>
    </row>
    <row r="10" customFormat="false" ht="26.25" hidden="false" customHeight="true" outlineLevel="0" collapsed="false">
      <c r="A10" s="3" t="s">
        <v>7</v>
      </c>
    </row>
    <row r="11" customFormat="false" ht="26.25" hidden="false" customHeight="true" outlineLevel="0" collapsed="false">
      <c r="A11" s="3" t="s">
        <v>8</v>
      </c>
    </row>
    <row r="12" customFormat="false" ht="26.25" hidden="false" customHeight="true" outlineLevel="0" collapsed="false">
      <c r="A12" s="3" t="s">
        <v>9</v>
      </c>
    </row>
    <row r="13" customFormat="false" ht="14.25" hidden="false" customHeight="true" outlineLevel="0" collapsed="false">
      <c r="A13" s="3" t="s">
        <v>10</v>
      </c>
    </row>
    <row r="14" customFormat="false" ht="14.25" hidden="false" customHeight="true" outlineLevel="0" collapsed="false">
      <c r="A14" s="3" t="s">
        <v>11</v>
      </c>
    </row>
    <row r="15" customFormat="false" ht="14.25" hidden="false" customHeight="true" outlineLevel="0" collapsed="false">
      <c r="A15" s="3" t="s">
        <v>12</v>
      </c>
    </row>
    <row r="16" customFormat="false" ht="26.25" hidden="false" customHeight="true" outlineLevel="0" collapsed="false">
      <c r="A16" s="3" t="s">
        <v>13</v>
      </c>
    </row>
    <row r="17" customFormat="false" ht="14.25" hidden="false" customHeight="true" outlineLevel="0" collapsed="false">
      <c r="A17" s="3"/>
    </row>
    <row r="18" customFormat="false" ht="26.25" hidden="false" customHeight="true" outlineLevel="0" collapsed="false">
      <c r="A18" s="3" t="s">
        <v>14</v>
      </c>
    </row>
    <row r="19" customFormat="false" ht="14.25" hidden="false" customHeight="true" outlineLevel="0" collapsed="false">
      <c r="A19" s="3" t="s">
        <v>15</v>
      </c>
    </row>
    <row r="20" customFormat="false" ht="14.25" hidden="false" customHeight="true" outlineLevel="0" collapsed="false">
      <c r="A20" s="3"/>
    </row>
    <row r="21" customFormat="false" ht="14.25" hidden="false" customHeight="true" outlineLevel="0" collapsed="false">
      <c r="A21" s="9" t="s">
        <v>16</v>
      </c>
    </row>
    <row r="22" customFormat="false" ht="23.25" hidden="false" customHeight="true" outlineLevel="0" collapsed="false">
      <c r="A22" s="10" t="s">
        <v>17</v>
      </c>
    </row>
    <row r="23" customFormat="false" ht="23.25" hidden="false" customHeight="true" outlineLevel="0" collapsed="false">
      <c r="A23" s="11" t="s">
        <v>18</v>
      </c>
    </row>
    <row r="24" customFormat="false" ht="45.75" hidden="false" customHeight="true" outlineLevel="0" collapsed="false">
      <c r="A24" s="3" t="s">
        <v>19</v>
      </c>
    </row>
    <row r="25" customFormat="false" ht="23.25" hidden="false" customHeight="true" outlineLevel="0" collapsed="false">
      <c r="A25" s="11" t="s">
        <v>20</v>
      </c>
    </row>
    <row r="26" customFormat="false" ht="34.5" hidden="false" customHeight="true" outlineLevel="0" collapsed="false">
      <c r="A26" s="11" t="s">
        <v>21</v>
      </c>
    </row>
    <row r="27" customFormat="false" ht="23.25" hidden="false" customHeight="true" outlineLevel="0" collapsed="false">
      <c r="A27" s="3" t="s">
        <v>22</v>
      </c>
    </row>
    <row r="28" customFormat="false" ht="14.25" hidden="false" customHeight="true" outlineLevel="0" collapsed="false">
      <c r="A28" s="11" t="s">
        <v>23</v>
      </c>
    </row>
    <row r="29" customFormat="false" ht="23.25" hidden="false" customHeight="true" outlineLevel="0" collapsed="false">
      <c r="A29" s="11" t="s">
        <v>24</v>
      </c>
    </row>
    <row r="31" customFormat="false" ht="35.05" hidden="false" customHeight="false" outlineLevel="0" collapsed="false">
      <c r="A31" s="9"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2"/>
    <col collapsed="false" customWidth="true" hidden="false" outlineLevel="0" max="4" min="4" style="0" width="150"/>
    <col collapsed="false" customWidth="true" hidden="false" outlineLevel="0" max="5" min="5" style="0" width="60"/>
    <col collapsed="false" customWidth="true" hidden="false" outlineLevel="0" max="8" min="6" style="0" width="15"/>
    <col collapsed="false" customWidth="true" hidden="false" outlineLevel="0" max="10" min="9" style="0" width="14"/>
    <col collapsed="false" customWidth="true" hidden="false" outlineLevel="0" max="11" min="11" style="0" width="30"/>
  </cols>
  <sheetData>
    <row r="1" customFormat="false" ht="15" hidden="false" customHeight="false" outlineLevel="0" collapsed="false">
      <c r="A1" s="12" t="s">
        <v>26</v>
      </c>
    </row>
    <row r="2" customFormat="false" ht="15" hidden="false" customHeight="false" outlineLevel="0" collapsed="false">
      <c r="A2" s="13" t="s">
        <v>27</v>
      </c>
    </row>
    <row r="4" customFormat="false" ht="30" hidden="false" customHeight="true" outlineLevel="0" collapsed="false">
      <c r="A4" s="14" t="s">
        <v>28</v>
      </c>
      <c r="B4" s="14" t="s">
        <v>29</v>
      </c>
      <c r="C4" s="14" t="s">
        <v>30</v>
      </c>
      <c r="D4" s="14" t="s">
        <v>31</v>
      </c>
      <c r="E4" s="14" t="s">
        <v>32</v>
      </c>
      <c r="F4" s="14" t="s">
        <v>33</v>
      </c>
      <c r="G4" s="14" t="s">
        <v>34</v>
      </c>
      <c r="H4" s="14" t="s">
        <v>35</v>
      </c>
      <c r="I4" s="14" t="s">
        <v>36</v>
      </c>
      <c r="J4" s="14" t="s">
        <v>37</v>
      </c>
      <c r="K4" s="14" t="s">
        <v>38</v>
      </c>
    </row>
    <row r="5" customFormat="false" ht="228" hidden="false" customHeight="true" outlineLevel="0" collapsed="false">
      <c r="A5" s="15" t="s">
        <v>39</v>
      </c>
      <c r="B5" s="15" t="s">
        <v>40</v>
      </c>
      <c r="C5" s="16" t="s">
        <v>41</v>
      </c>
      <c r="D5" s="17" t="s">
        <v>42</v>
      </c>
      <c r="E5" s="18" t="s">
        <v>43</v>
      </c>
      <c r="F5" s="19" t="n">
        <v>393500</v>
      </c>
      <c r="G5" s="20" t="n">
        <v>393500</v>
      </c>
      <c r="H5" s="21" t="n">
        <v>393500</v>
      </c>
      <c r="I5" s="19" t="n">
        <f aca="false">G5-F5</f>
        <v>0</v>
      </c>
      <c r="J5" s="19" t="n">
        <f aca="false">H5-F5</f>
        <v>0</v>
      </c>
      <c r="K5" s="15" t="s">
        <v>44</v>
      </c>
    </row>
    <row r="6" customFormat="false" ht="324" hidden="false" customHeight="true" outlineLevel="0" collapsed="false">
      <c r="A6" s="15" t="s">
        <v>45</v>
      </c>
      <c r="B6" s="15" t="s">
        <v>40</v>
      </c>
      <c r="C6" s="16" t="s">
        <v>46</v>
      </c>
      <c r="D6" s="17" t="s">
        <v>47</v>
      </c>
      <c r="E6" s="18" t="s">
        <v>48</v>
      </c>
      <c r="F6" s="19" t="n">
        <v>815201.04</v>
      </c>
      <c r="G6" s="20" t="n">
        <v>815201.04</v>
      </c>
      <c r="H6" s="21" t="n">
        <v>815201.04</v>
      </c>
      <c r="I6" s="19" t="n">
        <f aca="false">G6-F6</f>
        <v>0</v>
      </c>
      <c r="J6" s="19" t="n">
        <f aca="false">H6-F6</f>
        <v>0</v>
      </c>
      <c r="K6" s="15" t="s">
        <v>49</v>
      </c>
    </row>
    <row r="7" customFormat="false" ht="168" hidden="false" customHeight="true" outlineLevel="0" collapsed="false">
      <c r="A7" s="15" t="s">
        <v>50</v>
      </c>
      <c r="B7" s="15" t="s">
        <v>40</v>
      </c>
      <c r="C7" s="16" t="s">
        <v>51</v>
      </c>
      <c r="D7" s="17" t="s">
        <v>52</v>
      </c>
      <c r="E7" s="18" t="s">
        <v>53</v>
      </c>
      <c r="F7" s="19" t="n">
        <v>34798.96</v>
      </c>
      <c r="G7" s="20" t="n">
        <v>34798.96</v>
      </c>
      <c r="H7" s="21" t="n">
        <v>34798.96</v>
      </c>
      <c r="I7" s="19" t="n">
        <f aca="false">G7-F7</f>
        <v>0</v>
      </c>
      <c r="J7" s="19" t="n">
        <f aca="false">H7-F7</f>
        <v>0</v>
      </c>
      <c r="K7" s="15" t="s">
        <v>54</v>
      </c>
    </row>
    <row r="8" customFormat="false" ht="408.75" hidden="false" customHeight="true" outlineLevel="0" collapsed="false">
      <c r="A8" s="15" t="s">
        <v>55</v>
      </c>
      <c r="B8" s="15" t="s">
        <v>40</v>
      </c>
      <c r="C8" s="16" t="s">
        <v>56</v>
      </c>
      <c r="D8" s="17" t="s">
        <v>57</v>
      </c>
      <c r="E8" s="18" t="s">
        <v>58</v>
      </c>
      <c r="F8" s="19" t="n">
        <v>1223780.04</v>
      </c>
      <c r="G8" s="20" t="n">
        <v>1223780.04</v>
      </c>
      <c r="H8" s="21" t="n">
        <v>1223780.04</v>
      </c>
      <c r="I8" s="19" t="n">
        <f aca="false">G8-F8</f>
        <v>0</v>
      </c>
      <c r="J8" s="19" t="n">
        <f aca="false">H8-F8</f>
        <v>0</v>
      </c>
      <c r="K8" s="15" t="s">
        <v>59</v>
      </c>
    </row>
    <row r="9" customFormat="false" ht="132" hidden="false" customHeight="true" outlineLevel="0" collapsed="false">
      <c r="A9" s="15" t="s">
        <v>60</v>
      </c>
      <c r="B9" s="15" t="s">
        <v>40</v>
      </c>
      <c r="C9" s="16" t="s">
        <v>61</v>
      </c>
      <c r="D9" s="17" t="s">
        <v>62</v>
      </c>
      <c r="E9" s="18" t="s">
        <v>63</v>
      </c>
      <c r="F9" s="19" t="n">
        <v>71978.04</v>
      </c>
      <c r="G9" s="20" t="n">
        <v>71978.04</v>
      </c>
      <c r="H9" s="21" t="n">
        <v>71978.04</v>
      </c>
      <c r="I9" s="19" t="n">
        <f aca="false">G9-F9</f>
        <v>0</v>
      </c>
      <c r="J9" s="19" t="n">
        <f aca="false">H9-F9</f>
        <v>0</v>
      </c>
      <c r="K9" s="15" t="s">
        <v>64</v>
      </c>
    </row>
    <row r="10" customFormat="false" ht="192" hidden="false" customHeight="true" outlineLevel="0" collapsed="false">
      <c r="A10" s="15" t="s">
        <v>65</v>
      </c>
      <c r="B10" s="15" t="s">
        <v>40</v>
      </c>
      <c r="C10" s="16" t="s">
        <v>66</v>
      </c>
      <c r="D10" s="17" t="s">
        <v>67</v>
      </c>
      <c r="E10" s="18" t="s">
        <v>68</v>
      </c>
      <c r="F10" s="19" t="n">
        <v>174716.7</v>
      </c>
      <c r="G10" s="20" t="n">
        <v>174716.7</v>
      </c>
      <c r="H10" s="21" t="n">
        <v>174716.7</v>
      </c>
      <c r="I10" s="19" t="n">
        <f aca="false">G10-F10</f>
        <v>0</v>
      </c>
      <c r="J10" s="19" t="n">
        <f aca="false">H10-F10</f>
        <v>0</v>
      </c>
      <c r="K10" s="15" t="s">
        <v>69</v>
      </c>
    </row>
    <row r="11" customFormat="false" ht="168" hidden="false" customHeight="true" outlineLevel="0" collapsed="false">
      <c r="A11" s="15" t="s">
        <v>70</v>
      </c>
      <c r="B11" s="15" t="s">
        <v>40</v>
      </c>
      <c r="C11" s="16" t="s">
        <v>71</v>
      </c>
      <c r="D11" s="17" t="s">
        <v>72</v>
      </c>
      <c r="E11" s="18" t="s">
        <v>73</v>
      </c>
      <c r="F11" s="19" t="n">
        <v>161876.22</v>
      </c>
      <c r="G11" s="20" t="n">
        <v>161876.22</v>
      </c>
      <c r="H11" s="21" t="n">
        <v>161876.22</v>
      </c>
      <c r="I11" s="19" t="n">
        <f aca="false">G11-F11</f>
        <v>0</v>
      </c>
      <c r="J11" s="19" t="n">
        <f aca="false">H11-F11</f>
        <v>0</v>
      </c>
      <c r="K11" s="15" t="s">
        <v>74</v>
      </c>
    </row>
    <row r="12" customFormat="false" ht="228" hidden="false" customHeight="true" outlineLevel="0" collapsed="false">
      <c r="A12" s="15" t="s">
        <v>75</v>
      </c>
      <c r="B12" s="15" t="s">
        <v>40</v>
      </c>
      <c r="C12" s="16" t="s">
        <v>76</v>
      </c>
      <c r="D12" s="17" t="s">
        <v>77</v>
      </c>
      <c r="E12" s="18" t="s">
        <v>78</v>
      </c>
      <c r="F12" s="19" t="n">
        <v>308561.97</v>
      </c>
      <c r="G12" s="20" t="n">
        <v>308561.97</v>
      </c>
      <c r="H12" s="21" t="n">
        <v>308561.97</v>
      </c>
      <c r="I12" s="19" t="n">
        <f aca="false">G12-F12</f>
        <v>0</v>
      </c>
      <c r="J12" s="19" t="n">
        <f aca="false">H12-F12</f>
        <v>0</v>
      </c>
      <c r="K12" s="15" t="s">
        <v>79</v>
      </c>
    </row>
    <row r="13" customFormat="false" ht="132" hidden="false" customHeight="true" outlineLevel="0" collapsed="false">
      <c r="A13" s="15" t="s">
        <v>80</v>
      </c>
      <c r="B13" s="15" t="s">
        <v>40</v>
      </c>
      <c r="C13" s="16" t="s">
        <v>81</v>
      </c>
      <c r="D13" s="17" t="s">
        <v>82</v>
      </c>
      <c r="E13" s="18" t="s">
        <v>83</v>
      </c>
      <c r="F13" s="19" t="n">
        <v>102010.24</v>
      </c>
      <c r="G13" s="20" t="n">
        <v>102010.24</v>
      </c>
      <c r="H13" s="21" t="n">
        <v>102010.24</v>
      </c>
      <c r="I13" s="19" t="n">
        <f aca="false">G13-F13</f>
        <v>0</v>
      </c>
      <c r="J13" s="19" t="n">
        <f aca="false">H13-F13</f>
        <v>0</v>
      </c>
      <c r="K13" s="15" t="s">
        <v>84</v>
      </c>
    </row>
    <row r="14" customFormat="false" ht="180" hidden="false" customHeight="true" outlineLevel="0" collapsed="false">
      <c r="A14" s="15" t="s">
        <v>85</v>
      </c>
      <c r="B14" s="15" t="s">
        <v>40</v>
      </c>
      <c r="C14" s="16" t="s">
        <v>86</v>
      </c>
      <c r="D14" s="17" t="s">
        <v>87</v>
      </c>
      <c r="E14" s="18" t="s">
        <v>88</v>
      </c>
      <c r="F14" s="19" t="n">
        <v>188172.4</v>
      </c>
      <c r="G14" s="20" t="n">
        <v>188172.4</v>
      </c>
      <c r="H14" s="21" t="n">
        <v>188172.4</v>
      </c>
      <c r="I14" s="19" t="n">
        <f aca="false">G14-F14</f>
        <v>0</v>
      </c>
      <c r="J14" s="19" t="n">
        <f aca="false">H14-F14</f>
        <v>0</v>
      </c>
      <c r="K14" s="15" t="s">
        <v>89</v>
      </c>
    </row>
    <row r="15" customFormat="false" ht="156" hidden="false" customHeight="true" outlineLevel="0" collapsed="false">
      <c r="A15" s="15" t="s">
        <v>90</v>
      </c>
      <c r="B15" s="15" t="s">
        <v>40</v>
      </c>
      <c r="C15" s="16" t="s">
        <v>91</v>
      </c>
      <c r="D15" s="17" t="s">
        <v>92</v>
      </c>
      <c r="E15" s="18" t="s">
        <v>93</v>
      </c>
      <c r="F15" s="19" t="n">
        <v>162486.68</v>
      </c>
      <c r="G15" s="20" t="n">
        <v>233546.68</v>
      </c>
      <c r="H15" s="21" t="n">
        <v>162486.68</v>
      </c>
      <c r="I15" s="19" t="n">
        <f aca="false">G15-F15</f>
        <v>71060</v>
      </c>
      <c r="J15" s="19" t="n">
        <f aca="false">H15-F15</f>
        <v>0</v>
      </c>
      <c r="K15" s="15" t="s">
        <v>94</v>
      </c>
    </row>
    <row r="16" customFormat="false" ht="168" hidden="false" customHeight="true" outlineLevel="0" collapsed="false">
      <c r="A16" s="15" t="s">
        <v>95</v>
      </c>
      <c r="B16" s="15" t="s">
        <v>40</v>
      </c>
      <c r="C16" s="16" t="s">
        <v>96</v>
      </c>
      <c r="D16" s="17" t="s">
        <v>97</v>
      </c>
      <c r="E16" s="18" t="s">
        <v>98</v>
      </c>
      <c r="F16" s="19" t="n">
        <v>76802.33</v>
      </c>
      <c r="G16" s="20" t="n">
        <v>76802.33</v>
      </c>
      <c r="H16" s="21" t="n">
        <v>76802.33</v>
      </c>
      <c r="I16" s="19" t="n">
        <f aca="false">G16-F16</f>
        <v>0</v>
      </c>
      <c r="J16" s="19" t="n">
        <f aca="false">H16-F16</f>
        <v>0</v>
      </c>
      <c r="K16" s="15" t="s">
        <v>99</v>
      </c>
    </row>
    <row r="17" customFormat="false" ht="180" hidden="false" customHeight="true" outlineLevel="0" collapsed="false">
      <c r="A17" s="15" t="s">
        <v>100</v>
      </c>
      <c r="B17" s="15" t="s">
        <v>40</v>
      </c>
      <c r="C17" s="16" t="s">
        <v>101</v>
      </c>
      <c r="D17" s="17" t="s">
        <v>102</v>
      </c>
      <c r="E17" s="18" t="s">
        <v>103</v>
      </c>
      <c r="F17" s="19" t="n">
        <v>160106.86</v>
      </c>
      <c r="G17" s="20" t="n">
        <v>160106.86</v>
      </c>
      <c r="H17" s="21" t="n">
        <v>160106.86</v>
      </c>
      <c r="I17" s="19" t="n">
        <f aca="false">G17-F17</f>
        <v>0</v>
      </c>
      <c r="J17" s="19" t="n">
        <f aca="false">H17-F17</f>
        <v>0</v>
      </c>
      <c r="K17" s="15" t="s">
        <v>104</v>
      </c>
    </row>
    <row r="18" customFormat="false" ht="216" hidden="false" customHeight="true" outlineLevel="0" collapsed="false">
      <c r="A18" s="15" t="s">
        <v>105</v>
      </c>
      <c r="B18" s="15" t="s">
        <v>106</v>
      </c>
      <c r="C18" s="16" t="s">
        <v>107</v>
      </c>
      <c r="D18" s="17" t="s">
        <v>108</v>
      </c>
      <c r="E18" s="18" t="s">
        <v>109</v>
      </c>
      <c r="F18" s="19" t="n">
        <v>8992832.34</v>
      </c>
      <c r="G18" s="20" t="n">
        <v>9073319.4</v>
      </c>
      <c r="H18" s="21" t="n">
        <v>8992832.34</v>
      </c>
      <c r="I18" s="19" t="n">
        <f aca="false">G18-F18</f>
        <v>80487.0600000005</v>
      </c>
      <c r="J18" s="19" t="n">
        <f aca="false">H18-F18</f>
        <v>0</v>
      </c>
      <c r="K18" s="15" t="s">
        <v>110</v>
      </c>
    </row>
    <row r="19" customFormat="false" ht="216" hidden="false" customHeight="true" outlineLevel="0" collapsed="false">
      <c r="A19" s="15" t="s">
        <v>111</v>
      </c>
      <c r="B19" s="15" t="s">
        <v>40</v>
      </c>
      <c r="C19" s="16" t="s">
        <v>112</v>
      </c>
      <c r="D19" s="17" t="s">
        <v>113</v>
      </c>
      <c r="E19" s="18" t="s">
        <v>114</v>
      </c>
      <c r="F19" s="19" t="n">
        <v>2273264.11</v>
      </c>
      <c r="G19" s="22"/>
      <c r="H19" s="22"/>
      <c r="I19" s="19"/>
      <c r="J19" s="19"/>
      <c r="K19" s="15" t="s">
        <v>115</v>
      </c>
    </row>
    <row r="20" customFormat="false" ht="192" hidden="false" customHeight="true" outlineLevel="0" collapsed="false">
      <c r="A20" s="15" t="s">
        <v>116</v>
      </c>
      <c r="B20" s="15" t="s">
        <v>40</v>
      </c>
      <c r="C20" s="16" t="s">
        <v>117</v>
      </c>
      <c r="D20" s="17" t="s">
        <v>118</v>
      </c>
      <c r="E20" s="18" t="s">
        <v>119</v>
      </c>
      <c r="F20" s="19" t="n">
        <v>1917733.79</v>
      </c>
      <c r="G20" s="22"/>
      <c r="H20" s="22"/>
      <c r="I20" s="19"/>
      <c r="J20" s="19"/>
      <c r="K20" s="15" t="s">
        <v>120</v>
      </c>
    </row>
    <row r="21" customFormat="false" ht="204" hidden="false" customHeight="true" outlineLevel="0" collapsed="false">
      <c r="A21" s="15" t="s">
        <v>121</v>
      </c>
      <c r="B21" s="15" t="s">
        <v>40</v>
      </c>
      <c r="C21" s="16" t="s">
        <v>122</v>
      </c>
      <c r="D21" s="17" t="s">
        <v>123</v>
      </c>
      <c r="E21" s="18" t="s">
        <v>124</v>
      </c>
      <c r="F21" s="19" t="n">
        <v>1610488.85</v>
      </c>
      <c r="G21" s="22"/>
      <c r="H21" s="22"/>
      <c r="I21" s="19"/>
      <c r="J21" s="19"/>
      <c r="K21" s="15" t="s">
        <v>125</v>
      </c>
    </row>
    <row r="22" customFormat="false" ht="192" hidden="false" customHeight="true" outlineLevel="0" collapsed="false">
      <c r="A22" s="15" t="s">
        <v>126</v>
      </c>
      <c r="B22" s="15" t="s">
        <v>40</v>
      </c>
      <c r="C22" s="16" t="s">
        <v>127</v>
      </c>
      <c r="D22" s="17" t="s">
        <v>128</v>
      </c>
      <c r="E22" s="18" t="s">
        <v>129</v>
      </c>
      <c r="F22" s="19" t="n">
        <v>1728513.25</v>
      </c>
      <c r="G22" s="20" t="n">
        <v>1728513.25</v>
      </c>
      <c r="H22" s="22"/>
      <c r="I22" s="19" t="n">
        <f aca="false">G22-F22</f>
        <v>0</v>
      </c>
      <c r="J22" s="19"/>
      <c r="K22" s="15" t="s">
        <v>130</v>
      </c>
    </row>
    <row r="23" customFormat="false" ht="228" hidden="false" customHeight="true" outlineLevel="0" collapsed="false">
      <c r="A23" s="15" t="s">
        <v>131</v>
      </c>
      <c r="B23" s="15" t="s">
        <v>40</v>
      </c>
      <c r="C23" s="16" t="s">
        <v>132</v>
      </c>
      <c r="D23" s="17" t="s">
        <v>133</v>
      </c>
      <c r="E23" s="18" t="s">
        <v>134</v>
      </c>
      <c r="F23" s="19" t="n">
        <v>1462832.34</v>
      </c>
      <c r="G23" s="22"/>
      <c r="H23" s="22"/>
      <c r="I23" s="19"/>
      <c r="J23" s="19"/>
      <c r="K23" s="15" t="s">
        <v>135</v>
      </c>
    </row>
    <row r="24" customFormat="false" ht="300" hidden="false" customHeight="true" outlineLevel="0" collapsed="false">
      <c r="A24" s="15" t="s">
        <v>136</v>
      </c>
      <c r="B24" s="15" t="s">
        <v>137</v>
      </c>
      <c r="C24" s="16" t="s">
        <v>138</v>
      </c>
      <c r="D24" s="17" t="s">
        <v>139</v>
      </c>
      <c r="E24" s="18" t="s">
        <v>140</v>
      </c>
      <c r="F24" s="19"/>
      <c r="G24" s="22"/>
      <c r="H24" s="22"/>
      <c r="I24" s="19"/>
      <c r="J24" s="19"/>
      <c r="K24" s="15" t="s">
        <v>141</v>
      </c>
    </row>
    <row r="25" customFormat="false" ht="156" hidden="false" customHeight="true" outlineLevel="0" collapsed="false">
      <c r="A25" s="15" t="s">
        <v>142</v>
      </c>
      <c r="B25" s="15" t="s">
        <v>106</v>
      </c>
      <c r="C25" s="16" t="s">
        <v>143</v>
      </c>
      <c r="D25" s="17" t="s">
        <v>144</v>
      </c>
      <c r="E25" s="18" t="s">
        <v>145</v>
      </c>
      <c r="F25" s="19" t="n">
        <v>546941.16</v>
      </c>
      <c r="G25" s="20" t="n">
        <v>601341.12</v>
      </c>
      <c r="H25" s="21" t="n">
        <v>546941.16</v>
      </c>
      <c r="I25" s="19" t="n">
        <f aca="false">G25-F25</f>
        <v>54399.96</v>
      </c>
      <c r="J25" s="19" t="n">
        <f aca="false">H25-F25</f>
        <v>0</v>
      </c>
      <c r="K25" s="15" t="s">
        <v>146</v>
      </c>
    </row>
    <row r="26" customFormat="false" ht="84" hidden="false" customHeight="true" outlineLevel="0" collapsed="false">
      <c r="A26" s="15" t="s">
        <v>147</v>
      </c>
      <c r="B26" s="15" t="s">
        <v>40</v>
      </c>
      <c r="C26" s="16" t="s">
        <v>148</v>
      </c>
      <c r="D26" s="17" t="s">
        <v>149</v>
      </c>
      <c r="E26" s="18" t="s">
        <v>150</v>
      </c>
      <c r="F26" s="19" t="n">
        <v>249823.52</v>
      </c>
      <c r="G26" s="22"/>
      <c r="H26" s="21" t="n">
        <v>249823.52</v>
      </c>
      <c r="I26" s="19"/>
      <c r="J26" s="19" t="n">
        <f aca="false">H26-F26</f>
        <v>0</v>
      </c>
      <c r="K26" s="15" t="s">
        <v>151</v>
      </c>
    </row>
    <row r="27" customFormat="false" ht="84" hidden="false" customHeight="true" outlineLevel="0" collapsed="false">
      <c r="A27" s="15" t="s">
        <v>152</v>
      </c>
      <c r="B27" s="15" t="s">
        <v>40</v>
      </c>
      <c r="C27" s="16" t="s">
        <v>153</v>
      </c>
      <c r="D27" s="17" t="s">
        <v>154</v>
      </c>
      <c r="E27" s="18" t="s">
        <v>155</v>
      </c>
      <c r="F27" s="19" t="n">
        <v>177058.82</v>
      </c>
      <c r="G27" s="22"/>
      <c r="H27" s="21" t="n">
        <v>177058.82</v>
      </c>
      <c r="I27" s="19"/>
      <c r="J27" s="19" t="n">
        <f aca="false">H27-F27</f>
        <v>0</v>
      </c>
      <c r="K27" s="15" t="s">
        <v>151</v>
      </c>
    </row>
    <row r="28" customFormat="false" ht="84" hidden="false" customHeight="true" outlineLevel="0" collapsed="false">
      <c r="A28" s="15" t="s">
        <v>156</v>
      </c>
      <c r="B28" s="15" t="s">
        <v>40</v>
      </c>
      <c r="C28" s="16" t="s">
        <v>157</v>
      </c>
      <c r="D28" s="17" t="s">
        <v>158</v>
      </c>
      <c r="E28" s="18" t="s">
        <v>159</v>
      </c>
      <c r="F28" s="19" t="n">
        <v>120058.82</v>
      </c>
      <c r="G28" s="22"/>
      <c r="H28" s="21" t="n">
        <v>120058.82</v>
      </c>
      <c r="I28" s="19"/>
      <c r="J28" s="19" t="n">
        <f aca="false">H28-F28</f>
        <v>0</v>
      </c>
      <c r="K28" s="15" t="s">
        <v>151</v>
      </c>
    </row>
    <row r="29" customFormat="false" ht="408.75" hidden="false" customHeight="true" outlineLevel="0" collapsed="false">
      <c r="A29" s="15" t="s">
        <v>160</v>
      </c>
      <c r="B29" s="15" t="s">
        <v>40</v>
      </c>
      <c r="C29" s="16" t="s">
        <v>161</v>
      </c>
      <c r="D29" s="17" t="s">
        <v>162</v>
      </c>
      <c r="E29" s="18" t="s">
        <v>163</v>
      </c>
      <c r="F29" s="19" t="n">
        <v>3163087.46</v>
      </c>
      <c r="G29" s="20" t="n">
        <v>3163087.46</v>
      </c>
      <c r="H29" s="21" t="n">
        <v>3163087.46</v>
      </c>
      <c r="I29" s="19" t="n">
        <f aca="false">G29-F29</f>
        <v>0</v>
      </c>
      <c r="J29" s="19" t="n">
        <f aca="false">H29-F29</f>
        <v>0</v>
      </c>
      <c r="K29" s="15" t="s">
        <v>164</v>
      </c>
    </row>
    <row r="31" customFormat="false" ht="15" hidden="false" customHeight="false" outlineLevel="0" collapsed="false">
      <c r="C31" s="23" t="s">
        <v>165</v>
      </c>
      <c r="F31" s="24" t="n">
        <f aca="false">SUMIFS(F5:F29,B5:B29,"CONJUNTO")</f>
        <v>16576852.44</v>
      </c>
      <c r="G31" s="24" t="n">
        <f aca="false">SUMIFS(G5:G29,B5:B29,"CONJUNTO")+SUMIFS(G5:G29,B5:B29,"GRUPO")-G22</f>
        <v>16782799.46</v>
      </c>
      <c r="H31" s="24" t="n">
        <f aca="false">SUMIFS(H5:H29,B5:B29,"CONJUNTO")+H18</f>
        <v>16576852.44</v>
      </c>
    </row>
    <row r="32" customFormat="false" ht="15" hidden="false" customHeight="false" outlineLevel="0" collapsed="false">
      <c r="C32" s="13" t="s">
        <v>166</v>
      </c>
    </row>
  </sheetData>
  <autoFilter ref="A4:K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C126" activeCellId="0" sqref="C126"/>
    </sheetView>
  </sheetViews>
  <sheetFormatPr defaultColWidth="8.6796875" defaultRowHeight="14.25" zeroHeight="false" outlineLevelRow="0" outlineLevelCol="0"/>
  <cols>
    <col collapsed="false" customWidth="true" hidden="false" outlineLevel="0" max="1" min="1" style="1" width="8"/>
    <col collapsed="false" customWidth="true" hidden="false" outlineLevel="0" max="2" min="2" style="1" width="13.56"/>
    <col collapsed="false" customWidth="true" hidden="false" outlineLevel="0" max="3" min="3" style="1" width="28.11"/>
    <col collapsed="false" customWidth="true" hidden="false" outlineLevel="0" max="4" min="4" style="25" width="89.22"/>
    <col collapsed="false" customWidth="true" hidden="false" outlineLevel="0" max="5" min="5" style="1" width="18"/>
    <col collapsed="false" customWidth="true" hidden="false" outlineLevel="0" max="6" min="6" style="1" width="22"/>
    <col collapsed="false" customWidth="true" hidden="false" outlineLevel="0" max="7" min="7" style="1" width="26"/>
    <col collapsed="false" customWidth="true" hidden="false" outlineLevel="0" max="8" min="8" style="1" width="22"/>
    <col collapsed="false" customWidth="true" hidden="false" outlineLevel="0" max="9" min="9" style="1" width="24"/>
    <col collapsed="false" customWidth="true" hidden="false" outlineLevel="0" max="11" min="10" style="1" width="13"/>
    <col collapsed="false" customWidth="true" hidden="false" outlineLevel="0" max="12" min="12" style="1" width="12"/>
    <col collapsed="false" customWidth="true" hidden="false" outlineLevel="0" max="13" min="13" style="1" width="28"/>
    <col collapsed="false" customWidth="true" hidden="false" outlineLevel="0" max="14" min="14" style="1" width="7"/>
    <col collapsed="false" customWidth="true" hidden="false" outlineLevel="0" max="15" min="15" style="1" width="14"/>
    <col collapsed="false" customWidth="true" hidden="false" outlineLevel="0" max="17" min="16" style="1" width="15"/>
    <col collapsed="false" customWidth="true" hidden="false" outlineLevel="0" max="18" min="18" style="1" width="14"/>
    <col collapsed="false" customWidth="true" hidden="false" outlineLevel="0" max="19" min="19" style="1" width="38.33"/>
    <col collapsed="false" customWidth="true" hidden="false" outlineLevel="0" max="20" min="20" style="1" width="80"/>
    <col collapsed="false" customWidth="true" hidden="false" outlineLevel="0" max="21" min="21" style="1" width="18"/>
    <col collapsed="false" customWidth="true" hidden="false" outlineLevel="0" max="23" min="22" style="1" width="60"/>
    <col collapsed="false" customWidth="true" hidden="false" outlineLevel="0" max="24" min="24" style="1" width="120"/>
  </cols>
  <sheetData>
    <row r="1" customFormat="false" ht="15" hidden="false" customHeight="true" outlineLevel="0" collapsed="false">
      <c r="A1" s="26" t="s">
        <v>167</v>
      </c>
      <c r="X1" s="27" t="s">
        <v>168</v>
      </c>
    </row>
    <row r="2" customFormat="false" ht="14.25" hidden="false" customHeight="true" outlineLevel="0" collapsed="false">
      <c r="A2" s="28" t="s">
        <v>169</v>
      </c>
    </row>
    <row r="3" customFormat="false" ht="48" hidden="false" customHeight="true" outlineLevel="0" collapsed="false">
      <c r="A3" s="29" t="s">
        <v>170</v>
      </c>
      <c r="B3" s="29" t="s">
        <v>29</v>
      </c>
      <c r="C3" s="29" t="s">
        <v>171</v>
      </c>
      <c r="D3" s="29" t="s">
        <v>172</v>
      </c>
      <c r="E3" s="29" t="s">
        <v>173</v>
      </c>
      <c r="F3" s="29" t="s">
        <v>174</v>
      </c>
      <c r="G3" s="29" t="s">
        <v>175</v>
      </c>
      <c r="H3" s="29" t="s">
        <v>176</v>
      </c>
      <c r="I3" s="29" t="s">
        <v>177</v>
      </c>
      <c r="J3" s="29" t="s">
        <v>178</v>
      </c>
      <c r="K3" s="29" t="s">
        <v>179</v>
      </c>
      <c r="L3" s="29" t="s">
        <v>180</v>
      </c>
      <c r="M3" s="29" t="s">
        <v>181</v>
      </c>
      <c r="N3" s="29" t="s">
        <v>182</v>
      </c>
      <c r="O3" s="29" t="s">
        <v>183</v>
      </c>
      <c r="P3" s="29" t="s">
        <v>184</v>
      </c>
      <c r="Q3" s="29" t="s">
        <v>185</v>
      </c>
      <c r="R3" s="29" t="s">
        <v>186</v>
      </c>
      <c r="S3" s="29" t="s">
        <v>187</v>
      </c>
      <c r="T3" s="29" t="s">
        <v>188</v>
      </c>
      <c r="U3" s="29" t="s">
        <v>38</v>
      </c>
      <c r="V3" s="30" t="s">
        <v>189</v>
      </c>
      <c r="W3" s="30" t="s">
        <v>190</v>
      </c>
      <c r="X3" s="30" t="s">
        <v>191</v>
      </c>
    </row>
    <row r="4" customFormat="false" ht="65.25" hidden="false" customHeight="true" outlineLevel="0" collapsed="false">
      <c r="A4" s="31" t="s">
        <v>39</v>
      </c>
      <c r="B4" s="31" t="s">
        <v>40</v>
      </c>
      <c r="C4" s="31" t="s">
        <v>192</v>
      </c>
      <c r="D4" s="17" t="s">
        <v>193</v>
      </c>
      <c r="E4" s="32" t="s">
        <v>194</v>
      </c>
      <c r="F4" s="32" t="s">
        <v>195</v>
      </c>
      <c r="G4" s="33" t="s">
        <v>196</v>
      </c>
      <c r="H4" s="32" t="s">
        <v>197</v>
      </c>
      <c r="I4" s="34" t="s">
        <v>198</v>
      </c>
      <c r="J4" s="32" t="s">
        <v>199</v>
      </c>
      <c r="K4" s="35" t="s">
        <v>200</v>
      </c>
      <c r="L4" s="35" t="s">
        <v>201</v>
      </c>
      <c r="M4" s="35" t="s">
        <v>202</v>
      </c>
      <c r="N4" s="36" t="n">
        <v>1</v>
      </c>
      <c r="O4" s="37" t="n">
        <v>393500</v>
      </c>
      <c r="P4" s="37" t="n">
        <v>393500</v>
      </c>
      <c r="Q4" s="38" t="n">
        <v>393500</v>
      </c>
      <c r="R4" s="37" t="n">
        <f aca="false">Q4-P4</f>
        <v>0</v>
      </c>
      <c r="S4" s="36" t="s">
        <v>203</v>
      </c>
      <c r="T4" s="33" t="s">
        <v>204</v>
      </c>
      <c r="U4" s="33" t="s">
        <v>205</v>
      </c>
      <c r="V4" s="39" t="s">
        <v>206</v>
      </c>
      <c r="W4" s="18" t="s">
        <v>207</v>
      </c>
      <c r="X4" s="17" t="s">
        <v>208</v>
      </c>
    </row>
    <row r="5" customFormat="false" ht="23.25" hidden="false" customHeight="true" outlineLevel="0" collapsed="false">
      <c r="A5" s="33" t="s">
        <v>39</v>
      </c>
      <c r="B5" s="33" t="s">
        <v>209</v>
      </c>
      <c r="C5" s="33" t="s">
        <v>210</v>
      </c>
      <c r="D5" s="40" t="s">
        <v>211</v>
      </c>
      <c r="E5" s="32" t="s">
        <v>212</v>
      </c>
      <c r="F5" s="32" t="s">
        <v>213</v>
      </c>
      <c r="G5" s="32" t="s">
        <v>214</v>
      </c>
      <c r="H5" s="32" t="s">
        <v>215</v>
      </c>
      <c r="I5" s="34" t="s">
        <v>216</v>
      </c>
      <c r="J5" s="32" t="s">
        <v>217</v>
      </c>
      <c r="K5" s="35"/>
      <c r="L5" s="35"/>
      <c r="M5" s="35"/>
      <c r="N5" s="35"/>
      <c r="O5" s="35"/>
      <c r="P5" s="35"/>
      <c r="Q5" s="35"/>
      <c r="R5" s="35"/>
      <c r="S5" s="35"/>
      <c r="T5" s="33" t="s">
        <v>218</v>
      </c>
      <c r="U5" s="33" t="s">
        <v>219</v>
      </c>
      <c r="V5" s="39" t="s">
        <v>220</v>
      </c>
      <c r="W5" s="18" t="s">
        <v>221</v>
      </c>
      <c r="X5" s="17"/>
    </row>
    <row r="6" customFormat="false" ht="22.5" hidden="false" customHeight="true" outlineLevel="0" collapsed="false">
      <c r="A6" s="33" t="s">
        <v>39</v>
      </c>
      <c r="B6" s="33" t="s">
        <v>209</v>
      </c>
      <c r="C6" s="33" t="s">
        <v>222</v>
      </c>
      <c r="D6" s="40" t="s">
        <v>223</v>
      </c>
      <c r="E6" s="32" t="s">
        <v>224</v>
      </c>
      <c r="F6" s="32" t="s">
        <v>225</v>
      </c>
      <c r="G6" s="32" t="s">
        <v>226</v>
      </c>
      <c r="H6" s="32" t="s">
        <v>227</v>
      </c>
      <c r="I6" s="34" t="s">
        <v>216</v>
      </c>
      <c r="J6" s="32" t="s">
        <v>228</v>
      </c>
      <c r="K6" s="35"/>
      <c r="L6" s="35"/>
      <c r="M6" s="35"/>
      <c r="N6" s="35"/>
      <c r="O6" s="35"/>
      <c r="P6" s="35"/>
      <c r="Q6" s="35"/>
      <c r="R6" s="35"/>
      <c r="S6" s="35"/>
      <c r="T6" s="33" t="s">
        <v>229</v>
      </c>
      <c r="U6" s="33" t="s">
        <v>230</v>
      </c>
      <c r="V6" s="39" t="s">
        <v>231</v>
      </c>
      <c r="W6" s="18" t="s">
        <v>232</v>
      </c>
      <c r="X6" s="17"/>
    </row>
    <row r="7" customFormat="false" ht="89.25" hidden="false" customHeight="true" outlineLevel="0" collapsed="false">
      <c r="A7" s="31" t="s">
        <v>45</v>
      </c>
      <c r="B7" s="31" t="s">
        <v>40</v>
      </c>
      <c r="C7" s="31" t="s">
        <v>233</v>
      </c>
      <c r="D7" s="17" t="s">
        <v>234</v>
      </c>
      <c r="E7" s="32" t="s">
        <v>235</v>
      </c>
      <c r="F7" s="32" t="s">
        <v>236</v>
      </c>
      <c r="G7" s="32" t="s">
        <v>237</v>
      </c>
      <c r="H7" s="32" t="s">
        <v>238</v>
      </c>
      <c r="I7" s="34" t="s">
        <v>239</v>
      </c>
      <c r="J7" s="32" t="s">
        <v>240</v>
      </c>
      <c r="K7" s="35" t="s">
        <v>241</v>
      </c>
      <c r="L7" s="35" t="s">
        <v>242</v>
      </c>
      <c r="M7" s="35" t="s">
        <v>243</v>
      </c>
      <c r="N7" s="36" t="n">
        <v>2</v>
      </c>
      <c r="O7" s="37" t="n">
        <v>407600.52</v>
      </c>
      <c r="P7" s="37" t="n">
        <v>815201.04</v>
      </c>
      <c r="Q7" s="38" t="n">
        <v>815201.04</v>
      </c>
      <c r="R7" s="37" t="n">
        <f aca="false">Q7-P7</f>
        <v>0</v>
      </c>
      <c r="S7" s="36" t="s">
        <v>244</v>
      </c>
      <c r="T7" s="33" t="s">
        <v>245</v>
      </c>
      <c r="U7" s="33" t="s">
        <v>49</v>
      </c>
      <c r="V7" s="39" t="s">
        <v>246</v>
      </c>
      <c r="W7" s="18" t="s">
        <v>247</v>
      </c>
      <c r="X7" s="17" t="s">
        <v>248</v>
      </c>
    </row>
    <row r="8" customFormat="false" ht="57.75" hidden="false" customHeight="true" outlineLevel="0" collapsed="false">
      <c r="A8" s="33" t="s">
        <v>45</v>
      </c>
      <c r="B8" s="33" t="s">
        <v>209</v>
      </c>
      <c r="C8" s="33" t="s">
        <v>249</v>
      </c>
      <c r="D8" s="41" t="s">
        <v>250</v>
      </c>
      <c r="E8" s="32" t="s">
        <v>251</v>
      </c>
      <c r="F8" s="32" t="s">
        <v>236</v>
      </c>
      <c r="G8" s="32" t="s">
        <v>252</v>
      </c>
      <c r="H8" s="32" t="s">
        <v>253</v>
      </c>
      <c r="I8" s="34" t="s">
        <v>254</v>
      </c>
      <c r="J8" s="32" t="s">
        <v>255</v>
      </c>
      <c r="K8" s="35"/>
      <c r="L8" s="35"/>
      <c r="M8" s="35"/>
      <c r="N8" s="35"/>
      <c r="O8" s="35"/>
      <c r="P8" s="35"/>
      <c r="Q8" s="35"/>
      <c r="R8" s="35"/>
      <c r="S8" s="35"/>
      <c r="T8" s="33" t="s">
        <v>256</v>
      </c>
      <c r="U8" s="33" t="s">
        <v>257</v>
      </c>
      <c r="V8" s="39" t="s">
        <v>258</v>
      </c>
      <c r="W8" s="18" t="s">
        <v>259</v>
      </c>
      <c r="X8" s="17"/>
    </row>
    <row r="9" customFormat="false" ht="37.5" hidden="false" customHeight="true" outlineLevel="0" collapsed="false">
      <c r="A9" s="33" t="s">
        <v>45</v>
      </c>
      <c r="B9" s="33" t="s">
        <v>209</v>
      </c>
      <c r="C9" s="33" t="s">
        <v>260</v>
      </c>
      <c r="D9" s="41" t="s">
        <v>261</v>
      </c>
      <c r="E9" s="32" t="s">
        <v>251</v>
      </c>
      <c r="F9" s="32" t="s">
        <v>236</v>
      </c>
      <c r="G9" s="32" t="s">
        <v>252</v>
      </c>
      <c r="H9" s="32" t="s">
        <v>262</v>
      </c>
      <c r="I9" s="34" t="s">
        <v>263</v>
      </c>
      <c r="J9" s="32" t="s">
        <v>264</v>
      </c>
      <c r="K9" s="35"/>
      <c r="L9" s="35"/>
      <c r="M9" s="35"/>
      <c r="N9" s="35"/>
      <c r="O9" s="35"/>
      <c r="P9" s="35"/>
      <c r="Q9" s="35"/>
      <c r="R9" s="35"/>
      <c r="S9" s="35"/>
      <c r="T9" s="33" t="s">
        <v>265</v>
      </c>
      <c r="U9" s="33" t="s">
        <v>266</v>
      </c>
      <c r="V9" s="39" t="s">
        <v>258</v>
      </c>
      <c r="W9" s="18" t="s">
        <v>267</v>
      </c>
      <c r="X9" s="17"/>
    </row>
    <row r="10" customFormat="false" ht="30" hidden="false" customHeight="true" outlineLevel="0" collapsed="false">
      <c r="A10" s="33" t="s">
        <v>45</v>
      </c>
      <c r="B10" s="33" t="s">
        <v>209</v>
      </c>
      <c r="C10" s="33" t="s">
        <v>268</v>
      </c>
      <c r="D10" s="42" t="s">
        <v>269</v>
      </c>
      <c r="E10" s="32" t="s">
        <v>270</v>
      </c>
      <c r="F10" s="32" t="s">
        <v>271</v>
      </c>
      <c r="G10" s="32" t="s">
        <v>272</v>
      </c>
      <c r="H10" s="32" t="s">
        <v>273</v>
      </c>
      <c r="I10" s="34" t="s">
        <v>274</v>
      </c>
      <c r="J10" s="32" t="s">
        <v>217</v>
      </c>
      <c r="K10" s="35"/>
      <c r="L10" s="35"/>
      <c r="M10" s="35"/>
      <c r="N10" s="35"/>
      <c r="O10" s="35"/>
      <c r="P10" s="35"/>
      <c r="Q10" s="35"/>
      <c r="R10" s="35"/>
      <c r="S10" s="36"/>
      <c r="T10" s="33" t="s">
        <v>275</v>
      </c>
      <c r="U10" s="33" t="s">
        <v>276</v>
      </c>
      <c r="V10" s="39" t="s">
        <v>277</v>
      </c>
      <c r="W10" s="18" t="s">
        <v>278</v>
      </c>
      <c r="X10" s="17"/>
    </row>
    <row r="11" customFormat="false" ht="80.25" hidden="false" customHeight="true" outlineLevel="0" collapsed="false">
      <c r="A11" s="31" t="s">
        <v>50</v>
      </c>
      <c r="B11" s="31" t="s">
        <v>40</v>
      </c>
      <c r="C11" s="31" t="s">
        <v>279</v>
      </c>
      <c r="D11" s="17" t="s">
        <v>280</v>
      </c>
      <c r="E11" s="32" t="s">
        <v>281</v>
      </c>
      <c r="F11" s="33" t="s">
        <v>282</v>
      </c>
      <c r="G11" s="32" t="s">
        <v>283</v>
      </c>
      <c r="H11" s="32" t="s">
        <v>284</v>
      </c>
      <c r="I11" s="34" t="s">
        <v>285</v>
      </c>
      <c r="J11" s="32" t="s">
        <v>286</v>
      </c>
      <c r="K11" s="43" t="s">
        <v>241</v>
      </c>
      <c r="L11" s="43" t="s">
        <v>242</v>
      </c>
      <c r="M11" s="43" t="s">
        <v>243</v>
      </c>
      <c r="N11" s="44" t="n">
        <v>1</v>
      </c>
      <c r="O11" s="45" t="n">
        <v>34798.96</v>
      </c>
      <c r="P11" s="45" t="n">
        <v>34798.96</v>
      </c>
      <c r="Q11" s="46" t="n">
        <v>34798.96</v>
      </c>
      <c r="R11" s="47" t="n">
        <f aca="false">Q11-P11</f>
        <v>0</v>
      </c>
      <c r="S11" s="36"/>
      <c r="T11" s="33" t="s">
        <v>287</v>
      </c>
      <c r="U11" s="33" t="s">
        <v>54</v>
      </c>
      <c r="V11" s="39" t="s">
        <v>288</v>
      </c>
      <c r="W11" s="18" t="s">
        <v>289</v>
      </c>
      <c r="X11" s="17" t="s">
        <v>290</v>
      </c>
    </row>
    <row r="12" customFormat="false" ht="84" hidden="false" customHeight="true" outlineLevel="0" collapsed="false">
      <c r="A12" s="31" t="s">
        <v>55</v>
      </c>
      <c r="B12" s="31" t="s">
        <v>40</v>
      </c>
      <c r="C12" s="31" t="s">
        <v>291</v>
      </c>
      <c r="D12" s="17" t="s">
        <v>292</v>
      </c>
      <c r="E12" s="32" t="s">
        <v>293</v>
      </c>
      <c r="F12" s="33" t="s">
        <v>294</v>
      </c>
      <c r="G12" s="32" t="s">
        <v>295</v>
      </c>
      <c r="H12" s="32" t="s">
        <v>296</v>
      </c>
      <c r="I12" s="34" t="s">
        <v>297</v>
      </c>
      <c r="J12" s="32" t="s">
        <v>298</v>
      </c>
      <c r="K12" s="48" t="s">
        <v>299</v>
      </c>
      <c r="L12" s="48" t="s">
        <v>300</v>
      </c>
      <c r="M12" s="48" t="s">
        <v>301</v>
      </c>
      <c r="N12" s="17" t="n">
        <v>12</v>
      </c>
      <c r="O12" s="47" t="n">
        <v>101981.67</v>
      </c>
      <c r="P12" s="47" t="n">
        <v>1223780.04</v>
      </c>
      <c r="Q12" s="49" t="n">
        <v>1223780.04</v>
      </c>
      <c r="R12" s="47" t="n">
        <f aca="false">Q12-P12</f>
        <v>0</v>
      </c>
      <c r="S12" s="33" t="s">
        <v>302</v>
      </c>
      <c r="T12" s="33" t="s">
        <v>303</v>
      </c>
      <c r="U12" s="33" t="s">
        <v>304</v>
      </c>
      <c r="V12" s="39" t="s">
        <v>305</v>
      </c>
      <c r="W12" s="18" t="s">
        <v>306</v>
      </c>
      <c r="X12" s="17" t="s">
        <v>307</v>
      </c>
    </row>
    <row r="13" customFormat="false" ht="45.75" hidden="false" customHeight="true" outlineLevel="0" collapsed="false">
      <c r="A13" s="33" t="s">
        <v>55</v>
      </c>
      <c r="B13" s="33" t="s">
        <v>209</v>
      </c>
      <c r="C13" s="33" t="s">
        <v>308</v>
      </c>
      <c r="D13" s="42" t="s">
        <v>309</v>
      </c>
      <c r="E13" s="32" t="s">
        <v>293</v>
      </c>
      <c r="F13" s="32" t="s">
        <v>310</v>
      </c>
      <c r="G13" s="32" t="s">
        <v>311</v>
      </c>
      <c r="H13" s="32" t="s">
        <v>312</v>
      </c>
      <c r="I13" s="34" t="s">
        <v>313</v>
      </c>
      <c r="J13" s="32" t="s">
        <v>298</v>
      </c>
      <c r="K13" s="48" t="s">
        <v>314</v>
      </c>
      <c r="L13" s="48"/>
      <c r="M13" s="48"/>
      <c r="N13" s="17"/>
      <c r="O13" s="47" t="n">
        <v>101981.67</v>
      </c>
      <c r="P13" s="47"/>
      <c r="Q13" s="49"/>
      <c r="R13" s="47"/>
      <c r="S13" s="17"/>
      <c r="T13" s="33" t="s">
        <v>315</v>
      </c>
      <c r="U13" s="33" t="s">
        <v>316</v>
      </c>
      <c r="V13" s="39" t="s">
        <v>317</v>
      </c>
      <c r="W13" s="17"/>
      <c r="X13" s="17"/>
    </row>
    <row r="14" customFormat="false" ht="45.75" hidden="false" customHeight="true" outlineLevel="0" collapsed="false">
      <c r="A14" s="33" t="s">
        <v>55</v>
      </c>
      <c r="B14" s="33" t="s">
        <v>209</v>
      </c>
      <c r="C14" s="33" t="s">
        <v>318</v>
      </c>
      <c r="D14" s="42" t="s">
        <v>319</v>
      </c>
      <c r="E14" s="32" t="s">
        <v>293</v>
      </c>
      <c r="F14" s="32" t="s">
        <v>310</v>
      </c>
      <c r="G14" s="32" t="s">
        <v>311</v>
      </c>
      <c r="H14" s="32" t="s">
        <v>320</v>
      </c>
      <c r="I14" s="34" t="s">
        <v>321</v>
      </c>
      <c r="J14" s="32" t="s">
        <v>298</v>
      </c>
      <c r="K14" s="48" t="s">
        <v>314</v>
      </c>
      <c r="L14" s="48"/>
      <c r="M14" s="48"/>
      <c r="N14" s="17"/>
      <c r="O14" s="47" t="n">
        <v>101981.67</v>
      </c>
      <c r="P14" s="47"/>
      <c r="Q14" s="49"/>
      <c r="R14" s="47"/>
      <c r="S14" s="17"/>
      <c r="T14" s="33" t="s">
        <v>322</v>
      </c>
      <c r="U14" s="33" t="s">
        <v>323</v>
      </c>
      <c r="V14" s="39" t="s">
        <v>324</v>
      </c>
      <c r="W14" s="17"/>
      <c r="X14" s="17"/>
    </row>
    <row r="15" customFormat="false" ht="45.75" hidden="false" customHeight="true" outlineLevel="0" collapsed="false">
      <c r="A15" s="33" t="s">
        <v>55</v>
      </c>
      <c r="B15" s="33" t="s">
        <v>209</v>
      </c>
      <c r="C15" s="33" t="s">
        <v>325</v>
      </c>
      <c r="D15" s="42" t="s">
        <v>326</v>
      </c>
      <c r="E15" s="32" t="s">
        <v>293</v>
      </c>
      <c r="F15" s="32" t="s">
        <v>310</v>
      </c>
      <c r="G15" s="32" t="s">
        <v>327</v>
      </c>
      <c r="H15" s="32" t="s">
        <v>328</v>
      </c>
      <c r="I15" s="34" t="s">
        <v>329</v>
      </c>
      <c r="J15" s="32" t="s">
        <v>298</v>
      </c>
      <c r="K15" s="48" t="s">
        <v>314</v>
      </c>
      <c r="L15" s="48"/>
      <c r="M15" s="48"/>
      <c r="N15" s="17"/>
      <c r="O15" s="47" t="n">
        <v>101981.67</v>
      </c>
      <c r="P15" s="47"/>
      <c r="Q15" s="49"/>
      <c r="R15" s="47"/>
      <c r="S15" s="17"/>
      <c r="T15" s="33" t="s">
        <v>330</v>
      </c>
      <c r="U15" s="33" t="s">
        <v>331</v>
      </c>
      <c r="V15" s="39" t="s">
        <v>332</v>
      </c>
      <c r="W15" s="17"/>
      <c r="X15" s="17"/>
    </row>
    <row r="16" customFormat="false" ht="57" hidden="false" customHeight="true" outlineLevel="0" collapsed="false">
      <c r="A16" s="33" t="s">
        <v>55</v>
      </c>
      <c r="B16" s="33" t="s">
        <v>209</v>
      </c>
      <c r="C16" s="33" t="s">
        <v>333</v>
      </c>
      <c r="D16" s="42" t="s">
        <v>334</v>
      </c>
      <c r="E16" s="32" t="s">
        <v>293</v>
      </c>
      <c r="F16" s="32" t="s">
        <v>310</v>
      </c>
      <c r="G16" s="32" t="s">
        <v>327</v>
      </c>
      <c r="H16" s="32" t="s">
        <v>335</v>
      </c>
      <c r="I16" s="34" t="s">
        <v>336</v>
      </c>
      <c r="J16" s="32" t="s">
        <v>298</v>
      </c>
      <c r="K16" s="48" t="s">
        <v>314</v>
      </c>
      <c r="L16" s="48"/>
      <c r="M16" s="48"/>
      <c r="N16" s="17"/>
      <c r="O16" s="47" t="n">
        <v>101981.67</v>
      </c>
      <c r="P16" s="47"/>
      <c r="Q16" s="49"/>
      <c r="R16" s="47"/>
      <c r="S16" s="17"/>
      <c r="T16" s="33" t="s">
        <v>337</v>
      </c>
      <c r="U16" s="33" t="s">
        <v>338</v>
      </c>
      <c r="V16" s="39" t="s">
        <v>339</v>
      </c>
      <c r="W16" s="17"/>
      <c r="X16" s="17"/>
    </row>
    <row r="17" customFormat="false" ht="57" hidden="false" customHeight="true" outlineLevel="0" collapsed="false">
      <c r="A17" s="33" t="s">
        <v>55</v>
      </c>
      <c r="B17" s="33" t="s">
        <v>209</v>
      </c>
      <c r="C17" s="33" t="s">
        <v>340</v>
      </c>
      <c r="D17" s="42" t="s">
        <v>341</v>
      </c>
      <c r="E17" s="32" t="s">
        <v>293</v>
      </c>
      <c r="F17" s="32" t="s">
        <v>310</v>
      </c>
      <c r="G17" s="32" t="s">
        <v>342</v>
      </c>
      <c r="H17" s="32" t="s">
        <v>343</v>
      </c>
      <c r="I17" s="34" t="s">
        <v>344</v>
      </c>
      <c r="J17" s="32" t="s">
        <v>298</v>
      </c>
      <c r="K17" s="48" t="s">
        <v>314</v>
      </c>
      <c r="L17" s="48"/>
      <c r="M17" s="48"/>
      <c r="N17" s="17"/>
      <c r="O17" s="47" t="n">
        <v>101981.67</v>
      </c>
      <c r="P17" s="47"/>
      <c r="Q17" s="49"/>
      <c r="R17" s="47"/>
      <c r="S17" s="17"/>
      <c r="T17" s="33" t="s">
        <v>345</v>
      </c>
      <c r="U17" s="33" t="s">
        <v>346</v>
      </c>
      <c r="V17" s="39" t="s">
        <v>347</v>
      </c>
      <c r="W17" s="17"/>
      <c r="X17" s="17"/>
    </row>
    <row r="18" customFormat="false" ht="57" hidden="false" customHeight="true" outlineLevel="0" collapsed="false">
      <c r="A18" s="33" t="s">
        <v>55</v>
      </c>
      <c r="B18" s="33" t="s">
        <v>209</v>
      </c>
      <c r="C18" s="33" t="s">
        <v>348</v>
      </c>
      <c r="D18" s="42" t="s">
        <v>349</v>
      </c>
      <c r="E18" s="32" t="s">
        <v>293</v>
      </c>
      <c r="F18" s="32" t="s">
        <v>310</v>
      </c>
      <c r="G18" s="32" t="s">
        <v>342</v>
      </c>
      <c r="H18" s="32" t="s">
        <v>350</v>
      </c>
      <c r="I18" s="34" t="s">
        <v>351</v>
      </c>
      <c r="J18" s="32" t="s">
        <v>298</v>
      </c>
      <c r="K18" s="48" t="s">
        <v>314</v>
      </c>
      <c r="L18" s="48"/>
      <c r="M18" s="48"/>
      <c r="N18" s="17"/>
      <c r="O18" s="47" t="n">
        <v>101981.67</v>
      </c>
      <c r="P18" s="47"/>
      <c r="Q18" s="49"/>
      <c r="R18" s="47"/>
      <c r="S18" s="17"/>
      <c r="T18" s="33" t="s">
        <v>345</v>
      </c>
      <c r="U18" s="33" t="s">
        <v>352</v>
      </c>
      <c r="V18" s="39" t="s">
        <v>353</v>
      </c>
      <c r="W18" s="17"/>
      <c r="X18" s="17"/>
    </row>
    <row r="19" customFormat="false" ht="45.75" hidden="false" customHeight="true" outlineLevel="0" collapsed="false">
      <c r="A19" s="33" t="s">
        <v>55</v>
      </c>
      <c r="B19" s="33" t="s">
        <v>209</v>
      </c>
      <c r="C19" s="33" t="s">
        <v>354</v>
      </c>
      <c r="D19" s="42" t="s">
        <v>355</v>
      </c>
      <c r="E19" s="32" t="s">
        <v>293</v>
      </c>
      <c r="F19" s="32" t="s">
        <v>310</v>
      </c>
      <c r="G19" s="32" t="s">
        <v>311</v>
      </c>
      <c r="H19" s="32" t="s">
        <v>356</v>
      </c>
      <c r="I19" s="34" t="s">
        <v>357</v>
      </c>
      <c r="J19" s="32" t="s">
        <v>298</v>
      </c>
      <c r="K19" s="48" t="s">
        <v>314</v>
      </c>
      <c r="L19" s="48"/>
      <c r="M19" s="48"/>
      <c r="N19" s="17"/>
      <c r="O19" s="47" t="n">
        <v>101981.67</v>
      </c>
      <c r="P19" s="47"/>
      <c r="Q19" s="49"/>
      <c r="R19" s="47"/>
      <c r="S19" s="17"/>
      <c r="T19" s="33" t="s">
        <v>358</v>
      </c>
      <c r="U19" s="33" t="s">
        <v>359</v>
      </c>
      <c r="V19" s="39" t="s">
        <v>360</v>
      </c>
      <c r="W19" s="17"/>
      <c r="X19" s="17"/>
    </row>
    <row r="20" customFormat="false" ht="57" hidden="false" customHeight="true" outlineLevel="0" collapsed="false">
      <c r="A20" s="33" t="s">
        <v>55</v>
      </c>
      <c r="B20" s="33" t="s">
        <v>209</v>
      </c>
      <c r="C20" s="33" t="s">
        <v>361</v>
      </c>
      <c r="D20" s="42" t="s">
        <v>362</v>
      </c>
      <c r="E20" s="32" t="s">
        <v>293</v>
      </c>
      <c r="F20" s="32" t="s">
        <v>310</v>
      </c>
      <c r="G20" s="32" t="s">
        <v>327</v>
      </c>
      <c r="H20" s="32" t="s">
        <v>363</v>
      </c>
      <c r="I20" s="34" t="s">
        <v>364</v>
      </c>
      <c r="J20" s="32" t="s">
        <v>298</v>
      </c>
      <c r="K20" s="48" t="s">
        <v>314</v>
      </c>
      <c r="L20" s="48"/>
      <c r="M20" s="48"/>
      <c r="N20" s="17"/>
      <c r="O20" s="47" t="n">
        <v>101981.67</v>
      </c>
      <c r="P20" s="47"/>
      <c r="Q20" s="49"/>
      <c r="R20" s="47"/>
      <c r="S20" s="17"/>
      <c r="T20" s="33" t="s">
        <v>365</v>
      </c>
      <c r="U20" s="33" t="s">
        <v>366</v>
      </c>
      <c r="V20" s="39" t="s">
        <v>367</v>
      </c>
      <c r="W20" s="17"/>
      <c r="X20" s="17"/>
    </row>
    <row r="21" customFormat="false" ht="57" hidden="false" customHeight="true" outlineLevel="0" collapsed="false">
      <c r="A21" s="33" t="s">
        <v>55</v>
      </c>
      <c r="B21" s="33" t="s">
        <v>209</v>
      </c>
      <c r="C21" s="33" t="s">
        <v>368</v>
      </c>
      <c r="D21" s="42" t="s">
        <v>369</v>
      </c>
      <c r="E21" s="32" t="s">
        <v>293</v>
      </c>
      <c r="F21" s="32" t="s">
        <v>370</v>
      </c>
      <c r="G21" s="32" t="s">
        <v>371</v>
      </c>
      <c r="H21" s="32" t="s">
        <v>372</v>
      </c>
      <c r="I21" s="34" t="s">
        <v>373</v>
      </c>
      <c r="J21" s="32" t="s">
        <v>298</v>
      </c>
      <c r="K21" s="48" t="s">
        <v>314</v>
      </c>
      <c r="L21" s="48"/>
      <c r="M21" s="48"/>
      <c r="N21" s="17"/>
      <c r="O21" s="47" t="n">
        <v>101981.67</v>
      </c>
      <c r="P21" s="47"/>
      <c r="Q21" s="49"/>
      <c r="R21" s="47"/>
      <c r="S21" s="17"/>
      <c r="T21" s="33" t="s">
        <v>374</v>
      </c>
      <c r="U21" s="33" t="s">
        <v>375</v>
      </c>
      <c r="V21" s="39" t="s">
        <v>376</v>
      </c>
      <c r="W21" s="17"/>
      <c r="X21" s="17"/>
    </row>
    <row r="22" customFormat="false" ht="45.75" hidden="false" customHeight="true" outlineLevel="0" collapsed="false">
      <c r="A22" s="33" t="s">
        <v>55</v>
      </c>
      <c r="B22" s="33" t="s">
        <v>209</v>
      </c>
      <c r="C22" s="33" t="s">
        <v>377</v>
      </c>
      <c r="D22" s="42" t="s">
        <v>378</v>
      </c>
      <c r="E22" s="32" t="s">
        <v>293</v>
      </c>
      <c r="F22" s="32" t="s">
        <v>379</v>
      </c>
      <c r="G22" s="32" t="s">
        <v>380</v>
      </c>
      <c r="H22" s="32" t="s">
        <v>381</v>
      </c>
      <c r="I22" s="34" t="s">
        <v>382</v>
      </c>
      <c r="J22" s="32" t="s">
        <v>298</v>
      </c>
      <c r="K22" s="48" t="s">
        <v>314</v>
      </c>
      <c r="L22" s="48"/>
      <c r="M22" s="48"/>
      <c r="N22" s="17"/>
      <c r="O22" s="47" t="n">
        <v>101981.67</v>
      </c>
      <c r="P22" s="47"/>
      <c r="Q22" s="49"/>
      <c r="R22" s="47"/>
      <c r="S22" s="17"/>
      <c r="T22" s="33" t="s">
        <v>383</v>
      </c>
      <c r="U22" s="33" t="s">
        <v>384</v>
      </c>
      <c r="V22" s="39" t="s">
        <v>385</v>
      </c>
      <c r="W22" s="17"/>
      <c r="X22" s="17"/>
    </row>
    <row r="23" customFormat="false" ht="57" hidden="false" customHeight="true" outlineLevel="0" collapsed="false">
      <c r="A23" s="33" t="s">
        <v>55</v>
      </c>
      <c r="B23" s="33" t="s">
        <v>209</v>
      </c>
      <c r="C23" s="33" t="s">
        <v>386</v>
      </c>
      <c r="D23" s="42" t="s">
        <v>387</v>
      </c>
      <c r="E23" s="32" t="s">
        <v>293</v>
      </c>
      <c r="F23" s="32" t="s">
        <v>310</v>
      </c>
      <c r="G23" s="32" t="s">
        <v>388</v>
      </c>
      <c r="H23" s="32" t="s">
        <v>389</v>
      </c>
      <c r="I23" s="34" t="s">
        <v>390</v>
      </c>
      <c r="J23" s="32" t="s">
        <v>298</v>
      </c>
      <c r="K23" s="48" t="s">
        <v>314</v>
      </c>
      <c r="L23" s="48"/>
      <c r="M23" s="48"/>
      <c r="N23" s="17"/>
      <c r="O23" s="47" t="n">
        <v>101981.67</v>
      </c>
      <c r="P23" s="47"/>
      <c r="Q23" s="49"/>
      <c r="R23" s="47"/>
      <c r="S23" s="17"/>
      <c r="T23" s="33" t="s">
        <v>391</v>
      </c>
      <c r="U23" s="33" t="s">
        <v>392</v>
      </c>
      <c r="V23" s="39" t="s">
        <v>393</v>
      </c>
      <c r="W23" s="18" t="s">
        <v>394</v>
      </c>
      <c r="X23" s="17"/>
    </row>
    <row r="24" customFormat="false" ht="57" hidden="false" customHeight="true" outlineLevel="0" collapsed="false">
      <c r="A24" s="33" t="s">
        <v>55</v>
      </c>
      <c r="B24" s="33" t="s">
        <v>209</v>
      </c>
      <c r="C24" s="33" t="s">
        <v>395</v>
      </c>
      <c r="D24" s="42" t="s">
        <v>396</v>
      </c>
      <c r="E24" s="32" t="s">
        <v>293</v>
      </c>
      <c r="F24" s="32" t="s">
        <v>310</v>
      </c>
      <c r="G24" s="32" t="s">
        <v>388</v>
      </c>
      <c r="H24" s="32" t="s">
        <v>397</v>
      </c>
      <c r="I24" s="34" t="s">
        <v>398</v>
      </c>
      <c r="J24" s="32" t="s">
        <v>298</v>
      </c>
      <c r="K24" s="48" t="s">
        <v>314</v>
      </c>
      <c r="L24" s="48"/>
      <c r="M24" s="48"/>
      <c r="N24" s="17"/>
      <c r="O24" s="47" t="n">
        <v>101981.67</v>
      </c>
      <c r="P24" s="47"/>
      <c r="Q24" s="49"/>
      <c r="R24" s="47"/>
      <c r="S24" s="17"/>
      <c r="T24" s="33" t="s">
        <v>399</v>
      </c>
      <c r="U24" s="33" t="s">
        <v>400</v>
      </c>
      <c r="V24" s="39" t="s">
        <v>401</v>
      </c>
      <c r="W24" s="18" t="s">
        <v>402</v>
      </c>
      <c r="X24" s="17"/>
    </row>
    <row r="25" customFormat="false" ht="45.75" hidden="false" customHeight="true" outlineLevel="0" collapsed="false">
      <c r="A25" s="31" t="s">
        <v>60</v>
      </c>
      <c r="B25" s="31" t="s">
        <v>40</v>
      </c>
      <c r="C25" s="31" t="s">
        <v>403</v>
      </c>
      <c r="D25" s="17" t="s">
        <v>404</v>
      </c>
      <c r="E25" s="32" t="s">
        <v>293</v>
      </c>
      <c r="F25" s="33" t="s">
        <v>405</v>
      </c>
      <c r="G25" s="32" t="s">
        <v>406</v>
      </c>
      <c r="H25" s="32" t="s">
        <v>407</v>
      </c>
      <c r="I25" s="34" t="s">
        <v>408</v>
      </c>
      <c r="J25" s="32" t="s">
        <v>298</v>
      </c>
      <c r="K25" s="48" t="s">
        <v>409</v>
      </c>
      <c r="L25" s="48" t="s">
        <v>410</v>
      </c>
      <c r="M25" s="48" t="s">
        <v>301</v>
      </c>
      <c r="N25" s="17" t="n">
        <v>1</v>
      </c>
      <c r="O25" s="47" t="n">
        <v>71978.04</v>
      </c>
      <c r="P25" s="47" t="n">
        <v>71978.04</v>
      </c>
      <c r="Q25" s="49" t="n">
        <v>71978.04</v>
      </c>
      <c r="R25" s="47" t="n">
        <f aca="false">Q25-P25</f>
        <v>0</v>
      </c>
      <c r="S25" s="33" t="s">
        <v>411</v>
      </c>
      <c r="T25" s="33" t="s">
        <v>412</v>
      </c>
      <c r="U25" s="33" t="s">
        <v>304</v>
      </c>
      <c r="V25" s="39" t="s">
        <v>413</v>
      </c>
      <c r="W25" s="18" t="s">
        <v>414</v>
      </c>
      <c r="X25" s="17" t="s">
        <v>415</v>
      </c>
    </row>
    <row r="26" customFormat="false" ht="57" hidden="false" customHeight="true" outlineLevel="0" collapsed="false">
      <c r="A26" s="33" t="s">
        <v>60</v>
      </c>
      <c r="B26" s="33" t="s">
        <v>209</v>
      </c>
      <c r="C26" s="33" t="s">
        <v>416</v>
      </c>
      <c r="D26" s="42" t="s">
        <v>417</v>
      </c>
      <c r="E26" s="32" t="s">
        <v>293</v>
      </c>
      <c r="F26" s="32" t="s">
        <v>418</v>
      </c>
      <c r="G26" s="32" t="s">
        <v>419</v>
      </c>
      <c r="H26" s="32" t="s">
        <v>420</v>
      </c>
      <c r="I26" s="34" t="s">
        <v>421</v>
      </c>
      <c r="J26" s="32" t="s">
        <v>298</v>
      </c>
      <c r="K26" s="48" t="s">
        <v>314</v>
      </c>
      <c r="L26" s="48"/>
      <c r="M26" s="48"/>
      <c r="N26" s="17"/>
      <c r="O26" s="47" t="n">
        <v>71978.04</v>
      </c>
      <c r="P26" s="47"/>
      <c r="Q26" s="49"/>
      <c r="R26" s="47"/>
      <c r="S26" s="17"/>
      <c r="T26" s="33" t="s">
        <v>422</v>
      </c>
      <c r="U26" s="33" t="s">
        <v>64</v>
      </c>
      <c r="V26" s="39" t="s">
        <v>423</v>
      </c>
      <c r="W26" s="18" t="s">
        <v>424</v>
      </c>
      <c r="X26" s="17"/>
    </row>
    <row r="27" customFormat="false" ht="45.75" hidden="false" customHeight="true" outlineLevel="0" collapsed="false">
      <c r="A27" s="31" t="s">
        <v>65</v>
      </c>
      <c r="B27" s="31" t="s">
        <v>40</v>
      </c>
      <c r="C27" s="31" t="s">
        <v>425</v>
      </c>
      <c r="D27" s="17" t="s">
        <v>426</v>
      </c>
      <c r="E27" s="32" t="s">
        <v>293</v>
      </c>
      <c r="F27" s="33" t="s">
        <v>294</v>
      </c>
      <c r="G27" s="32" t="s">
        <v>427</v>
      </c>
      <c r="H27" s="32" t="s">
        <v>428</v>
      </c>
      <c r="I27" s="34" t="s">
        <v>429</v>
      </c>
      <c r="J27" s="32" t="s">
        <v>298</v>
      </c>
      <c r="K27" s="48" t="s">
        <v>430</v>
      </c>
      <c r="L27" s="48" t="s">
        <v>431</v>
      </c>
      <c r="M27" s="48" t="s">
        <v>301</v>
      </c>
      <c r="N27" s="17" t="n">
        <v>2</v>
      </c>
      <c r="O27" s="47" t="n">
        <v>87358.35</v>
      </c>
      <c r="P27" s="47" t="n">
        <v>174716.7</v>
      </c>
      <c r="Q27" s="49" t="n">
        <v>174716.7</v>
      </c>
      <c r="R27" s="47" t="n">
        <f aca="false">Q27-P27</f>
        <v>0</v>
      </c>
      <c r="S27" s="33" t="s">
        <v>432</v>
      </c>
      <c r="T27" s="33" t="s">
        <v>433</v>
      </c>
      <c r="U27" s="33" t="s">
        <v>304</v>
      </c>
      <c r="V27" s="39" t="s">
        <v>434</v>
      </c>
      <c r="W27" s="18" t="s">
        <v>435</v>
      </c>
      <c r="X27" s="17" t="s">
        <v>436</v>
      </c>
    </row>
    <row r="28" customFormat="false" ht="57" hidden="false" customHeight="true" outlineLevel="0" collapsed="false">
      <c r="A28" s="33" t="s">
        <v>65</v>
      </c>
      <c r="B28" s="33" t="s">
        <v>209</v>
      </c>
      <c r="C28" s="33" t="s">
        <v>437</v>
      </c>
      <c r="D28" s="42" t="s">
        <v>438</v>
      </c>
      <c r="E28" s="32" t="s">
        <v>293</v>
      </c>
      <c r="F28" s="32" t="s">
        <v>310</v>
      </c>
      <c r="G28" s="32" t="s">
        <v>439</v>
      </c>
      <c r="H28" s="32" t="s">
        <v>440</v>
      </c>
      <c r="I28" s="34" t="s">
        <v>441</v>
      </c>
      <c r="J28" s="32" t="s">
        <v>298</v>
      </c>
      <c r="K28" s="48" t="s">
        <v>314</v>
      </c>
      <c r="L28" s="48"/>
      <c r="M28" s="48"/>
      <c r="N28" s="17"/>
      <c r="O28" s="47" t="n">
        <v>87358.35</v>
      </c>
      <c r="P28" s="47"/>
      <c r="Q28" s="49"/>
      <c r="R28" s="47"/>
      <c r="S28" s="17"/>
      <c r="T28" s="33" t="s">
        <v>442</v>
      </c>
      <c r="U28" s="33" t="s">
        <v>443</v>
      </c>
      <c r="V28" s="39" t="s">
        <v>444</v>
      </c>
      <c r="W28" s="18" t="s">
        <v>445</v>
      </c>
      <c r="X28" s="17"/>
    </row>
    <row r="29" customFormat="false" ht="45.75" hidden="false" customHeight="true" outlineLevel="0" collapsed="false">
      <c r="A29" s="33" t="s">
        <v>65</v>
      </c>
      <c r="B29" s="33" t="s">
        <v>209</v>
      </c>
      <c r="C29" s="33" t="s">
        <v>446</v>
      </c>
      <c r="D29" s="42" t="s">
        <v>447</v>
      </c>
      <c r="E29" s="32" t="s">
        <v>293</v>
      </c>
      <c r="F29" s="32" t="s">
        <v>310</v>
      </c>
      <c r="G29" s="32" t="s">
        <v>439</v>
      </c>
      <c r="H29" s="32" t="s">
        <v>448</v>
      </c>
      <c r="I29" s="34" t="s">
        <v>449</v>
      </c>
      <c r="J29" s="32" t="s">
        <v>298</v>
      </c>
      <c r="K29" s="48" t="s">
        <v>314</v>
      </c>
      <c r="L29" s="48"/>
      <c r="M29" s="48"/>
      <c r="N29" s="17"/>
      <c r="O29" s="47" t="n">
        <v>87358.35</v>
      </c>
      <c r="P29" s="47"/>
      <c r="Q29" s="49"/>
      <c r="R29" s="47"/>
      <c r="S29" s="17"/>
      <c r="T29" s="33" t="s">
        <v>450</v>
      </c>
      <c r="U29" s="33" t="s">
        <v>451</v>
      </c>
      <c r="V29" s="39" t="s">
        <v>452</v>
      </c>
      <c r="W29" s="18" t="s">
        <v>453</v>
      </c>
      <c r="X29" s="17"/>
    </row>
    <row r="30" customFormat="false" ht="45.75" hidden="false" customHeight="true" outlineLevel="0" collapsed="false">
      <c r="A30" s="31" t="s">
        <v>70</v>
      </c>
      <c r="B30" s="31" t="s">
        <v>40</v>
      </c>
      <c r="C30" s="31" t="s">
        <v>454</v>
      </c>
      <c r="D30" s="17" t="s">
        <v>455</v>
      </c>
      <c r="E30" s="32" t="s">
        <v>293</v>
      </c>
      <c r="F30" s="33" t="s">
        <v>456</v>
      </c>
      <c r="G30" s="32" t="s">
        <v>457</v>
      </c>
      <c r="H30" s="32" t="s">
        <v>458</v>
      </c>
      <c r="I30" s="34" t="s">
        <v>429</v>
      </c>
      <c r="J30" s="32" t="s">
        <v>298</v>
      </c>
      <c r="K30" s="48" t="s">
        <v>430</v>
      </c>
      <c r="L30" s="48" t="s">
        <v>431</v>
      </c>
      <c r="M30" s="48" t="s">
        <v>301</v>
      </c>
      <c r="N30" s="17" t="n">
        <v>2</v>
      </c>
      <c r="O30" s="47" t="n">
        <v>80938.11</v>
      </c>
      <c r="P30" s="47" t="n">
        <v>161876.22</v>
      </c>
      <c r="Q30" s="49" t="n">
        <v>161876.22</v>
      </c>
      <c r="R30" s="47" t="n">
        <f aca="false">Q30-P30</f>
        <v>0</v>
      </c>
      <c r="S30" s="33" t="s">
        <v>432</v>
      </c>
      <c r="T30" s="33" t="s">
        <v>459</v>
      </c>
      <c r="U30" s="33" t="s">
        <v>304</v>
      </c>
      <c r="V30" s="39" t="s">
        <v>460</v>
      </c>
      <c r="W30" s="18" t="s">
        <v>461</v>
      </c>
      <c r="X30" s="17" t="s">
        <v>462</v>
      </c>
    </row>
    <row r="31" customFormat="false" ht="60" hidden="false" customHeight="true" outlineLevel="0" collapsed="false">
      <c r="A31" s="33" t="s">
        <v>70</v>
      </c>
      <c r="B31" s="33" t="s">
        <v>209</v>
      </c>
      <c r="C31" s="33" t="s">
        <v>463</v>
      </c>
      <c r="D31" s="42" t="s">
        <v>464</v>
      </c>
      <c r="E31" s="32" t="s">
        <v>293</v>
      </c>
      <c r="F31" s="32" t="s">
        <v>465</v>
      </c>
      <c r="G31" s="32" t="s">
        <v>466</v>
      </c>
      <c r="H31" s="32" t="s">
        <v>467</v>
      </c>
      <c r="I31" s="34" t="s">
        <v>468</v>
      </c>
      <c r="J31" s="32" t="s">
        <v>298</v>
      </c>
      <c r="K31" s="48" t="s">
        <v>314</v>
      </c>
      <c r="L31" s="48"/>
      <c r="M31" s="48"/>
      <c r="N31" s="17"/>
      <c r="O31" s="47" t="n">
        <v>80938.11</v>
      </c>
      <c r="P31" s="47"/>
      <c r="Q31" s="49"/>
      <c r="R31" s="47"/>
      <c r="S31" s="17"/>
      <c r="T31" s="33" t="s">
        <v>469</v>
      </c>
      <c r="U31" s="33" t="s">
        <v>470</v>
      </c>
      <c r="V31" s="39" t="s">
        <v>471</v>
      </c>
      <c r="W31" s="17"/>
      <c r="X31" s="17"/>
    </row>
    <row r="32" customFormat="false" ht="60" hidden="false" customHeight="true" outlineLevel="0" collapsed="false">
      <c r="A32" s="33" t="s">
        <v>70</v>
      </c>
      <c r="B32" s="33" t="s">
        <v>209</v>
      </c>
      <c r="C32" s="33" t="s">
        <v>472</v>
      </c>
      <c r="D32" s="42" t="s">
        <v>473</v>
      </c>
      <c r="E32" s="32" t="s">
        <v>293</v>
      </c>
      <c r="F32" s="32" t="s">
        <v>474</v>
      </c>
      <c r="G32" s="32" t="s">
        <v>466</v>
      </c>
      <c r="H32" s="32" t="s">
        <v>475</v>
      </c>
      <c r="I32" s="34" t="s">
        <v>476</v>
      </c>
      <c r="J32" s="32" t="s">
        <v>298</v>
      </c>
      <c r="K32" s="48" t="s">
        <v>314</v>
      </c>
      <c r="L32" s="48"/>
      <c r="M32" s="48"/>
      <c r="N32" s="17"/>
      <c r="O32" s="47" t="n">
        <v>80938.11</v>
      </c>
      <c r="P32" s="47"/>
      <c r="Q32" s="49"/>
      <c r="R32" s="47"/>
      <c r="S32" s="17"/>
      <c r="T32" s="33" t="s">
        <v>469</v>
      </c>
      <c r="U32" s="33" t="s">
        <v>477</v>
      </c>
      <c r="V32" s="39" t="s">
        <v>478</v>
      </c>
      <c r="W32" s="17"/>
      <c r="X32" s="17"/>
    </row>
    <row r="33" customFormat="false" ht="45.75" hidden="false" customHeight="true" outlineLevel="0" collapsed="false">
      <c r="A33" s="31" t="s">
        <v>75</v>
      </c>
      <c r="B33" s="31" t="s">
        <v>40</v>
      </c>
      <c r="C33" s="31" t="s">
        <v>479</v>
      </c>
      <c r="D33" s="17" t="s">
        <v>480</v>
      </c>
      <c r="E33" s="32" t="s">
        <v>293</v>
      </c>
      <c r="F33" s="33" t="s">
        <v>456</v>
      </c>
      <c r="G33" s="32" t="s">
        <v>481</v>
      </c>
      <c r="H33" s="32" t="s">
        <v>482</v>
      </c>
      <c r="I33" s="34" t="s">
        <v>483</v>
      </c>
      <c r="J33" s="32" t="s">
        <v>298</v>
      </c>
      <c r="K33" s="48" t="s">
        <v>430</v>
      </c>
      <c r="L33" s="48" t="s">
        <v>431</v>
      </c>
      <c r="M33" s="48" t="s">
        <v>301</v>
      </c>
      <c r="N33" s="17" t="n">
        <v>3</v>
      </c>
      <c r="O33" s="47" t="n">
        <v>102853.99</v>
      </c>
      <c r="P33" s="47" t="n">
        <v>308561.97</v>
      </c>
      <c r="Q33" s="49" t="n">
        <v>308561.97</v>
      </c>
      <c r="R33" s="47" t="n">
        <f aca="false">Q33-P33</f>
        <v>0</v>
      </c>
      <c r="S33" s="33" t="s">
        <v>432</v>
      </c>
      <c r="T33" s="33" t="s">
        <v>484</v>
      </c>
      <c r="U33" s="33" t="s">
        <v>304</v>
      </c>
      <c r="V33" s="39" t="s">
        <v>485</v>
      </c>
      <c r="W33" s="18" t="s">
        <v>486</v>
      </c>
      <c r="X33" s="17" t="s">
        <v>487</v>
      </c>
    </row>
    <row r="34" customFormat="false" ht="60.75" hidden="false" customHeight="true" outlineLevel="0" collapsed="false">
      <c r="A34" s="33" t="s">
        <v>75</v>
      </c>
      <c r="B34" s="33" t="s">
        <v>209</v>
      </c>
      <c r="C34" s="33" t="s">
        <v>488</v>
      </c>
      <c r="D34" s="42" t="s">
        <v>489</v>
      </c>
      <c r="E34" s="32" t="s">
        <v>293</v>
      </c>
      <c r="F34" s="32" t="s">
        <v>474</v>
      </c>
      <c r="G34" s="32" t="s">
        <v>490</v>
      </c>
      <c r="H34" s="32" t="s">
        <v>491</v>
      </c>
      <c r="I34" s="34" t="s">
        <v>492</v>
      </c>
      <c r="J34" s="32" t="s">
        <v>298</v>
      </c>
      <c r="K34" s="48" t="s">
        <v>314</v>
      </c>
      <c r="L34" s="48"/>
      <c r="M34" s="48"/>
      <c r="N34" s="17"/>
      <c r="O34" s="47" t="n">
        <v>102853.99</v>
      </c>
      <c r="P34" s="47"/>
      <c r="Q34" s="49"/>
      <c r="R34" s="47"/>
      <c r="S34" s="17"/>
      <c r="T34" s="33" t="s">
        <v>493</v>
      </c>
      <c r="U34" s="33" t="s">
        <v>494</v>
      </c>
      <c r="V34" s="39" t="s">
        <v>495</v>
      </c>
      <c r="W34" s="17"/>
      <c r="X34" s="17"/>
    </row>
    <row r="35" customFormat="false" ht="60.75" hidden="false" customHeight="true" outlineLevel="0" collapsed="false">
      <c r="A35" s="33" t="s">
        <v>75</v>
      </c>
      <c r="B35" s="33" t="s">
        <v>209</v>
      </c>
      <c r="C35" s="33" t="s">
        <v>496</v>
      </c>
      <c r="D35" s="42" t="s">
        <v>497</v>
      </c>
      <c r="E35" s="32" t="s">
        <v>293</v>
      </c>
      <c r="F35" s="32" t="s">
        <v>474</v>
      </c>
      <c r="G35" s="32" t="s">
        <v>498</v>
      </c>
      <c r="H35" s="32" t="s">
        <v>499</v>
      </c>
      <c r="I35" s="34" t="s">
        <v>500</v>
      </c>
      <c r="J35" s="32" t="s">
        <v>298</v>
      </c>
      <c r="K35" s="48" t="s">
        <v>314</v>
      </c>
      <c r="L35" s="48"/>
      <c r="M35" s="48"/>
      <c r="N35" s="17"/>
      <c r="O35" s="47" t="n">
        <v>102853.99</v>
      </c>
      <c r="P35" s="47"/>
      <c r="Q35" s="49"/>
      <c r="R35" s="47"/>
      <c r="S35" s="17"/>
      <c r="T35" s="33" t="s">
        <v>493</v>
      </c>
      <c r="U35" s="33" t="s">
        <v>84</v>
      </c>
      <c r="V35" s="39" t="s">
        <v>501</v>
      </c>
      <c r="W35" s="18" t="s">
        <v>502</v>
      </c>
      <c r="X35" s="17"/>
    </row>
    <row r="36" customFormat="false" ht="60.75" hidden="false" customHeight="true" outlineLevel="0" collapsed="false">
      <c r="A36" s="33" t="s">
        <v>75</v>
      </c>
      <c r="B36" s="33" t="s">
        <v>209</v>
      </c>
      <c r="C36" s="33" t="s">
        <v>503</v>
      </c>
      <c r="D36" s="42" t="s">
        <v>504</v>
      </c>
      <c r="E36" s="32" t="s">
        <v>293</v>
      </c>
      <c r="F36" s="32" t="s">
        <v>474</v>
      </c>
      <c r="G36" s="32" t="s">
        <v>505</v>
      </c>
      <c r="H36" s="32" t="s">
        <v>506</v>
      </c>
      <c r="I36" s="34" t="s">
        <v>507</v>
      </c>
      <c r="J36" s="32" t="s">
        <v>298</v>
      </c>
      <c r="K36" s="48" t="s">
        <v>314</v>
      </c>
      <c r="L36" s="48"/>
      <c r="M36" s="48"/>
      <c r="N36" s="17"/>
      <c r="O36" s="47" t="n">
        <v>102853.99</v>
      </c>
      <c r="P36" s="47"/>
      <c r="Q36" s="49"/>
      <c r="R36" s="47"/>
      <c r="S36" s="17"/>
      <c r="T36" s="33" t="s">
        <v>508</v>
      </c>
      <c r="U36" s="33" t="s">
        <v>509</v>
      </c>
      <c r="V36" s="39" t="s">
        <v>510</v>
      </c>
      <c r="W36" s="17"/>
      <c r="X36" s="17"/>
    </row>
    <row r="37" customFormat="false" ht="45.75" hidden="false" customHeight="true" outlineLevel="0" collapsed="false">
      <c r="A37" s="31" t="s">
        <v>80</v>
      </c>
      <c r="B37" s="31" t="s">
        <v>40</v>
      </c>
      <c r="C37" s="31" t="s">
        <v>511</v>
      </c>
      <c r="D37" s="17" t="s">
        <v>512</v>
      </c>
      <c r="E37" s="32" t="s">
        <v>293</v>
      </c>
      <c r="F37" s="33" t="s">
        <v>456</v>
      </c>
      <c r="G37" s="32" t="s">
        <v>513</v>
      </c>
      <c r="H37" s="32" t="s">
        <v>514</v>
      </c>
      <c r="I37" s="34" t="s">
        <v>408</v>
      </c>
      <c r="J37" s="32" t="s">
        <v>298</v>
      </c>
      <c r="K37" s="48" t="s">
        <v>430</v>
      </c>
      <c r="L37" s="48" t="s">
        <v>431</v>
      </c>
      <c r="M37" s="48" t="s">
        <v>301</v>
      </c>
      <c r="N37" s="17" t="n">
        <v>1</v>
      </c>
      <c r="O37" s="47" t="n">
        <v>102010.24</v>
      </c>
      <c r="P37" s="47" t="n">
        <v>102010.24</v>
      </c>
      <c r="Q37" s="49" t="n">
        <v>102010.24</v>
      </c>
      <c r="R37" s="47" t="n">
        <f aca="false">Q37-P37</f>
        <v>0</v>
      </c>
      <c r="S37" s="33" t="s">
        <v>432</v>
      </c>
      <c r="T37" s="33" t="s">
        <v>515</v>
      </c>
      <c r="U37" s="33" t="s">
        <v>304</v>
      </c>
      <c r="V37" s="39" t="s">
        <v>516</v>
      </c>
      <c r="W37" s="18" t="s">
        <v>517</v>
      </c>
      <c r="X37" s="17" t="s">
        <v>518</v>
      </c>
    </row>
    <row r="38" customFormat="false" ht="60" hidden="false" customHeight="true" outlineLevel="0" collapsed="false">
      <c r="A38" s="33" t="s">
        <v>80</v>
      </c>
      <c r="B38" s="33" t="s">
        <v>209</v>
      </c>
      <c r="C38" s="33" t="s">
        <v>519</v>
      </c>
      <c r="D38" s="42" t="s">
        <v>520</v>
      </c>
      <c r="E38" s="32" t="s">
        <v>293</v>
      </c>
      <c r="F38" s="32" t="s">
        <v>474</v>
      </c>
      <c r="G38" s="32" t="s">
        <v>505</v>
      </c>
      <c r="H38" s="32" t="s">
        <v>514</v>
      </c>
      <c r="I38" s="34" t="s">
        <v>521</v>
      </c>
      <c r="J38" s="32" t="s">
        <v>298</v>
      </c>
      <c r="K38" s="48" t="s">
        <v>314</v>
      </c>
      <c r="L38" s="48"/>
      <c r="M38" s="48"/>
      <c r="N38" s="17"/>
      <c r="O38" s="47" t="n">
        <v>102010.24</v>
      </c>
      <c r="P38" s="47"/>
      <c r="Q38" s="49"/>
      <c r="R38" s="47"/>
      <c r="S38" s="17"/>
      <c r="T38" s="33" t="s">
        <v>508</v>
      </c>
      <c r="U38" s="33" t="s">
        <v>522</v>
      </c>
      <c r="V38" s="39" t="s">
        <v>523</v>
      </c>
      <c r="W38" s="18" t="s">
        <v>524</v>
      </c>
      <c r="X38" s="17"/>
    </row>
    <row r="39" customFormat="false" ht="57" hidden="false" customHeight="true" outlineLevel="0" collapsed="false">
      <c r="A39" s="31" t="s">
        <v>85</v>
      </c>
      <c r="B39" s="31" t="s">
        <v>40</v>
      </c>
      <c r="C39" s="31" t="s">
        <v>525</v>
      </c>
      <c r="D39" s="17" t="s">
        <v>526</v>
      </c>
      <c r="E39" s="32" t="s">
        <v>293</v>
      </c>
      <c r="F39" s="33" t="s">
        <v>527</v>
      </c>
      <c r="G39" s="32" t="s">
        <v>528</v>
      </c>
      <c r="H39" s="32" t="s">
        <v>529</v>
      </c>
      <c r="I39" s="34" t="s">
        <v>274</v>
      </c>
      <c r="J39" s="32" t="s">
        <v>298</v>
      </c>
      <c r="K39" s="48" t="s">
        <v>430</v>
      </c>
      <c r="L39" s="48" t="s">
        <v>431</v>
      </c>
      <c r="M39" s="48" t="s">
        <v>301</v>
      </c>
      <c r="N39" s="17" t="n">
        <v>2</v>
      </c>
      <c r="O39" s="47" t="n">
        <v>94086.2</v>
      </c>
      <c r="P39" s="47" t="n">
        <v>188172.4</v>
      </c>
      <c r="Q39" s="49" t="n">
        <v>188172.4</v>
      </c>
      <c r="R39" s="47" t="n">
        <f aca="false">Q39-P39</f>
        <v>0</v>
      </c>
      <c r="S39" s="33" t="s">
        <v>432</v>
      </c>
      <c r="T39" s="33" t="s">
        <v>530</v>
      </c>
      <c r="U39" s="33" t="s">
        <v>304</v>
      </c>
      <c r="V39" s="39" t="s">
        <v>531</v>
      </c>
      <c r="W39" s="18" t="s">
        <v>532</v>
      </c>
      <c r="X39" s="17" t="s">
        <v>533</v>
      </c>
    </row>
    <row r="40" customFormat="false" ht="34.5" hidden="false" customHeight="true" outlineLevel="0" collapsed="false">
      <c r="A40" s="33" t="s">
        <v>85</v>
      </c>
      <c r="B40" s="33" t="s">
        <v>209</v>
      </c>
      <c r="C40" s="33" t="s">
        <v>534</v>
      </c>
      <c r="D40" s="42" t="s">
        <v>535</v>
      </c>
      <c r="E40" s="32" t="s">
        <v>293</v>
      </c>
      <c r="F40" s="32" t="s">
        <v>536</v>
      </c>
      <c r="G40" s="32" t="s">
        <v>537</v>
      </c>
      <c r="H40" s="32" t="s">
        <v>538</v>
      </c>
      <c r="I40" s="34" t="s">
        <v>274</v>
      </c>
      <c r="J40" s="32" t="s">
        <v>298</v>
      </c>
      <c r="K40" s="48" t="s">
        <v>314</v>
      </c>
      <c r="L40" s="48"/>
      <c r="M40" s="48"/>
      <c r="N40" s="17"/>
      <c r="O40" s="47" t="n">
        <v>94086.2</v>
      </c>
      <c r="P40" s="47"/>
      <c r="Q40" s="49"/>
      <c r="R40" s="47"/>
      <c r="S40" s="17"/>
      <c r="T40" s="33" t="s">
        <v>539</v>
      </c>
      <c r="U40" s="33" t="s">
        <v>540</v>
      </c>
      <c r="V40" s="39" t="s">
        <v>541</v>
      </c>
      <c r="W40" s="17"/>
      <c r="X40" s="17"/>
    </row>
    <row r="41" customFormat="false" ht="34.5" hidden="false" customHeight="true" outlineLevel="0" collapsed="false">
      <c r="A41" s="33" t="s">
        <v>85</v>
      </c>
      <c r="B41" s="33" t="s">
        <v>209</v>
      </c>
      <c r="C41" s="33" t="s">
        <v>542</v>
      </c>
      <c r="D41" s="42" t="s">
        <v>543</v>
      </c>
      <c r="E41" s="32" t="s">
        <v>293</v>
      </c>
      <c r="F41" s="32" t="s">
        <v>536</v>
      </c>
      <c r="G41" s="32" t="s">
        <v>537</v>
      </c>
      <c r="H41" s="32" t="s">
        <v>544</v>
      </c>
      <c r="I41" s="34" t="s">
        <v>274</v>
      </c>
      <c r="J41" s="32" t="s">
        <v>298</v>
      </c>
      <c r="K41" s="48" t="s">
        <v>314</v>
      </c>
      <c r="L41" s="48"/>
      <c r="M41" s="48"/>
      <c r="N41" s="17"/>
      <c r="O41" s="47" t="n">
        <v>94086.2</v>
      </c>
      <c r="P41" s="47"/>
      <c r="Q41" s="49"/>
      <c r="R41" s="47"/>
      <c r="S41" s="17"/>
      <c r="T41" s="33" t="s">
        <v>539</v>
      </c>
      <c r="U41" s="33" t="s">
        <v>545</v>
      </c>
      <c r="V41" s="39" t="s">
        <v>541</v>
      </c>
      <c r="W41" s="17"/>
      <c r="X41" s="17"/>
    </row>
    <row r="42" customFormat="false" ht="45.75" hidden="false" customHeight="true" outlineLevel="0" collapsed="false">
      <c r="A42" s="31" t="s">
        <v>90</v>
      </c>
      <c r="B42" s="31" t="s">
        <v>40</v>
      </c>
      <c r="C42" s="31" t="s">
        <v>525</v>
      </c>
      <c r="D42" s="17" t="s">
        <v>546</v>
      </c>
      <c r="E42" s="32" t="s">
        <v>293</v>
      </c>
      <c r="F42" s="33" t="s">
        <v>527</v>
      </c>
      <c r="G42" s="32" t="s">
        <v>547</v>
      </c>
      <c r="H42" s="32" t="s">
        <v>548</v>
      </c>
      <c r="I42" s="34" t="s">
        <v>274</v>
      </c>
      <c r="J42" s="32" t="s">
        <v>298</v>
      </c>
      <c r="K42" s="48" t="s">
        <v>549</v>
      </c>
      <c r="L42" s="48" t="s">
        <v>550</v>
      </c>
      <c r="M42" s="48" t="s">
        <v>243</v>
      </c>
      <c r="N42" s="17" t="n">
        <v>2</v>
      </c>
      <c r="O42" s="47" t="n">
        <v>81243.34</v>
      </c>
      <c r="P42" s="47" t="n">
        <v>162486.68</v>
      </c>
      <c r="Q42" s="49" t="n">
        <v>233546.68</v>
      </c>
      <c r="R42" s="47" t="n">
        <f aca="false">Q42-P42</f>
        <v>71060</v>
      </c>
      <c r="S42" s="33" t="s">
        <v>551</v>
      </c>
      <c r="T42" s="33" t="s">
        <v>552</v>
      </c>
      <c r="U42" s="33" t="s">
        <v>304</v>
      </c>
      <c r="V42" s="39" t="s">
        <v>553</v>
      </c>
      <c r="W42" s="18" t="s">
        <v>554</v>
      </c>
      <c r="X42" s="17" t="s">
        <v>555</v>
      </c>
    </row>
    <row r="43" customFormat="false" ht="38.25" hidden="false" customHeight="true" outlineLevel="0" collapsed="false">
      <c r="A43" s="33" t="s">
        <v>90</v>
      </c>
      <c r="B43" s="33" t="s">
        <v>209</v>
      </c>
      <c r="C43" s="33" t="s">
        <v>556</v>
      </c>
      <c r="D43" s="42" t="s">
        <v>557</v>
      </c>
      <c r="E43" s="32" t="s">
        <v>293</v>
      </c>
      <c r="F43" s="32" t="s">
        <v>536</v>
      </c>
      <c r="G43" s="32" t="s">
        <v>558</v>
      </c>
      <c r="H43" s="32" t="s">
        <v>559</v>
      </c>
      <c r="I43" s="34" t="s">
        <v>274</v>
      </c>
      <c r="J43" s="32" t="s">
        <v>298</v>
      </c>
      <c r="K43" s="48" t="s">
        <v>314</v>
      </c>
      <c r="L43" s="48"/>
      <c r="M43" s="48"/>
      <c r="N43" s="17"/>
      <c r="O43" s="47" t="n">
        <v>81243.34</v>
      </c>
      <c r="P43" s="47"/>
      <c r="Q43" s="49"/>
      <c r="R43" s="47"/>
      <c r="S43" s="17"/>
      <c r="T43" s="33" t="s">
        <v>539</v>
      </c>
      <c r="U43" s="33" t="s">
        <v>560</v>
      </c>
      <c r="V43" s="39" t="s">
        <v>561</v>
      </c>
      <c r="W43" s="17"/>
      <c r="X43" s="17"/>
    </row>
    <row r="44" customFormat="false" ht="38.25" hidden="false" customHeight="true" outlineLevel="0" collapsed="false">
      <c r="A44" s="33" t="s">
        <v>90</v>
      </c>
      <c r="B44" s="33" t="s">
        <v>209</v>
      </c>
      <c r="C44" s="33" t="s">
        <v>562</v>
      </c>
      <c r="D44" s="42" t="s">
        <v>563</v>
      </c>
      <c r="E44" s="32" t="s">
        <v>293</v>
      </c>
      <c r="F44" s="32" t="s">
        <v>536</v>
      </c>
      <c r="G44" s="32" t="s">
        <v>558</v>
      </c>
      <c r="H44" s="32" t="s">
        <v>564</v>
      </c>
      <c r="I44" s="34" t="s">
        <v>274</v>
      </c>
      <c r="J44" s="32" t="s">
        <v>298</v>
      </c>
      <c r="K44" s="48" t="s">
        <v>314</v>
      </c>
      <c r="L44" s="48"/>
      <c r="M44" s="48"/>
      <c r="N44" s="17"/>
      <c r="O44" s="47" t="n">
        <v>81243.34</v>
      </c>
      <c r="P44" s="47"/>
      <c r="Q44" s="49"/>
      <c r="R44" s="47"/>
      <c r="S44" s="17"/>
      <c r="T44" s="33" t="s">
        <v>539</v>
      </c>
      <c r="U44" s="33" t="s">
        <v>565</v>
      </c>
      <c r="V44" s="39" t="s">
        <v>561</v>
      </c>
      <c r="W44" s="17"/>
      <c r="X44" s="17"/>
    </row>
    <row r="45" customFormat="false" ht="77.25" hidden="false" customHeight="true" outlineLevel="0" collapsed="false">
      <c r="A45" s="31" t="s">
        <v>95</v>
      </c>
      <c r="B45" s="31" t="s">
        <v>40</v>
      </c>
      <c r="C45" s="31" t="s">
        <v>566</v>
      </c>
      <c r="D45" s="17" t="s">
        <v>567</v>
      </c>
      <c r="E45" s="32" t="s">
        <v>293</v>
      </c>
      <c r="F45" s="33" t="s">
        <v>568</v>
      </c>
      <c r="G45" s="32" t="s">
        <v>569</v>
      </c>
      <c r="H45" s="32" t="s">
        <v>570</v>
      </c>
      <c r="I45" s="34" t="s">
        <v>274</v>
      </c>
      <c r="J45" s="32" t="s">
        <v>298</v>
      </c>
      <c r="K45" s="48" t="s">
        <v>409</v>
      </c>
      <c r="L45" s="48" t="s">
        <v>410</v>
      </c>
      <c r="M45" s="48" t="s">
        <v>301</v>
      </c>
      <c r="N45" s="17" t="n">
        <v>1</v>
      </c>
      <c r="O45" s="47" t="n">
        <v>76802.33</v>
      </c>
      <c r="P45" s="47" t="n">
        <v>76802.33</v>
      </c>
      <c r="Q45" s="49" t="n">
        <v>76802.33</v>
      </c>
      <c r="R45" s="47" t="n">
        <f aca="false">Q45-P45</f>
        <v>0</v>
      </c>
      <c r="S45" s="33" t="s">
        <v>411</v>
      </c>
      <c r="T45" s="33" t="s">
        <v>571</v>
      </c>
      <c r="U45" s="33" t="s">
        <v>304</v>
      </c>
      <c r="V45" s="39" t="s">
        <v>572</v>
      </c>
      <c r="W45" s="18" t="s">
        <v>573</v>
      </c>
      <c r="X45" s="17" t="s">
        <v>574</v>
      </c>
    </row>
    <row r="46" customFormat="false" ht="23.25" hidden="false" customHeight="true" outlineLevel="0" collapsed="false">
      <c r="A46" s="33" t="s">
        <v>95</v>
      </c>
      <c r="B46" s="33" t="s">
        <v>209</v>
      </c>
      <c r="C46" s="33" t="s">
        <v>575</v>
      </c>
      <c r="D46" s="42" t="s">
        <v>576</v>
      </c>
      <c r="E46" s="32" t="s">
        <v>293</v>
      </c>
      <c r="F46" s="32" t="s">
        <v>577</v>
      </c>
      <c r="G46" s="32" t="s">
        <v>569</v>
      </c>
      <c r="H46" s="32" t="s">
        <v>570</v>
      </c>
      <c r="I46" s="34" t="s">
        <v>274</v>
      </c>
      <c r="J46" s="32" t="s">
        <v>298</v>
      </c>
      <c r="K46" s="48" t="s">
        <v>314</v>
      </c>
      <c r="L46" s="48"/>
      <c r="M46" s="48"/>
      <c r="N46" s="17"/>
      <c r="O46" s="47" t="n">
        <v>76802.33</v>
      </c>
      <c r="P46" s="47"/>
      <c r="Q46" s="49"/>
      <c r="R46" s="47"/>
      <c r="S46" s="17"/>
      <c r="T46" s="33" t="s">
        <v>578</v>
      </c>
      <c r="U46" s="33" t="s">
        <v>99</v>
      </c>
      <c r="V46" s="39" t="s">
        <v>579</v>
      </c>
      <c r="W46" s="18" t="s">
        <v>580</v>
      </c>
      <c r="X46" s="17"/>
    </row>
    <row r="47" customFormat="false" ht="53.25" hidden="false" customHeight="true" outlineLevel="0" collapsed="false">
      <c r="A47" s="31" t="s">
        <v>100</v>
      </c>
      <c r="B47" s="31" t="s">
        <v>40</v>
      </c>
      <c r="C47" s="31" t="s">
        <v>581</v>
      </c>
      <c r="D47" s="17" t="s">
        <v>582</v>
      </c>
      <c r="E47" s="32" t="s">
        <v>293</v>
      </c>
      <c r="F47" s="33" t="s">
        <v>583</v>
      </c>
      <c r="G47" s="32" t="s">
        <v>584</v>
      </c>
      <c r="H47" s="32" t="s">
        <v>585</v>
      </c>
      <c r="I47" s="34" t="s">
        <v>429</v>
      </c>
      <c r="J47" s="32" t="s">
        <v>298</v>
      </c>
      <c r="K47" s="48" t="s">
        <v>409</v>
      </c>
      <c r="L47" s="48" t="s">
        <v>410</v>
      </c>
      <c r="M47" s="48" t="s">
        <v>301</v>
      </c>
      <c r="N47" s="17" t="n">
        <v>2</v>
      </c>
      <c r="O47" s="47" t="n">
        <v>80053.43</v>
      </c>
      <c r="P47" s="47" t="n">
        <v>160106.86</v>
      </c>
      <c r="Q47" s="49" t="n">
        <v>160106.86</v>
      </c>
      <c r="R47" s="47" t="n">
        <f aca="false">Q47-P47</f>
        <v>0</v>
      </c>
      <c r="S47" s="33" t="s">
        <v>411</v>
      </c>
      <c r="T47" s="33" t="s">
        <v>586</v>
      </c>
      <c r="U47" s="33" t="s">
        <v>304</v>
      </c>
      <c r="V47" s="39" t="s">
        <v>587</v>
      </c>
      <c r="W47" s="18" t="s">
        <v>588</v>
      </c>
      <c r="X47" s="17" t="s">
        <v>589</v>
      </c>
    </row>
    <row r="48" customFormat="false" ht="60.75" hidden="false" customHeight="true" outlineLevel="0" collapsed="false">
      <c r="A48" s="33" t="s">
        <v>100</v>
      </c>
      <c r="B48" s="33" t="s">
        <v>209</v>
      </c>
      <c r="C48" s="33" t="s">
        <v>590</v>
      </c>
      <c r="D48" s="42" t="s">
        <v>591</v>
      </c>
      <c r="E48" s="32" t="s">
        <v>293</v>
      </c>
      <c r="F48" s="32" t="s">
        <v>592</v>
      </c>
      <c r="G48" s="32" t="s">
        <v>593</v>
      </c>
      <c r="H48" s="32" t="s">
        <v>594</v>
      </c>
      <c r="I48" s="34" t="s">
        <v>595</v>
      </c>
      <c r="J48" s="32" t="s">
        <v>298</v>
      </c>
      <c r="K48" s="48" t="s">
        <v>314</v>
      </c>
      <c r="L48" s="48"/>
      <c r="M48" s="48"/>
      <c r="N48" s="17"/>
      <c r="O48" s="47" t="n">
        <v>80053.43</v>
      </c>
      <c r="P48" s="47"/>
      <c r="Q48" s="49"/>
      <c r="R48" s="47"/>
      <c r="S48" s="17"/>
      <c r="T48" s="33" t="s">
        <v>596</v>
      </c>
      <c r="U48" s="33" t="s">
        <v>597</v>
      </c>
      <c r="V48" s="39" t="s">
        <v>598</v>
      </c>
      <c r="W48" s="18" t="s">
        <v>599</v>
      </c>
      <c r="X48" s="17"/>
    </row>
    <row r="49" customFormat="false" ht="57.75" hidden="false" customHeight="true" outlineLevel="0" collapsed="false">
      <c r="A49" s="33" t="s">
        <v>100</v>
      </c>
      <c r="B49" s="33" t="s">
        <v>209</v>
      </c>
      <c r="C49" s="33" t="s">
        <v>600</v>
      </c>
      <c r="D49" s="42" t="s">
        <v>601</v>
      </c>
      <c r="E49" s="32" t="s">
        <v>293</v>
      </c>
      <c r="F49" s="32" t="s">
        <v>592</v>
      </c>
      <c r="G49" s="32" t="s">
        <v>593</v>
      </c>
      <c r="H49" s="32" t="s">
        <v>602</v>
      </c>
      <c r="I49" s="34" t="s">
        <v>603</v>
      </c>
      <c r="J49" s="32" t="s">
        <v>298</v>
      </c>
      <c r="K49" s="48" t="s">
        <v>314</v>
      </c>
      <c r="L49" s="48"/>
      <c r="M49" s="48"/>
      <c r="N49" s="17"/>
      <c r="O49" s="47" t="n">
        <v>80053.43</v>
      </c>
      <c r="P49" s="47"/>
      <c r="Q49" s="49"/>
      <c r="R49" s="47"/>
      <c r="S49" s="17"/>
      <c r="T49" s="33" t="s">
        <v>604</v>
      </c>
      <c r="U49" s="33" t="s">
        <v>605</v>
      </c>
      <c r="V49" s="39" t="s">
        <v>598</v>
      </c>
      <c r="W49" s="18" t="s">
        <v>606</v>
      </c>
      <c r="X49" s="17"/>
    </row>
    <row r="50" customFormat="false" ht="113.25" hidden="false" customHeight="true" outlineLevel="0" collapsed="false">
      <c r="A50" s="50" t="s">
        <v>105</v>
      </c>
      <c r="B50" s="50" t="s">
        <v>106</v>
      </c>
      <c r="C50" s="50" t="s">
        <v>607</v>
      </c>
      <c r="D50" s="17" t="s">
        <v>608</v>
      </c>
      <c r="E50" s="32" t="s">
        <v>609</v>
      </c>
      <c r="F50" s="32"/>
      <c r="G50" s="32"/>
      <c r="H50" s="32"/>
      <c r="I50" s="34" t="s">
        <v>274</v>
      </c>
      <c r="J50" s="32" t="s">
        <v>298</v>
      </c>
      <c r="K50" s="48" t="s">
        <v>610</v>
      </c>
      <c r="L50" s="48" t="s">
        <v>611</v>
      </c>
      <c r="M50" s="48" t="s">
        <v>612</v>
      </c>
      <c r="N50" s="17"/>
      <c r="O50" s="47"/>
      <c r="P50" s="47"/>
      <c r="Q50" s="49" t="n">
        <v>7344806.15</v>
      </c>
      <c r="R50" s="47" t="n">
        <f aca="false">Q50+Q72-SUM(P51,P58,P62,P72,P73)</f>
        <v>80487.0600000005</v>
      </c>
      <c r="S50" s="33" t="s">
        <v>613</v>
      </c>
      <c r="T50" s="33" t="s">
        <v>614</v>
      </c>
      <c r="U50" s="17"/>
      <c r="V50" s="39" t="s">
        <v>615</v>
      </c>
      <c r="W50" s="18" t="s">
        <v>616</v>
      </c>
      <c r="X50" s="17" t="s">
        <v>617</v>
      </c>
    </row>
    <row r="51" customFormat="false" ht="99" hidden="false" customHeight="true" outlineLevel="0" collapsed="false">
      <c r="A51" s="31" t="s">
        <v>111</v>
      </c>
      <c r="B51" s="31" t="s">
        <v>40</v>
      </c>
      <c r="C51" s="31" t="s">
        <v>618</v>
      </c>
      <c r="D51" s="17" t="s">
        <v>619</v>
      </c>
      <c r="E51" s="32" t="s">
        <v>620</v>
      </c>
      <c r="F51" s="32" t="s">
        <v>621</v>
      </c>
      <c r="G51" s="33" t="s">
        <v>622</v>
      </c>
      <c r="H51" s="32" t="s">
        <v>623</v>
      </c>
      <c r="I51" s="34" t="s">
        <v>274</v>
      </c>
      <c r="J51" s="32" t="s">
        <v>298</v>
      </c>
      <c r="K51" s="48"/>
      <c r="L51" s="48"/>
      <c r="M51" s="48"/>
      <c r="N51" s="17" t="n">
        <v>1</v>
      </c>
      <c r="O51" s="47" t="n">
        <v>2273264.11</v>
      </c>
      <c r="P51" s="47" t="n">
        <v>2273264.11</v>
      </c>
      <c r="Q51" s="49"/>
      <c r="R51" s="47"/>
      <c r="S51" s="17"/>
      <c r="T51" s="33" t="s">
        <v>624</v>
      </c>
      <c r="U51" s="33" t="s">
        <v>115</v>
      </c>
      <c r="V51" s="39" t="s">
        <v>625</v>
      </c>
      <c r="W51" s="18" t="s">
        <v>626</v>
      </c>
      <c r="X51" s="17" t="s">
        <v>627</v>
      </c>
    </row>
    <row r="52" customFormat="false" ht="22.5" hidden="false" customHeight="true" outlineLevel="0" collapsed="false">
      <c r="A52" s="33" t="s">
        <v>111</v>
      </c>
      <c r="B52" s="33" t="s">
        <v>209</v>
      </c>
      <c r="C52" s="33" t="s">
        <v>628</v>
      </c>
      <c r="D52" s="40" t="s">
        <v>629</v>
      </c>
      <c r="E52" s="32" t="s">
        <v>630</v>
      </c>
      <c r="F52" s="32" t="s">
        <v>631</v>
      </c>
      <c r="G52" s="32" t="s">
        <v>632</v>
      </c>
      <c r="H52" s="32" t="s">
        <v>633</v>
      </c>
      <c r="I52" s="34" t="s">
        <v>274</v>
      </c>
      <c r="J52" s="32" t="s">
        <v>298</v>
      </c>
      <c r="K52" s="48" t="s">
        <v>314</v>
      </c>
      <c r="L52" s="48"/>
      <c r="M52" s="48"/>
      <c r="N52" s="17"/>
      <c r="O52" s="47"/>
      <c r="P52" s="47"/>
      <c r="Q52" s="49"/>
      <c r="R52" s="47"/>
      <c r="S52" s="17"/>
      <c r="T52" s="33" t="s">
        <v>634</v>
      </c>
      <c r="U52" s="33" t="s">
        <v>635</v>
      </c>
      <c r="V52" s="17"/>
      <c r="W52" s="18" t="s">
        <v>636</v>
      </c>
      <c r="X52" s="17"/>
    </row>
    <row r="53" customFormat="false" ht="22.5" hidden="false" customHeight="true" outlineLevel="0" collapsed="false">
      <c r="A53" s="33" t="s">
        <v>111</v>
      </c>
      <c r="B53" s="33" t="s">
        <v>209</v>
      </c>
      <c r="C53" s="33" t="s">
        <v>637</v>
      </c>
      <c r="D53" s="40" t="s">
        <v>638</v>
      </c>
      <c r="E53" s="32" t="s">
        <v>630</v>
      </c>
      <c r="F53" s="32" t="s">
        <v>631</v>
      </c>
      <c r="G53" s="32" t="s">
        <v>632</v>
      </c>
      <c r="H53" s="32" t="s">
        <v>639</v>
      </c>
      <c r="I53" s="34" t="s">
        <v>274</v>
      </c>
      <c r="J53" s="32" t="s">
        <v>298</v>
      </c>
      <c r="K53" s="48" t="s">
        <v>314</v>
      </c>
      <c r="L53" s="48"/>
      <c r="M53" s="48"/>
      <c r="N53" s="17"/>
      <c r="O53" s="47"/>
      <c r="P53" s="47"/>
      <c r="Q53" s="49"/>
      <c r="R53" s="47"/>
      <c r="S53" s="17"/>
      <c r="T53" s="33" t="s">
        <v>634</v>
      </c>
      <c r="U53" s="33" t="s">
        <v>640</v>
      </c>
      <c r="V53" s="17"/>
      <c r="W53" s="17"/>
      <c r="X53" s="17"/>
    </row>
    <row r="54" customFormat="false" ht="22.5" hidden="false" customHeight="true" outlineLevel="0" collapsed="false">
      <c r="A54" s="33" t="s">
        <v>111</v>
      </c>
      <c r="B54" s="33" t="s">
        <v>209</v>
      </c>
      <c r="C54" s="33" t="s">
        <v>641</v>
      </c>
      <c r="D54" s="40" t="s">
        <v>642</v>
      </c>
      <c r="E54" s="32" t="s">
        <v>630</v>
      </c>
      <c r="F54" s="32" t="s">
        <v>631</v>
      </c>
      <c r="G54" s="32" t="s">
        <v>632</v>
      </c>
      <c r="H54" s="32" t="s">
        <v>643</v>
      </c>
      <c r="I54" s="34" t="s">
        <v>274</v>
      </c>
      <c r="J54" s="32" t="s">
        <v>298</v>
      </c>
      <c r="K54" s="48" t="s">
        <v>314</v>
      </c>
      <c r="L54" s="48"/>
      <c r="M54" s="48"/>
      <c r="N54" s="17"/>
      <c r="O54" s="47"/>
      <c r="P54" s="47"/>
      <c r="Q54" s="49"/>
      <c r="R54" s="47"/>
      <c r="S54" s="17"/>
      <c r="T54" s="33" t="s">
        <v>634</v>
      </c>
      <c r="U54" s="33" t="s">
        <v>644</v>
      </c>
      <c r="V54" s="17"/>
      <c r="W54" s="17"/>
      <c r="X54" s="17"/>
    </row>
    <row r="55" customFormat="false" ht="22.5" hidden="false" customHeight="true" outlineLevel="0" collapsed="false">
      <c r="A55" s="33" t="s">
        <v>111</v>
      </c>
      <c r="B55" s="33" t="s">
        <v>209</v>
      </c>
      <c r="C55" s="33" t="s">
        <v>645</v>
      </c>
      <c r="D55" s="40" t="s">
        <v>646</v>
      </c>
      <c r="E55" s="32" t="s">
        <v>630</v>
      </c>
      <c r="F55" s="32" t="s">
        <v>631</v>
      </c>
      <c r="G55" s="32" t="s">
        <v>632</v>
      </c>
      <c r="H55" s="32" t="s">
        <v>647</v>
      </c>
      <c r="I55" s="34" t="s">
        <v>274</v>
      </c>
      <c r="J55" s="32" t="s">
        <v>298</v>
      </c>
      <c r="K55" s="48" t="s">
        <v>314</v>
      </c>
      <c r="L55" s="48"/>
      <c r="M55" s="48"/>
      <c r="N55" s="17"/>
      <c r="O55" s="47"/>
      <c r="P55" s="47"/>
      <c r="Q55" s="49"/>
      <c r="R55" s="47"/>
      <c r="S55" s="17"/>
      <c r="T55" s="33" t="s">
        <v>634</v>
      </c>
      <c r="U55" s="33" t="s">
        <v>648</v>
      </c>
      <c r="V55" s="17"/>
      <c r="W55" s="17"/>
      <c r="X55" s="17"/>
    </row>
    <row r="56" customFormat="false" ht="22.5" hidden="false" customHeight="true" outlineLevel="0" collapsed="false">
      <c r="A56" s="33" t="s">
        <v>111</v>
      </c>
      <c r="B56" s="33" t="s">
        <v>209</v>
      </c>
      <c r="C56" s="33" t="s">
        <v>649</v>
      </c>
      <c r="D56" s="40" t="s">
        <v>650</v>
      </c>
      <c r="E56" s="32" t="s">
        <v>630</v>
      </c>
      <c r="F56" s="32" t="s">
        <v>631</v>
      </c>
      <c r="G56" s="32" t="s">
        <v>632</v>
      </c>
      <c r="H56" s="32" t="s">
        <v>651</v>
      </c>
      <c r="I56" s="34" t="s">
        <v>274</v>
      </c>
      <c r="J56" s="32" t="s">
        <v>298</v>
      </c>
      <c r="K56" s="48" t="s">
        <v>314</v>
      </c>
      <c r="L56" s="48"/>
      <c r="M56" s="48"/>
      <c r="N56" s="17"/>
      <c r="O56" s="47"/>
      <c r="P56" s="47"/>
      <c r="Q56" s="49"/>
      <c r="R56" s="47"/>
      <c r="S56" s="17"/>
      <c r="T56" s="33" t="s">
        <v>634</v>
      </c>
      <c r="U56" s="33" t="s">
        <v>652</v>
      </c>
      <c r="V56" s="17"/>
      <c r="W56" s="17"/>
      <c r="X56" s="17"/>
    </row>
    <row r="57" customFormat="false" ht="22.5" hidden="false" customHeight="true" outlineLevel="0" collapsed="false">
      <c r="A57" s="33" t="s">
        <v>111</v>
      </c>
      <c r="B57" s="33" t="s">
        <v>209</v>
      </c>
      <c r="C57" s="33" t="s">
        <v>653</v>
      </c>
      <c r="D57" s="40" t="s">
        <v>654</v>
      </c>
      <c r="E57" s="32" t="s">
        <v>630</v>
      </c>
      <c r="F57" s="32" t="s">
        <v>631</v>
      </c>
      <c r="G57" s="32" t="s">
        <v>632</v>
      </c>
      <c r="H57" s="32" t="s">
        <v>655</v>
      </c>
      <c r="I57" s="34" t="s">
        <v>274</v>
      </c>
      <c r="J57" s="32" t="s">
        <v>298</v>
      </c>
      <c r="K57" s="48" t="s">
        <v>314</v>
      </c>
      <c r="L57" s="48"/>
      <c r="M57" s="48"/>
      <c r="N57" s="17"/>
      <c r="O57" s="47"/>
      <c r="P57" s="47"/>
      <c r="Q57" s="49"/>
      <c r="R57" s="47"/>
      <c r="S57" s="17"/>
      <c r="T57" s="33" t="s">
        <v>634</v>
      </c>
      <c r="U57" s="33" t="s">
        <v>656</v>
      </c>
      <c r="V57" s="17"/>
      <c r="W57" s="17"/>
      <c r="X57" s="17"/>
    </row>
    <row r="58" customFormat="false" ht="69" hidden="false" customHeight="true" outlineLevel="0" collapsed="false">
      <c r="A58" s="31" t="s">
        <v>116</v>
      </c>
      <c r="B58" s="31" t="s">
        <v>40</v>
      </c>
      <c r="C58" s="31" t="s">
        <v>117</v>
      </c>
      <c r="D58" s="17" t="s">
        <v>657</v>
      </c>
      <c r="E58" s="32" t="s">
        <v>658</v>
      </c>
      <c r="F58" s="32" t="s">
        <v>659</v>
      </c>
      <c r="G58" s="33" t="s">
        <v>622</v>
      </c>
      <c r="H58" s="32" t="s">
        <v>217</v>
      </c>
      <c r="I58" s="34" t="s">
        <v>274</v>
      </c>
      <c r="J58" s="32" t="s">
        <v>217</v>
      </c>
      <c r="K58" s="48"/>
      <c r="L58" s="48"/>
      <c r="M58" s="48"/>
      <c r="N58" s="17" t="n">
        <v>1</v>
      </c>
      <c r="O58" s="47" t="n">
        <v>1917733.79</v>
      </c>
      <c r="P58" s="47" t="n">
        <v>1917733.79</v>
      </c>
      <c r="Q58" s="49"/>
      <c r="R58" s="47"/>
      <c r="S58" s="17"/>
      <c r="T58" s="33" t="s">
        <v>660</v>
      </c>
      <c r="U58" s="33" t="s">
        <v>120</v>
      </c>
      <c r="V58" s="39" t="s">
        <v>661</v>
      </c>
      <c r="W58" s="18" t="s">
        <v>662</v>
      </c>
      <c r="X58" s="17" t="s">
        <v>663</v>
      </c>
    </row>
    <row r="59" customFormat="false" ht="22.5" hidden="false" customHeight="true" outlineLevel="0" collapsed="false">
      <c r="A59" s="33" t="s">
        <v>116</v>
      </c>
      <c r="B59" s="33" t="s">
        <v>209</v>
      </c>
      <c r="C59" s="33" t="s">
        <v>664</v>
      </c>
      <c r="D59" s="40" t="s">
        <v>665</v>
      </c>
      <c r="E59" s="32" t="s">
        <v>666</v>
      </c>
      <c r="F59" s="32" t="s">
        <v>667</v>
      </c>
      <c r="G59" s="32"/>
      <c r="H59" s="32" t="s">
        <v>217</v>
      </c>
      <c r="I59" s="34" t="s">
        <v>274</v>
      </c>
      <c r="J59" s="32" t="s">
        <v>217</v>
      </c>
      <c r="K59" s="48" t="s">
        <v>314</v>
      </c>
      <c r="L59" s="48"/>
      <c r="M59" s="48"/>
      <c r="N59" s="17"/>
      <c r="O59" s="47"/>
      <c r="P59" s="47"/>
      <c r="Q59" s="49"/>
      <c r="R59" s="47"/>
      <c r="S59" s="17"/>
      <c r="T59" s="33" t="s">
        <v>668</v>
      </c>
      <c r="U59" s="33" t="s">
        <v>669</v>
      </c>
      <c r="V59" s="17"/>
      <c r="W59" s="17"/>
      <c r="X59" s="17"/>
    </row>
    <row r="60" customFormat="false" ht="22.5" hidden="false" customHeight="true" outlineLevel="0" collapsed="false">
      <c r="A60" s="33" t="s">
        <v>116</v>
      </c>
      <c r="B60" s="33" t="s">
        <v>209</v>
      </c>
      <c r="C60" s="33" t="s">
        <v>670</v>
      </c>
      <c r="D60" s="40" t="s">
        <v>671</v>
      </c>
      <c r="E60" s="32" t="s">
        <v>666</v>
      </c>
      <c r="F60" s="32" t="s">
        <v>667</v>
      </c>
      <c r="G60" s="32"/>
      <c r="H60" s="32" t="s">
        <v>217</v>
      </c>
      <c r="I60" s="34" t="s">
        <v>274</v>
      </c>
      <c r="J60" s="32" t="s">
        <v>217</v>
      </c>
      <c r="K60" s="48" t="s">
        <v>314</v>
      </c>
      <c r="L60" s="48"/>
      <c r="M60" s="48"/>
      <c r="N60" s="17"/>
      <c r="O60" s="47"/>
      <c r="P60" s="47"/>
      <c r="Q60" s="49"/>
      <c r="R60" s="47"/>
      <c r="S60" s="17"/>
      <c r="T60" s="33" t="s">
        <v>668</v>
      </c>
      <c r="U60" s="33" t="s">
        <v>672</v>
      </c>
      <c r="V60" s="17"/>
      <c r="W60" s="17"/>
      <c r="X60" s="17"/>
    </row>
    <row r="61" customFormat="false" ht="22.5" hidden="false" customHeight="true" outlineLevel="0" collapsed="false">
      <c r="A61" s="33" t="s">
        <v>116</v>
      </c>
      <c r="B61" s="33" t="s">
        <v>209</v>
      </c>
      <c r="C61" s="33" t="s">
        <v>673</v>
      </c>
      <c r="D61" s="40" t="s">
        <v>674</v>
      </c>
      <c r="E61" s="32" t="s">
        <v>666</v>
      </c>
      <c r="F61" s="32" t="s">
        <v>675</v>
      </c>
      <c r="G61" s="32"/>
      <c r="H61" s="32" t="s">
        <v>217</v>
      </c>
      <c r="I61" s="34" t="s">
        <v>274</v>
      </c>
      <c r="J61" s="32" t="s">
        <v>217</v>
      </c>
      <c r="K61" s="48" t="s">
        <v>314</v>
      </c>
      <c r="L61" s="48"/>
      <c r="M61" s="48"/>
      <c r="N61" s="17"/>
      <c r="O61" s="47"/>
      <c r="P61" s="47"/>
      <c r="Q61" s="49"/>
      <c r="R61" s="47"/>
      <c r="S61" s="17"/>
      <c r="T61" s="33" t="s">
        <v>676</v>
      </c>
      <c r="U61" s="33" t="s">
        <v>677</v>
      </c>
      <c r="V61" s="17"/>
      <c r="W61" s="17"/>
      <c r="X61" s="17"/>
    </row>
    <row r="62" customFormat="false" ht="45.75" hidden="false" customHeight="true" outlineLevel="0" collapsed="false">
      <c r="A62" s="31" t="s">
        <v>121</v>
      </c>
      <c r="B62" s="31" t="s">
        <v>40</v>
      </c>
      <c r="C62" s="31" t="s">
        <v>122</v>
      </c>
      <c r="D62" s="17" t="s">
        <v>678</v>
      </c>
      <c r="E62" s="32" t="s">
        <v>679</v>
      </c>
      <c r="F62" s="32" t="s">
        <v>680</v>
      </c>
      <c r="G62" s="32" t="s">
        <v>681</v>
      </c>
      <c r="H62" s="32" t="s">
        <v>682</v>
      </c>
      <c r="I62" s="34" t="s">
        <v>274</v>
      </c>
      <c r="J62" s="32" t="s">
        <v>298</v>
      </c>
      <c r="K62" s="48"/>
      <c r="L62" s="48"/>
      <c r="M62" s="48"/>
      <c r="N62" s="17" t="n">
        <v>1</v>
      </c>
      <c r="O62" s="47" t="n">
        <v>1610488.85</v>
      </c>
      <c r="P62" s="47" t="n">
        <v>1610488.85</v>
      </c>
      <c r="Q62" s="49"/>
      <c r="R62" s="47"/>
      <c r="S62" s="17"/>
      <c r="T62" s="33" t="s">
        <v>683</v>
      </c>
      <c r="U62" s="33" t="s">
        <v>125</v>
      </c>
      <c r="V62" s="39" t="s">
        <v>684</v>
      </c>
      <c r="W62" s="18" t="s">
        <v>685</v>
      </c>
      <c r="X62" s="17" t="s">
        <v>686</v>
      </c>
    </row>
    <row r="63" customFormat="false" ht="33.75" hidden="false" customHeight="true" outlineLevel="0" collapsed="false">
      <c r="A63" s="33" t="s">
        <v>121</v>
      </c>
      <c r="B63" s="33" t="s">
        <v>209</v>
      </c>
      <c r="C63" s="33" t="s">
        <v>687</v>
      </c>
      <c r="D63" s="40" t="s">
        <v>688</v>
      </c>
      <c r="E63" s="32" t="s">
        <v>679</v>
      </c>
      <c r="F63" s="32" t="s">
        <v>689</v>
      </c>
      <c r="G63" s="32" t="s">
        <v>690</v>
      </c>
      <c r="H63" s="32" t="s">
        <v>691</v>
      </c>
      <c r="I63" s="34" t="s">
        <v>274</v>
      </c>
      <c r="J63" s="32" t="s">
        <v>298</v>
      </c>
      <c r="K63" s="48" t="s">
        <v>314</v>
      </c>
      <c r="L63" s="48"/>
      <c r="M63" s="48"/>
      <c r="N63" s="17"/>
      <c r="O63" s="47"/>
      <c r="P63" s="47"/>
      <c r="Q63" s="49"/>
      <c r="R63" s="47"/>
      <c r="S63" s="17"/>
      <c r="T63" s="33" t="s">
        <v>692</v>
      </c>
      <c r="U63" s="33" t="s">
        <v>693</v>
      </c>
      <c r="V63" s="17"/>
      <c r="W63" s="17"/>
      <c r="X63" s="17"/>
    </row>
    <row r="64" customFormat="false" ht="33.75" hidden="false" customHeight="true" outlineLevel="0" collapsed="false">
      <c r="A64" s="33" t="s">
        <v>121</v>
      </c>
      <c r="B64" s="33" t="s">
        <v>209</v>
      </c>
      <c r="C64" s="33" t="s">
        <v>694</v>
      </c>
      <c r="D64" s="40" t="s">
        <v>695</v>
      </c>
      <c r="E64" s="32" t="s">
        <v>679</v>
      </c>
      <c r="F64" s="32" t="s">
        <v>696</v>
      </c>
      <c r="G64" s="32" t="s">
        <v>697</v>
      </c>
      <c r="H64" s="32" t="s">
        <v>698</v>
      </c>
      <c r="I64" s="34" t="s">
        <v>274</v>
      </c>
      <c r="J64" s="32" t="s">
        <v>298</v>
      </c>
      <c r="K64" s="48" t="s">
        <v>314</v>
      </c>
      <c r="L64" s="48"/>
      <c r="M64" s="48"/>
      <c r="N64" s="17"/>
      <c r="O64" s="47"/>
      <c r="P64" s="47"/>
      <c r="Q64" s="49"/>
      <c r="R64" s="47"/>
      <c r="S64" s="17"/>
      <c r="T64" s="33" t="s">
        <v>692</v>
      </c>
      <c r="U64" s="33" t="s">
        <v>699</v>
      </c>
      <c r="V64" s="17"/>
      <c r="W64" s="17"/>
      <c r="X64" s="17"/>
    </row>
    <row r="65" customFormat="false" ht="33.75" hidden="false" customHeight="true" outlineLevel="0" collapsed="false">
      <c r="A65" s="33" t="s">
        <v>121</v>
      </c>
      <c r="B65" s="33" t="s">
        <v>209</v>
      </c>
      <c r="C65" s="33" t="s">
        <v>700</v>
      </c>
      <c r="D65" s="40" t="s">
        <v>701</v>
      </c>
      <c r="E65" s="32" t="s">
        <v>679</v>
      </c>
      <c r="F65" s="32" t="s">
        <v>689</v>
      </c>
      <c r="G65" s="32" t="s">
        <v>690</v>
      </c>
      <c r="H65" s="32" t="s">
        <v>702</v>
      </c>
      <c r="I65" s="34" t="s">
        <v>274</v>
      </c>
      <c r="J65" s="32" t="s">
        <v>298</v>
      </c>
      <c r="K65" s="48" t="s">
        <v>314</v>
      </c>
      <c r="L65" s="48"/>
      <c r="M65" s="48"/>
      <c r="N65" s="17"/>
      <c r="O65" s="47"/>
      <c r="P65" s="47"/>
      <c r="Q65" s="49"/>
      <c r="R65" s="47"/>
      <c r="S65" s="17"/>
      <c r="T65" s="33" t="s">
        <v>692</v>
      </c>
      <c r="U65" s="33" t="s">
        <v>703</v>
      </c>
      <c r="V65" s="17"/>
      <c r="W65" s="17"/>
      <c r="X65" s="17"/>
    </row>
    <row r="66" customFormat="false" ht="23.25" hidden="false" customHeight="true" outlineLevel="0" collapsed="false">
      <c r="A66" s="33" t="s">
        <v>121</v>
      </c>
      <c r="B66" s="33" t="s">
        <v>209</v>
      </c>
      <c r="C66" s="33" t="s">
        <v>704</v>
      </c>
      <c r="D66" s="40" t="s">
        <v>705</v>
      </c>
      <c r="E66" s="32" t="s">
        <v>679</v>
      </c>
      <c r="F66" s="32" t="s">
        <v>706</v>
      </c>
      <c r="G66" s="32" t="s">
        <v>707</v>
      </c>
      <c r="H66" s="32" t="s">
        <v>708</v>
      </c>
      <c r="I66" s="34" t="s">
        <v>274</v>
      </c>
      <c r="J66" s="32" t="s">
        <v>217</v>
      </c>
      <c r="K66" s="48" t="s">
        <v>314</v>
      </c>
      <c r="L66" s="48"/>
      <c r="M66" s="48"/>
      <c r="N66" s="17"/>
      <c r="O66" s="47"/>
      <c r="P66" s="47"/>
      <c r="Q66" s="49"/>
      <c r="R66" s="47"/>
      <c r="S66" s="17"/>
      <c r="T66" s="33" t="s">
        <v>709</v>
      </c>
      <c r="U66" s="33" t="s">
        <v>710</v>
      </c>
      <c r="V66" s="17"/>
      <c r="W66" s="17"/>
      <c r="X66" s="17"/>
    </row>
    <row r="67" customFormat="false" ht="23.25" hidden="false" customHeight="true" outlineLevel="0" collapsed="false">
      <c r="A67" s="33" t="s">
        <v>121</v>
      </c>
      <c r="B67" s="33" t="s">
        <v>209</v>
      </c>
      <c r="C67" s="33" t="s">
        <v>711</v>
      </c>
      <c r="D67" s="40" t="s">
        <v>712</v>
      </c>
      <c r="E67" s="32" t="s">
        <v>679</v>
      </c>
      <c r="F67" s="32" t="s">
        <v>706</v>
      </c>
      <c r="G67" s="32" t="s">
        <v>707</v>
      </c>
      <c r="H67" s="32" t="s">
        <v>713</v>
      </c>
      <c r="I67" s="34" t="s">
        <v>274</v>
      </c>
      <c r="J67" s="32" t="s">
        <v>217</v>
      </c>
      <c r="K67" s="48" t="s">
        <v>314</v>
      </c>
      <c r="L67" s="48"/>
      <c r="M67" s="48"/>
      <c r="N67" s="17"/>
      <c r="O67" s="47"/>
      <c r="P67" s="47"/>
      <c r="Q67" s="49"/>
      <c r="R67" s="47"/>
      <c r="S67" s="17"/>
      <c r="T67" s="33" t="s">
        <v>714</v>
      </c>
      <c r="U67" s="33" t="s">
        <v>715</v>
      </c>
      <c r="V67" s="17"/>
      <c r="W67" s="17"/>
      <c r="X67" s="17"/>
    </row>
    <row r="68" customFormat="false" ht="23.25" hidden="false" customHeight="true" outlineLevel="0" collapsed="false">
      <c r="A68" s="33" t="s">
        <v>121</v>
      </c>
      <c r="B68" s="33" t="s">
        <v>209</v>
      </c>
      <c r="C68" s="33" t="s">
        <v>716</v>
      </c>
      <c r="D68" s="40" t="s">
        <v>717</v>
      </c>
      <c r="E68" s="32" t="s">
        <v>679</v>
      </c>
      <c r="F68" s="32" t="s">
        <v>706</v>
      </c>
      <c r="G68" s="32" t="s">
        <v>707</v>
      </c>
      <c r="H68" s="32" t="s">
        <v>718</v>
      </c>
      <c r="I68" s="34" t="s">
        <v>274</v>
      </c>
      <c r="J68" s="32" t="s">
        <v>217</v>
      </c>
      <c r="K68" s="48" t="s">
        <v>314</v>
      </c>
      <c r="L68" s="48"/>
      <c r="M68" s="48"/>
      <c r="N68" s="17"/>
      <c r="O68" s="47"/>
      <c r="P68" s="47"/>
      <c r="Q68" s="49"/>
      <c r="R68" s="47"/>
      <c r="S68" s="17"/>
      <c r="T68" s="33" t="s">
        <v>709</v>
      </c>
      <c r="U68" s="33" t="s">
        <v>719</v>
      </c>
      <c r="V68" s="17"/>
      <c r="W68" s="17"/>
      <c r="X68" s="17"/>
    </row>
    <row r="69" customFormat="false" ht="23.25" hidden="false" customHeight="true" outlineLevel="0" collapsed="false">
      <c r="A69" s="33" t="s">
        <v>121</v>
      </c>
      <c r="B69" s="33" t="s">
        <v>209</v>
      </c>
      <c r="C69" s="33" t="s">
        <v>720</v>
      </c>
      <c r="D69" s="40" t="s">
        <v>721</v>
      </c>
      <c r="E69" s="32" t="s">
        <v>679</v>
      </c>
      <c r="F69" s="32" t="s">
        <v>706</v>
      </c>
      <c r="G69" s="32" t="s">
        <v>707</v>
      </c>
      <c r="H69" s="32" t="s">
        <v>722</v>
      </c>
      <c r="I69" s="34" t="s">
        <v>274</v>
      </c>
      <c r="J69" s="32" t="s">
        <v>217</v>
      </c>
      <c r="K69" s="48" t="s">
        <v>314</v>
      </c>
      <c r="L69" s="48"/>
      <c r="M69" s="48"/>
      <c r="N69" s="17"/>
      <c r="O69" s="47"/>
      <c r="P69" s="47"/>
      <c r="Q69" s="49"/>
      <c r="R69" s="47"/>
      <c r="S69" s="17"/>
      <c r="T69" s="33" t="s">
        <v>723</v>
      </c>
      <c r="U69" s="33" t="s">
        <v>724</v>
      </c>
      <c r="V69" s="17"/>
      <c r="W69" s="17"/>
      <c r="X69" s="17"/>
    </row>
    <row r="70" customFormat="false" ht="23.25" hidden="false" customHeight="true" outlineLevel="0" collapsed="false">
      <c r="A70" s="33" t="s">
        <v>121</v>
      </c>
      <c r="B70" s="33" t="s">
        <v>209</v>
      </c>
      <c r="C70" s="33" t="s">
        <v>725</v>
      </c>
      <c r="D70" s="40" t="s">
        <v>726</v>
      </c>
      <c r="E70" s="32" t="s">
        <v>727</v>
      </c>
      <c r="F70" s="32" t="s">
        <v>728</v>
      </c>
      <c r="G70" s="32" t="s">
        <v>729</v>
      </c>
      <c r="H70" s="32" t="s">
        <v>730</v>
      </c>
      <c r="I70" s="34" t="s">
        <v>274</v>
      </c>
      <c r="J70" s="32" t="s">
        <v>217</v>
      </c>
      <c r="K70" s="48" t="s">
        <v>314</v>
      </c>
      <c r="L70" s="48"/>
      <c r="M70" s="48"/>
      <c r="N70" s="17"/>
      <c r="O70" s="47"/>
      <c r="P70" s="47"/>
      <c r="Q70" s="49"/>
      <c r="R70" s="47"/>
      <c r="S70" s="17"/>
      <c r="T70" s="33" t="s">
        <v>709</v>
      </c>
      <c r="U70" s="33" t="s">
        <v>731</v>
      </c>
      <c r="V70" s="17"/>
      <c r="W70" s="17"/>
      <c r="X70" s="17"/>
    </row>
    <row r="71" customFormat="false" ht="23.25" hidden="false" customHeight="true" outlineLevel="0" collapsed="false">
      <c r="A71" s="33" t="s">
        <v>121</v>
      </c>
      <c r="B71" s="33" t="s">
        <v>209</v>
      </c>
      <c r="C71" s="33" t="s">
        <v>732</v>
      </c>
      <c r="D71" s="40" t="s">
        <v>733</v>
      </c>
      <c r="E71" s="32" t="s">
        <v>727</v>
      </c>
      <c r="F71" s="32" t="s">
        <v>728</v>
      </c>
      <c r="G71" s="32" t="s">
        <v>734</v>
      </c>
      <c r="H71" s="32" t="s">
        <v>730</v>
      </c>
      <c r="I71" s="34" t="s">
        <v>274</v>
      </c>
      <c r="J71" s="32" t="s">
        <v>217</v>
      </c>
      <c r="K71" s="48" t="s">
        <v>314</v>
      </c>
      <c r="L71" s="48"/>
      <c r="M71" s="48"/>
      <c r="N71" s="17"/>
      <c r="O71" s="47"/>
      <c r="P71" s="47"/>
      <c r="Q71" s="49"/>
      <c r="R71" s="47"/>
      <c r="S71" s="17"/>
      <c r="T71" s="33" t="s">
        <v>709</v>
      </c>
      <c r="U71" s="33" t="s">
        <v>735</v>
      </c>
      <c r="V71" s="17"/>
      <c r="W71" s="17"/>
      <c r="X71" s="17"/>
    </row>
    <row r="72" customFormat="false" ht="80.25" hidden="false" customHeight="true" outlineLevel="0" collapsed="false">
      <c r="A72" s="31" t="s">
        <v>126</v>
      </c>
      <c r="B72" s="31" t="s">
        <v>40</v>
      </c>
      <c r="C72" s="31" t="s">
        <v>127</v>
      </c>
      <c r="D72" s="17" t="s">
        <v>736</v>
      </c>
      <c r="E72" s="33" t="s">
        <v>737</v>
      </c>
      <c r="F72" s="32" t="s">
        <v>738</v>
      </c>
      <c r="G72" s="33" t="s">
        <v>739</v>
      </c>
      <c r="H72" s="32" t="s">
        <v>217</v>
      </c>
      <c r="I72" s="34" t="s">
        <v>274</v>
      </c>
      <c r="J72" s="32" t="s">
        <v>217</v>
      </c>
      <c r="K72" s="48" t="s">
        <v>740</v>
      </c>
      <c r="L72" s="48" t="s">
        <v>741</v>
      </c>
      <c r="M72" s="48" t="s">
        <v>742</v>
      </c>
      <c r="N72" s="17" t="n">
        <v>1</v>
      </c>
      <c r="O72" s="47" t="n">
        <v>1728513.25</v>
      </c>
      <c r="P72" s="47" t="n">
        <v>1728513.25</v>
      </c>
      <c r="Q72" s="49" t="n">
        <v>1728513.25</v>
      </c>
      <c r="R72" s="47"/>
      <c r="S72" s="33" t="s">
        <v>743</v>
      </c>
      <c r="T72" s="33" t="s">
        <v>744</v>
      </c>
      <c r="U72" s="33" t="s">
        <v>130</v>
      </c>
      <c r="V72" s="39" t="s">
        <v>745</v>
      </c>
      <c r="W72" s="18" t="s">
        <v>746</v>
      </c>
      <c r="X72" s="17" t="s">
        <v>747</v>
      </c>
    </row>
    <row r="73" customFormat="false" ht="102.75" hidden="false" customHeight="true" outlineLevel="0" collapsed="false">
      <c r="A73" s="31" t="s">
        <v>131</v>
      </c>
      <c r="B73" s="31" t="s">
        <v>40</v>
      </c>
      <c r="C73" s="31" t="s">
        <v>132</v>
      </c>
      <c r="D73" s="17" t="s">
        <v>748</v>
      </c>
      <c r="E73" s="32" t="s">
        <v>749</v>
      </c>
      <c r="F73" s="32" t="s">
        <v>750</v>
      </c>
      <c r="G73" s="33" t="s">
        <v>751</v>
      </c>
      <c r="H73" s="32" t="s">
        <v>752</v>
      </c>
      <c r="I73" s="34" t="s">
        <v>274</v>
      </c>
      <c r="J73" s="32" t="s">
        <v>753</v>
      </c>
      <c r="K73" s="48"/>
      <c r="L73" s="48"/>
      <c r="M73" s="48"/>
      <c r="N73" s="17" t="n">
        <v>1</v>
      </c>
      <c r="O73" s="47" t="n">
        <v>1462832.34</v>
      </c>
      <c r="P73" s="47" t="n">
        <v>1462832.34</v>
      </c>
      <c r="Q73" s="49"/>
      <c r="R73" s="47"/>
      <c r="S73" s="17"/>
      <c r="T73" s="33" t="s">
        <v>754</v>
      </c>
      <c r="U73" s="33" t="s">
        <v>135</v>
      </c>
      <c r="V73" s="39" t="s">
        <v>755</v>
      </c>
      <c r="W73" s="18" t="s">
        <v>756</v>
      </c>
      <c r="X73" s="17" t="s">
        <v>757</v>
      </c>
    </row>
    <row r="74" customFormat="false" ht="68.25" hidden="false" customHeight="true" outlineLevel="0" collapsed="false">
      <c r="A74" s="33" t="s">
        <v>131</v>
      </c>
      <c r="B74" s="33" t="s">
        <v>209</v>
      </c>
      <c r="C74" s="33" t="s">
        <v>758</v>
      </c>
      <c r="D74" s="40" t="s">
        <v>759</v>
      </c>
      <c r="E74" s="32" t="s">
        <v>760</v>
      </c>
      <c r="F74" s="32" t="s">
        <v>761</v>
      </c>
      <c r="G74" s="32" t="s">
        <v>762</v>
      </c>
      <c r="H74" s="32" t="s">
        <v>763</v>
      </c>
      <c r="I74" s="34" t="s">
        <v>274</v>
      </c>
      <c r="J74" s="32" t="s">
        <v>764</v>
      </c>
      <c r="K74" s="48" t="s">
        <v>314</v>
      </c>
      <c r="L74" s="48"/>
      <c r="M74" s="48"/>
      <c r="N74" s="17"/>
      <c r="O74" s="47"/>
      <c r="P74" s="47"/>
      <c r="Q74" s="49"/>
      <c r="R74" s="47"/>
      <c r="S74" s="17"/>
      <c r="T74" s="33" t="s">
        <v>765</v>
      </c>
      <c r="U74" s="33" t="s">
        <v>766</v>
      </c>
      <c r="V74" s="17"/>
      <c r="W74" s="17"/>
      <c r="X74" s="17"/>
    </row>
    <row r="75" customFormat="false" ht="45" hidden="false" customHeight="true" outlineLevel="0" collapsed="false">
      <c r="A75" s="33" t="s">
        <v>131</v>
      </c>
      <c r="B75" s="33" t="s">
        <v>209</v>
      </c>
      <c r="C75" s="33" t="s">
        <v>767</v>
      </c>
      <c r="D75" s="40" t="s">
        <v>768</v>
      </c>
      <c r="E75" s="32" t="s">
        <v>760</v>
      </c>
      <c r="F75" s="32" t="s">
        <v>769</v>
      </c>
      <c r="G75" s="32" t="s">
        <v>770</v>
      </c>
      <c r="H75" s="32" t="s">
        <v>771</v>
      </c>
      <c r="I75" s="34" t="s">
        <v>274</v>
      </c>
      <c r="J75" s="32" t="s">
        <v>217</v>
      </c>
      <c r="K75" s="48" t="s">
        <v>314</v>
      </c>
      <c r="L75" s="48"/>
      <c r="M75" s="48"/>
      <c r="N75" s="17"/>
      <c r="O75" s="47"/>
      <c r="P75" s="47"/>
      <c r="Q75" s="49"/>
      <c r="R75" s="47"/>
      <c r="S75" s="17"/>
      <c r="T75" s="33" t="s">
        <v>772</v>
      </c>
      <c r="U75" s="33" t="s">
        <v>773</v>
      </c>
      <c r="V75" s="17"/>
      <c r="W75" s="17"/>
      <c r="X75" s="17"/>
    </row>
    <row r="76" customFormat="false" ht="33.75" hidden="false" customHeight="true" outlineLevel="0" collapsed="false">
      <c r="A76" s="33" t="s">
        <v>131</v>
      </c>
      <c r="B76" s="33" t="s">
        <v>209</v>
      </c>
      <c r="C76" s="33" t="s">
        <v>774</v>
      </c>
      <c r="D76" s="40" t="s">
        <v>775</v>
      </c>
      <c r="E76" s="32" t="s">
        <v>271</v>
      </c>
      <c r="F76" s="32" t="s">
        <v>271</v>
      </c>
      <c r="G76" s="32" t="s">
        <v>776</v>
      </c>
      <c r="H76" s="32" t="s">
        <v>271</v>
      </c>
      <c r="I76" s="34" t="s">
        <v>274</v>
      </c>
      <c r="J76" s="32" t="s">
        <v>271</v>
      </c>
      <c r="K76" s="48" t="s">
        <v>314</v>
      </c>
      <c r="L76" s="48"/>
      <c r="M76" s="48"/>
      <c r="N76" s="17"/>
      <c r="O76" s="47"/>
      <c r="P76" s="47"/>
      <c r="Q76" s="49"/>
      <c r="R76" s="47"/>
      <c r="S76" s="17"/>
      <c r="T76" s="33" t="s">
        <v>777</v>
      </c>
      <c r="U76" s="33" t="s">
        <v>778</v>
      </c>
      <c r="V76" s="17"/>
      <c r="W76" s="17"/>
      <c r="X76" s="17"/>
    </row>
    <row r="77" customFormat="false" ht="23.25" hidden="false" customHeight="true" outlineLevel="0" collapsed="false">
      <c r="A77" s="33" t="s">
        <v>136</v>
      </c>
      <c r="B77" s="33" t="s">
        <v>209</v>
      </c>
      <c r="C77" s="33" t="s">
        <v>779</v>
      </c>
      <c r="D77" s="40" t="s">
        <v>780</v>
      </c>
      <c r="E77" s="32" t="s">
        <v>679</v>
      </c>
      <c r="F77" s="32" t="s">
        <v>781</v>
      </c>
      <c r="G77" s="32" t="s">
        <v>782</v>
      </c>
      <c r="H77" s="32" t="s">
        <v>783</v>
      </c>
      <c r="I77" s="34" t="s">
        <v>274</v>
      </c>
      <c r="J77" s="32" t="s">
        <v>298</v>
      </c>
      <c r="K77" s="48" t="s">
        <v>314</v>
      </c>
      <c r="L77" s="48"/>
      <c r="M77" s="48"/>
      <c r="N77" s="17"/>
      <c r="O77" s="47"/>
      <c r="P77" s="47"/>
      <c r="Q77" s="49"/>
      <c r="R77" s="47"/>
      <c r="S77" s="17"/>
      <c r="T77" s="33" t="s">
        <v>784</v>
      </c>
      <c r="U77" s="33" t="s">
        <v>785</v>
      </c>
      <c r="V77" s="17"/>
      <c r="W77" s="17"/>
      <c r="X77" s="17" t="s">
        <v>786</v>
      </c>
    </row>
    <row r="78" customFormat="false" ht="23.25" hidden="false" customHeight="true" outlineLevel="0" collapsed="false">
      <c r="A78" s="33" t="s">
        <v>136</v>
      </c>
      <c r="B78" s="33" t="s">
        <v>209</v>
      </c>
      <c r="C78" s="33" t="s">
        <v>779</v>
      </c>
      <c r="D78" s="40" t="s">
        <v>787</v>
      </c>
      <c r="E78" s="32" t="s">
        <v>679</v>
      </c>
      <c r="F78" s="32" t="s">
        <v>781</v>
      </c>
      <c r="G78" s="32" t="s">
        <v>788</v>
      </c>
      <c r="H78" s="32" t="s">
        <v>789</v>
      </c>
      <c r="I78" s="34" t="s">
        <v>274</v>
      </c>
      <c r="J78" s="32" t="s">
        <v>298</v>
      </c>
      <c r="K78" s="48" t="s">
        <v>314</v>
      </c>
      <c r="L78" s="48"/>
      <c r="M78" s="48"/>
      <c r="N78" s="17"/>
      <c r="O78" s="47"/>
      <c r="P78" s="47"/>
      <c r="Q78" s="49"/>
      <c r="R78" s="47"/>
      <c r="S78" s="17"/>
      <c r="T78" s="33" t="s">
        <v>784</v>
      </c>
      <c r="U78" s="33" t="s">
        <v>790</v>
      </c>
      <c r="V78" s="17"/>
      <c r="W78" s="17"/>
      <c r="X78" s="18" t="s">
        <v>791</v>
      </c>
    </row>
    <row r="79" customFormat="false" ht="23.25" hidden="false" customHeight="true" outlineLevel="0" collapsed="false">
      <c r="A79" s="33" t="s">
        <v>136</v>
      </c>
      <c r="B79" s="33" t="s">
        <v>209</v>
      </c>
      <c r="C79" s="33" t="s">
        <v>779</v>
      </c>
      <c r="D79" s="40" t="s">
        <v>792</v>
      </c>
      <c r="E79" s="32" t="s">
        <v>679</v>
      </c>
      <c r="F79" s="32" t="s">
        <v>781</v>
      </c>
      <c r="G79" s="32" t="s">
        <v>788</v>
      </c>
      <c r="H79" s="32" t="s">
        <v>793</v>
      </c>
      <c r="I79" s="34" t="s">
        <v>274</v>
      </c>
      <c r="J79" s="32" t="s">
        <v>298</v>
      </c>
      <c r="K79" s="48" t="s">
        <v>314</v>
      </c>
      <c r="L79" s="48"/>
      <c r="M79" s="48"/>
      <c r="N79" s="17"/>
      <c r="O79" s="47"/>
      <c r="P79" s="47"/>
      <c r="Q79" s="49"/>
      <c r="R79" s="47"/>
      <c r="S79" s="17"/>
      <c r="T79" s="33" t="s">
        <v>794</v>
      </c>
      <c r="U79" s="33" t="s">
        <v>795</v>
      </c>
      <c r="V79" s="17"/>
      <c r="W79" s="17"/>
      <c r="X79" s="18" t="s">
        <v>791</v>
      </c>
    </row>
    <row r="80" customFormat="false" ht="23.25" hidden="false" customHeight="true" outlineLevel="0" collapsed="false">
      <c r="A80" s="33" t="s">
        <v>136</v>
      </c>
      <c r="B80" s="33" t="s">
        <v>209</v>
      </c>
      <c r="C80" s="33" t="s">
        <v>779</v>
      </c>
      <c r="D80" s="40" t="s">
        <v>796</v>
      </c>
      <c r="E80" s="32" t="s">
        <v>679</v>
      </c>
      <c r="F80" s="32" t="s">
        <v>781</v>
      </c>
      <c r="G80" s="32" t="s">
        <v>797</v>
      </c>
      <c r="H80" s="32" t="s">
        <v>798</v>
      </c>
      <c r="I80" s="34" t="s">
        <v>274</v>
      </c>
      <c r="J80" s="32" t="s">
        <v>298</v>
      </c>
      <c r="K80" s="48" t="s">
        <v>314</v>
      </c>
      <c r="L80" s="48"/>
      <c r="M80" s="48"/>
      <c r="N80" s="17"/>
      <c r="O80" s="47"/>
      <c r="P80" s="47"/>
      <c r="Q80" s="49"/>
      <c r="R80" s="47"/>
      <c r="S80" s="17"/>
      <c r="T80" s="33" t="s">
        <v>784</v>
      </c>
      <c r="U80" s="33" t="s">
        <v>799</v>
      </c>
      <c r="V80" s="17"/>
      <c r="W80" s="17"/>
      <c r="X80" s="18" t="s">
        <v>791</v>
      </c>
    </row>
    <row r="81" customFormat="false" ht="23.25" hidden="false" customHeight="true" outlineLevel="0" collapsed="false">
      <c r="A81" s="33" t="s">
        <v>136</v>
      </c>
      <c r="B81" s="33" t="s">
        <v>209</v>
      </c>
      <c r="C81" s="33" t="s">
        <v>779</v>
      </c>
      <c r="D81" s="40" t="s">
        <v>800</v>
      </c>
      <c r="E81" s="32" t="s">
        <v>679</v>
      </c>
      <c r="F81" s="32" t="s">
        <v>781</v>
      </c>
      <c r="G81" s="32" t="s">
        <v>782</v>
      </c>
      <c r="H81" s="32" t="s">
        <v>801</v>
      </c>
      <c r="I81" s="34" t="s">
        <v>274</v>
      </c>
      <c r="J81" s="32" t="s">
        <v>298</v>
      </c>
      <c r="K81" s="48" t="s">
        <v>314</v>
      </c>
      <c r="L81" s="48"/>
      <c r="M81" s="48"/>
      <c r="N81" s="17"/>
      <c r="O81" s="47"/>
      <c r="P81" s="47"/>
      <c r="Q81" s="49"/>
      <c r="R81" s="47"/>
      <c r="S81" s="17"/>
      <c r="T81" s="33" t="s">
        <v>802</v>
      </c>
      <c r="U81" s="33" t="s">
        <v>803</v>
      </c>
      <c r="V81" s="17"/>
      <c r="W81" s="17"/>
      <c r="X81" s="18" t="s">
        <v>791</v>
      </c>
    </row>
    <row r="82" customFormat="false" ht="23.25" hidden="false" customHeight="true" outlineLevel="0" collapsed="false">
      <c r="A82" s="33" t="s">
        <v>136</v>
      </c>
      <c r="B82" s="33" t="s">
        <v>209</v>
      </c>
      <c r="C82" s="33" t="s">
        <v>779</v>
      </c>
      <c r="D82" s="40" t="s">
        <v>804</v>
      </c>
      <c r="E82" s="32" t="s">
        <v>679</v>
      </c>
      <c r="F82" s="32" t="s">
        <v>781</v>
      </c>
      <c r="G82" s="32" t="s">
        <v>805</v>
      </c>
      <c r="H82" s="32" t="s">
        <v>806</v>
      </c>
      <c r="I82" s="34" t="s">
        <v>274</v>
      </c>
      <c r="J82" s="32" t="s">
        <v>298</v>
      </c>
      <c r="K82" s="48" t="s">
        <v>314</v>
      </c>
      <c r="L82" s="48"/>
      <c r="M82" s="48"/>
      <c r="N82" s="17"/>
      <c r="O82" s="47"/>
      <c r="P82" s="47"/>
      <c r="Q82" s="49"/>
      <c r="R82" s="47"/>
      <c r="S82" s="17"/>
      <c r="T82" s="33" t="s">
        <v>807</v>
      </c>
      <c r="U82" s="33" t="s">
        <v>808</v>
      </c>
      <c r="V82" s="17"/>
      <c r="W82" s="17"/>
      <c r="X82" s="18" t="s">
        <v>791</v>
      </c>
    </row>
    <row r="83" customFormat="false" ht="23.25" hidden="false" customHeight="true" outlineLevel="0" collapsed="false">
      <c r="A83" s="33" t="s">
        <v>136</v>
      </c>
      <c r="B83" s="33" t="s">
        <v>209</v>
      </c>
      <c r="C83" s="33" t="s">
        <v>779</v>
      </c>
      <c r="D83" s="40" t="s">
        <v>809</v>
      </c>
      <c r="E83" s="32" t="s">
        <v>679</v>
      </c>
      <c r="F83" s="32" t="s">
        <v>781</v>
      </c>
      <c r="G83" s="32" t="s">
        <v>797</v>
      </c>
      <c r="H83" s="32" t="s">
        <v>810</v>
      </c>
      <c r="I83" s="34" t="s">
        <v>274</v>
      </c>
      <c r="J83" s="32" t="s">
        <v>298</v>
      </c>
      <c r="K83" s="48" t="s">
        <v>314</v>
      </c>
      <c r="L83" s="48"/>
      <c r="M83" s="48"/>
      <c r="N83" s="17"/>
      <c r="O83" s="47"/>
      <c r="P83" s="47"/>
      <c r="Q83" s="49"/>
      <c r="R83" s="47"/>
      <c r="S83" s="17"/>
      <c r="T83" s="33" t="s">
        <v>784</v>
      </c>
      <c r="U83" s="33" t="s">
        <v>811</v>
      </c>
      <c r="V83" s="17"/>
      <c r="W83" s="17"/>
      <c r="X83" s="18" t="s">
        <v>791</v>
      </c>
    </row>
    <row r="84" customFormat="false" ht="23.25" hidden="false" customHeight="true" outlineLevel="0" collapsed="false">
      <c r="A84" s="33" t="s">
        <v>136</v>
      </c>
      <c r="B84" s="33" t="s">
        <v>209</v>
      </c>
      <c r="C84" s="33" t="s">
        <v>779</v>
      </c>
      <c r="D84" s="40" t="s">
        <v>812</v>
      </c>
      <c r="E84" s="32" t="s">
        <v>679</v>
      </c>
      <c r="F84" s="32" t="s">
        <v>781</v>
      </c>
      <c r="G84" s="32" t="s">
        <v>782</v>
      </c>
      <c r="H84" s="32" t="s">
        <v>813</v>
      </c>
      <c r="I84" s="34" t="s">
        <v>274</v>
      </c>
      <c r="J84" s="32" t="s">
        <v>298</v>
      </c>
      <c r="K84" s="48" t="s">
        <v>314</v>
      </c>
      <c r="L84" s="48"/>
      <c r="M84" s="48"/>
      <c r="N84" s="17"/>
      <c r="O84" s="47"/>
      <c r="P84" s="47"/>
      <c r="Q84" s="49"/>
      <c r="R84" s="47"/>
      <c r="S84" s="17"/>
      <c r="T84" s="33" t="s">
        <v>814</v>
      </c>
      <c r="U84" s="33" t="s">
        <v>815</v>
      </c>
      <c r="V84" s="17"/>
      <c r="W84" s="17"/>
      <c r="X84" s="18" t="s">
        <v>791</v>
      </c>
    </row>
    <row r="85" customFormat="false" ht="23.25" hidden="false" customHeight="true" outlineLevel="0" collapsed="false">
      <c r="A85" s="33" t="s">
        <v>136</v>
      </c>
      <c r="B85" s="33" t="s">
        <v>209</v>
      </c>
      <c r="C85" s="33" t="s">
        <v>779</v>
      </c>
      <c r="D85" s="40" t="s">
        <v>816</v>
      </c>
      <c r="E85" s="32" t="s">
        <v>679</v>
      </c>
      <c r="F85" s="32" t="s">
        <v>781</v>
      </c>
      <c r="G85" s="32" t="s">
        <v>782</v>
      </c>
      <c r="H85" s="32" t="s">
        <v>817</v>
      </c>
      <c r="I85" s="34" t="s">
        <v>274</v>
      </c>
      <c r="J85" s="32" t="s">
        <v>298</v>
      </c>
      <c r="K85" s="48" t="s">
        <v>314</v>
      </c>
      <c r="L85" s="48"/>
      <c r="M85" s="48"/>
      <c r="N85" s="17"/>
      <c r="O85" s="47"/>
      <c r="P85" s="47"/>
      <c r="Q85" s="49"/>
      <c r="R85" s="47"/>
      <c r="S85" s="17"/>
      <c r="T85" s="33" t="s">
        <v>784</v>
      </c>
      <c r="U85" s="33" t="s">
        <v>818</v>
      </c>
      <c r="V85" s="17"/>
      <c r="W85" s="17"/>
      <c r="X85" s="18" t="s">
        <v>791</v>
      </c>
    </row>
    <row r="86" customFormat="false" ht="23.25" hidden="false" customHeight="true" outlineLevel="0" collapsed="false">
      <c r="A86" s="33" t="s">
        <v>136</v>
      </c>
      <c r="B86" s="33" t="s">
        <v>209</v>
      </c>
      <c r="C86" s="33" t="s">
        <v>779</v>
      </c>
      <c r="D86" s="40" t="s">
        <v>819</v>
      </c>
      <c r="E86" s="32" t="s">
        <v>679</v>
      </c>
      <c r="F86" s="32" t="s">
        <v>781</v>
      </c>
      <c r="G86" s="32" t="s">
        <v>797</v>
      </c>
      <c r="H86" s="32" t="s">
        <v>820</v>
      </c>
      <c r="I86" s="34" t="s">
        <v>274</v>
      </c>
      <c r="J86" s="32" t="s">
        <v>298</v>
      </c>
      <c r="K86" s="48" t="s">
        <v>314</v>
      </c>
      <c r="L86" s="48"/>
      <c r="M86" s="48"/>
      <c r="N86" s="17"/>
      <c r="O86" s="47"/>
      <c r="P86" s="47"/>
      <c r="Q86" s="49"/>
      <c r="R86" s="47"/>
      <c r="S86" s="17"/>
      <c r="T86" s="33" t="s">
        <v>784</v>
      </c>
      <c r="U86" s="33" t="s">
        <v>821</v>
      </c>
      <c r="V86" s="17"/>
      <c r="W86" s="17"/>
      <c r="X86" s="18" t="s">
        <v>791</v>
      </c>
    </row>
    <row r="87" customFormat="false" ht="23.25" hidden="false" customHeight="true" outlineLevel="0" collapsed="false">
      <c r="A87" s="33" t="s">
        <v>136</v>
      </c>
      <c r="B87" s="33" t="s">
        <v>209</v>
      </c>
      <c r="C87" s="33" t="s">
        <v>822</v>
      </c>
      <c r="D87" s="40" t="s">
        <v>823</v>
      </c>
      <c r="E87" s="32" t="s">
        <v>679</v>
      </c>
      <c r="F87" s="32" t="s">
        <v>706</v>
      </c>
      <c r="G87" s="32" t="s">
        <v>707</v>
      </c>
      <c r="H87" s="32" t="s">
        <v>824</v>
      </c>
      <c r="I87" s="34" t="s">
        <v>274</v>
      </c>
      <c r="J87" s="32" t="s">
        <v>217</v>
      </c>
      <c r="K87" s="48" t="s">
        <v>314</v>
      </c>
      <c r="L87" s="48"/>
      <c r="M87" s="48"/>
      <c r="N87" s="17"/>
      <c r="O87" s="47"/>
      <c r="P87" s="47"/>
      <c r="Q87" s="49"/>
      <c r="R87" s="47"/>
      <c r="S87" s="17"/>
      <c r="T87" s="33" t="s">
        <v>825</v>
      </c>
      <c r="U87" s="33" t="s">
        <v>826</v>
      </c>
      <c r="V87" s="17"/>
      <c r="W87" s="17"/>
      <c r="X87" s="18" t="s">
        <v>791</v>
      </c>
    </row>
    <row r="88" customFormat="false" ht="23.25" hidden="false" customHeight="true" outlineLevel="0" collapsed="false">
      <c r="A88" s="33" t="s">
        <v>136</v>
      </c>
      <c r="B88" s="33" t="s">
        <v>209</v>
      </c>
      <c r="C88" s="33" t="s">
        <v>827</v>
      </c>
      <c r="D88" s="40" t="s">
        <v>828</v>
      </c>
      <c r="E88" s="32" t="s">
        <v>679</v>
      </c>
      <c r="F88" s="32" t="s">
        <v>829</v>
      </c>
      <c r="G88" s="32" t="s">
        <v>830</v>
      </c>
      <c r="H88" s="32" t="s">
        <v>831</v>
      </c>
      <c r="I88" s="34" t="s">
        <v>274</v>
      </c>
      <c r="J88" s="32" t="s">
        <v>298</v>
      </c>
      <c r="K88" s="48" t="s">
        <v>314</v>
      </c>
      <c r="L88" s="48"/>
      <c r="M88" s="48"/>
      <c r="N88" s="17"/>
      <c r="O88" s="47"/>
      <c r="P88" s="47"/>
      <c r="Q88" s="49"/>
      <c r="R88" s="47"/>
      <c r="S88" s="17"/>
      <c r="T88" s="33" t="s">
        <v>832</v>
      </c>
      <c r="U88" s="33" t="s">
        <v>833</v>
      </c>
      <c r="V88" s="17"/>
      <c r="W88" s="17"/>
      <c r="X88" s="18" t="s">
        <v>791</v>
      </c>
    </row>
    <row r="89" customFormat="false" ht="23.25" hidden="false" customHeight="true" outlineLevel="0" collapsed="false">
      <c r="A89" s="33" t="s">
        <v>136</v>
      </c>
      <c r="B89" s="33" t="s">
        <v>209</v>
      </c>
      <c r="C89" s="33" t="s">
        <v>834</v>
      </c>
      <c r="D89" s="40" t="s">
        <v>835</v>
      </c>
      <c r="E89" s="32" t="s">
        <v>679</v>
      </c>
      <c r="F89" s="32" t="s">
        <v>706</v>
      </c>
      <c r="G89" s="32" t="s">
        <v>707</v>
      </c>
      <c r="H89" s="32" t="s">
        <v>836</v>
      </c>
      <c r="I89" s="34" t="s">
        <v>274</v>
      </c>
      <c r="J89" s="32" t="s">
        <v>298</v>
      </c>
      <c r="K89" s="48" t="s">
        <v>314</v>
      </c>
      <c r="L89" s="48"/>
      <c r="M89" s="48"/>
      <c r="N89" s="17"/>
      <c r="O89" s="47"/>
      <c r="P89" s="47"/>
      <c r="Q89" s="49"/>
      <c r="R89" s="47"/>
      <c r="S89" s="17"/>
      <c r="T89" s="33" t="s">
        <v>837</v>
      </c>
      <c r="U89" s="33" t="s">
        <v>838</v>
      </c>
      <c r="V89" s="17"/>
      <c r="W89" s="17"/>
      <c r="X89" s="18" t="s">
        <v>791</v>
      </c>
    </row>
    <row r="90" customFormat="false" ht="23.25" hidden="false" customHeight="true" outlineLevel="0" collapsed="false">
      <c r="A90" s="33" t="s">
        <v>136</v>
      </c>
      <c r="B90" s="33" t="s">
        <v>209</v>
      </c>
      <c r="C90" s="33" t="s">
        <v>839</v>
      </c>
      <c r="D90" s="40" t="s">
        <v>840</v>
      </c>
      <c r="E90" s="32" t="s">
        <v>679</v>
      </c>
      <c r="F90" s="32" t="s">
        <v>706</v>
      </c>
      <c r="G90" s="32" t="s">
        <v>707</v>
      </c>
      <c r="H90" s="32" t="s">
        <v>841</v>
      </c>
      <c r="I90" s="34" t="s">
        <v>274</v>
      </c>
      <c r="J90" s="32" t="s">
        <v>217</v>
      </c>
      <c r="K90" s="48" t="s">
        <v>314</v>
      </c>
      <c r="L90" s="48"/>
      <c r="M90" s="48"/>
      <c r="N90" s="17"/>
      <c r="O90" s="47"/>
      <c r="P90" s="47"/>
      <c r="Q90" s="49"/>
      <c r="R90" s="47"/>
      <c r="S90" s="17"/>
      <c r="T90" s="33" t="s">
        <v>842</v>
      </c>
      <c r="U90" s="33" t="s">
        <v>843</v>
      </c>
      <c r="V90" s="17"/>
      <c r="W90" s="17"/>
      <c r="X90" s="18" t="s">
        <v>791</v>
      </c>
    </row>
    <row r="91" customFormat="false" ht="23.25" hidden="false" customHeight="true" outlineLevel="0" collapsed="false">
      <c r="A91" s="33" t="s">
        <v>136</v>
      </c>
      <c r="B91" s="33" t="s">
        <v>209</v>
      </c>
      <c r="C91" s="33" t="s">
        <v>844</v>
      </c>
      <c r="D91" s="40" t="s">
        <v>845</v>
      </c>
      <c r="E91" s="32" t="s">
        <v>679</v>
      </c>
      <c r="F91" s="32" t="s">
        <v>846</v>
      </c>
      <c r="G91" s="32" t="s">
        <v>847</v>
      </c>
      <c r="H91" s="32" t="s">
        <v>848</v>
      </c>
      <c r="I91" s="34" t="s">
        <v>274</v>
      </c>
      <c r="J91" s="32" t="s">
        <v>298</v>
      </c>
      <c r="K91" s="48" t="s">
        <v>314</v>
      </c>
      <c r="L91" s="48"/>
      <c r="M91" s="48"/>
      <c r="N91" s="17"/>
      <c r="O91" s="47"/>
      <c r="P91" s="47"/>
      <c r="Q91" s="49"/>
      <c r="R91" s="47"/>
      <c r="S91" s="17"/>
      <c r="T91" s="33" t="s">
        <v>832</v>
      </c>
      <c r="U91" s="33" t="s">
        <v>849</v>
      </c>
      <c r="V91" s="17"/>
      <c r="W91" s="17"/>
      <c r="X91" s="18" t="s">
        <v>791</v>
      </c>
    </row>
    <row r="92" customFormat="false" ht="23.25" hidden="false" customHeight="true" outlineLevel="0" collapsed="false">
      <c r="A92" s="33" t="s">
        <v>136</v>
      </c>
      <c r="B92" s="33" t="s">
        <v>209</v>
      </c>
      <c r="C92" s="33" t="s">
        <v>850</v>
      </c>
      <c r="D92" s="40" t="s">
        <v>851</v>
      </c>
      <c r="E92" s="32" t="s">
        <v>679</v>
      </c>
      <c r="F92" s="32" t="s">
        <v>706</v>
      </c>
      <c r="G92" s="32" t="s">
        <v>707</v>
      </c>
      <c r="H92" s="32" t="s">
        <v>852</v>
      </c>
      <c r="I92" s="34" t="s">
        <v>274</v>
      </c>
      <c r="J92" s="32" t="s">
        <v>298</v>
      </c>
      <c r="K92" s="48" t="s">
        <v>314</v>
      </c>
      <c r="L92" s="48"/>
      <c r="M92" s="48"/>
      <c r="N92" s="17"/>
      <c r="O92" s="47"/>
      <c r="P92" s="47"/>
      <c r="Q92" s="49"/>
      <c r="R92" s="47"/>
      <c r="S92" s="17"/>
      <c r="T92" s="33" t="s">
        <v>853</v>
      </c>
      <c r="U92" s="33" t="s">
        <v>854</v>
      </c>
      <c r="V92" s="17"/>
      <c r="W92" s="17"/>
      <c r="X92" s="18" t="s">
        <v>791</v>
      </c>
    </row>
    <row r="93" customFormat="false" ht="23.25" hidden="false" customHeight="true" outlineLevel="0" collapsed="false">
      <c r="A93" s="33" t="s">
        <v>136</v>
      </c>
      <c r="B93" s="33" t="s">
        <v>209</v>
      </c>
      <c r="C93" s="33" t="s">
        <v>855</v>
      </c>
      <c r="D93" s="40" t="s">
        <v>856</v>
      </c>
      <c r="E93" s="32" t="s">
        <v>679</v>
      </c>
      <c r="F93" s="32" t="s">
        <v>846</v>
      </c>
      <c r="G93" s="32" t="s">
        <v>847</v>
      </c>
      <c r="H93" s="32" t="s">
        <v>857</v>
      </c>
      <c r="I93" s="34" t="s">
        <v>274</v>
      </c>
      <c r="J93" s="32" t="s">
        <v>298</v>
      </c>
      <c r="K93" s="48" t="s">
        <v>314</v>
      </c>
      <c r="L93" s="48"/>
      <c r="M93" s="48"/>
      <c r="N93" s="17"/>
      <c r="O93" s="47"/>
      <c r="P93" s="47"/>
      <c r="Q93" s="49"/>
      <c r="R93" s="47"/>
      <c r="S93" s="17"/>
      <c r="T93" s="33" t="s">
        <v>832</v>
      </c>
      <c r="U93" s="33" t="s">
        <v>858</v>
      </c>
      <c r="V93" s="17"/>
      <c r="W93" s="17"/>
      <c r="X93" s="18" t="s">
        <v>791</v>
      </c>
    </row>
    <row r="94" customFormat="false" ht="23.25" hidden="false" customHeight="true" outlineLevel="0" collapsed="false">
      <c r="A94" s="33" t="s">
        <v>136</v>
      </c>
      <c r="B94" s="33" t="s">
        <v>209</v>
      </c>
      <c r="C94" s="33" t="s">
        <v>859</v>
      </c>
      <c r="D94" s="40" t="s">
        <v>860</v>
      </c>
      <c r="E94" s="32" t="s">
        <v>679</v>
      </c>
      <c r="F94" s="32" t="s">
        <v>706</v>
      </c>
      <c r="G94" s="32" t="s">
        <v>707</v>
      </c>
      <c r="H94" s="32" t="s">
        <v>861</v>
      </c>
      <c r="I94" s="34" t="s">
        <v>274</v>
      </c>
      <c r="J94" s="32" t="s">
        <v>298</v>
      </c>
      <c r="K94" s="48" t="s">
        <v>314</v>
      </c>
      <c r="L94" s="48"/>
      <c r="M94" s="48"/>
      <c r="N94" s="17"/>
      <c r="O94" s="47"/>
      <c r="P94" s="47"/>
      <c r="Q94" s="49"/>
      <c r="R94" s="47"/>
      <c r="S94" s="17"/>
      <c r="T94" s="33" t="s">
        <v>862</v>
      </c>
      <c r="U94" s="33" t="s">
        <v>863</v>
      </c>
      <c r="V94" s="17"/>
      <c r="W94" s="17"/>
      <c r="X94" s="18" t="s">
        <v>791</v>
      </c>
    </row>
    <row r="95" customFormat="false" ht="23.25" hidden="false" customHeight="true" outlineLevel="0" collapsed="false">
      <c r="A95" s="33" t="s">
        <v>136</v>
      </c>
      <c r="B95" s="33" t="s">
        <v>209</v>
      </c>
      <c r="C95" s="33" t="s">
        <v>864</v>
      </c>
      <c r="D95" s="40" t="s">
        <v>865</v>
      </c>
      <c r="E95" s="32" t="s">
        <v>679</v>
      </c>
      <c r="F95" s="32" t="s">
        <v>706</v>
      </c>
      <c r="G95" s="32" t="s">
        <v>707</v>
      </c>
      <c r="H95" s="32" t="s">
        <v>866</v>
      </c>
      <c r="I95" s="34" t="s">
        <v>274</v>
      </c>
      <c r="J95" s="32" t="s">
        <v>217</v>
      </c>
      <c r="K95" s="48" t="s">
        <v>314</v>
      </c>
      <c r="L95" s="48"/>
      <c r="M95" s="48"/>
      <c r="N95" s="17"/>
      <c r="O95" s="47"/>
      <c r="P95" s="47"/>
      <c r="Q95" s="49"/>
      <c r="R95" s="47"/>
      <c r="S95" s="17"/>
      <c r="T95" s="33" t="s">
        <v>867</v>
      </c>
      <c r="U95" s="33" t="s">
        <v>868</v>
      </c>
      <c r="V95" s="17"/>
      <c r="W95" s="17"/>
      <c r="X95" s="18" t="s">
        <v>791</v>
      </c>
    </row>
    <row r="96" customFormat="false" ht="23.25" hidden="false" customHeight="true" outlineLevel="0" collapsed="false">
      <c r="A96" s="33" t="s">
        <v>136</v>
      </c>
      <c r="B96" s="33" t="s">
        <v>209</v>
      </c>
      <c r="C96" s="33" t="s">
        <v>869</v>
      </c>
      <c r="D96" s="40" t="s">
        <v>870</v>
      </c>
      <c r="E96" s="32" t="s">
        <v>679</v>
      </c>
      <c r="F96" s="32" t="s">
        <v>829</v>
      </c>
      <c r="G96" s="32" t="s">
        <v>830</v>
      </c>
      <c r="H96" s="32" t="s">
        <v>871</v>
      </c>
      <c r="I96" s="34" t="s">
        <v>274</v>
      </c>
      <c r="J96" s="32" t="s">
        <v>298</v>
      </c>
      <c r="K96" s="48" t="s">
        <v>314</v>
      </c>
      <c r="L96" s="48"/>
      <c r="M96" s="48"/>
      <c r="N96" s="17"/>
      <c r="O96" s="47"/>
      <c r="P96" s="47"/>
      <c r="Q96" s="49"/>
      <c r="R96" s="47"/>
      <c r="S96" s="17"/>
      <c r="T96" s="33" t="s">
        <v>872</v>
      </c>
      <c r="U96" s="33" t="s">
        <v>873</v>
      </c>
      <c r="V96" s="17"/>
      <c r="W96" s="17"/>
      <c r="X96" s="18" t="s">
        <v>791</v>
      </c>
    </row>
    <row r="97" customFormat="false" ht="23.25" hidden="false" customHeight="true" outlineLevel="0" collapsed="false">
      <c r="A97" s="33" t="s">
        <v>136</v>
      </c>
      <c r="B97" s="33" t="s">
        <v>209</v>
      </c>
      <c r="C97" s="33" t="s">
        <v>874</v>
      </c>
      <c r="D97" s="40" t="s">
        <v>875</v>
      </c>
      <c r="E97" s="32" t="s">
        <v>679</v>
      </c>
      <c r="F97" s="32" t="s">
        <v>706</v>
      </c>
      <c r="G97" s="32" t="s">
        <v>707</v>
      </c>
      <c r="H97" s="32" t="s">
        <v>876</v>
      </c>
      <c r="I97" s="34" t="s">
        <v>274</v>
      </c>
      <c r="J97" s="32" t="s">
        <v>298</v>
      </c>
      <c r="K97" s="48" t="s">
        <v>314</v>
      </c>
      <c r="L97" s="48"/>
      <c r="M97" s="48"/>
      <c r="N97" s="17"/>
      <c r="O97" s="47"/>
      <c r="P97" s="47"/>
      <c r="Q97" s="49"/>
      <c r="R97" s="47"/>
      <c r="S97" s="17"/>
      <c r="T97" s="33" t="s">
        <v>877</v>
      </c>
      <c r="U97" s="33" t="s">
        <v>878</v>
      </c>
      <c r="V97" s="17"/>
      <c r="W97" s="17"/>
      <c r="X97" s="18" t="s">
        <v>791</v>
      </c>
    </row>
    <row r="98" customFormat="false" ht="33.75" hidden="false" customHeight="true" outlineLevel="0" collapsed="false">
      <c r="A98" s="33" t="s">
        <v>136</v>
      </c>
      <c r="B98" s="33" t="s">
        <v>209</v>
      </c>
      <c r="C98" s="33" t="s">
        <v>879</v>
      </c>
      <c r="D98" s="40" t="s">
        <v>880</v>
      </c>
      <c r="E98" s="32" t="s">
        <v>679</v>
      </c>
      <c r="F98" s="32" t="s">
        <v>829</v>
      </c>
      <c r="G98" s="32" t="s">
        <v>830</v>
      </c>
      <c r="H98" s="32" t="s">
        <v>881</v>
      </c>
      <c r="I98" s="34" t="s">
        <v>274</v>
      </c>
      <c r="J98" s="32" t="s">
        <v>298</v>
      </c>
      <c r="K98" s="48" t="s">
        <v>314</v>
      </c>
      <c r="L98" s="48"/>
      <c r="M98" s="48"/>
      <c r="N98" s="17"/>
      <c r="O98" s="47"/>
      <c r="P98" s="47"/>
      <c r="Q98" s="49"/>
      <c r="R98" s="47"/>
      <c r="S98" s="17"/>
      <c r="T98" s="33" t="s">
        <v>882</v>
      </c>
      <c r="U98" s="33" t="s">
        <v>883</v>
      </c>
      <c r="V98" s="17"/>
      <c r="W98" s="17"/>
      <c r="X98" s="18" t="s">
        <v>791</v>
      </c>
    </row>
    <row r="99" customFormat="false" ht="23.25" hidden="false" customHeight="true" outlineLevel="0" collapsed="false">
      <c r="A99" s="33" t="s">
        <v>136</v>
      </c>
      <c r="B99" s="33" t="s">
        <v>209</v>
      </c>
      <c r="C99" s="33" t="s">
        <v>884</v>
      </c>
      <c r="D99" s="40" t="s">
        <v>885</v>
      </c>
      <c r="E99" s="32" t="s">
        <v>679</v>
      </c>
      <c r="F99" s="32" t="s">
        <v>706</v>
      </c>
      <c r="G99" s="32" t="s">
        <v>707</v>
      </c>
      <c r="H99" s="32" t="s">
        <v>886</v>
      </c>
      <c r="I99" s="34" t="s">
        <v>274</v>
      </c>
      <c r="J99" s="32" t="s">
        <v>217</v>
      </c>
      <c r="K99" s="48" t="s">
        <v>314</v>
      </c>
      <c r="L99" s="48"/>
      <c r="M99" s="48"/>
      <c r="N99" s="17"/>
      <c r="O99" s="47"/>
      <c r="P99" s="47"/>
      <c r="Q99" s="49"/>
      <c r="R99" s="47"/>
      <c r="S99" s="17"/>
      <c r="T99" s="33" t="s">
        <v>887</v>
      </c>
      <c r="U99" s="33" t="s">
        <v>888</v>
      </c>
      <c r="V99" s="17"/>
      <c r="W99" s="17"/>
      <c r="X99" s="18" t="s">
        <v>791</v>
      </c>
    </row>
    <row r="100" customFormat="false" ht="33.75" hidden="false" customHeight="true" outlineLevel="0" collapsed="false">
      <c r="A100" s="33" t="s">
        <v>136</v>
      </c>
      <c r="B100" s="33" t="s">
        <v>209</v>
      </c>
      <c r="C100" s="33" t="s">
        <v>889</v>
      </c>
      <c r="D100" s="40" t="s">
        <v>890</v>
      </c>
      <c r="E100" s="32" t="s">
        <v>679</v>
      </c>
      <c r="F100" s="32" t="s">
        <v>829</v>
      </c>
      <c r="G100" s="32" t="s">
        <v>830</v>
      </c>
      <c r="H100" s="32" t="s">
        <v>891</v>
      </c>
      <c r="I100" s="34" t="s">
        <v>274</v>
      </c>
      <c r="J100" s="32" t="s">
        <v>217</v>
      </c>
      <c r="K100" s="48" t="s">
        <v>314</v>
      </c>
      <c r="L100" s="48"/>
      <c r="M100" s="48"/>
      <c r="N100" s="17"/>
      <c r="O100" s="47"/>
      <c r="P100" s="47"/>
      <c r="Q100" s="49"/>
      <c r="R100" s="47"/>
      <c r="S100" s="17"/>
      <c r="T100" s="33" t="s">
        <v>892</v>
      </c>
      <c r="U100" s="33" t="s">
        <v>893</v>
      </c>
      <c r="V100" s="17"/>
      <c r="W100" s="17"/>
      <c r="X100" s="18" t="s">
        <v>791</v>
      </c>
    </row>
    <row r="101" customFormat="false" ht="33.75" hidden="false" customHeight="true" outlineLevel="0" collapsed="false">
      <c r="A101" s="33" t="s">
        <v>136</v>
      </c>
      <c r="B101" s="33" t="s">
        <v>209</v>
      </c>
      <c r="C101" s="33" t="s">
        <v>894</v>
      </c>
      <c r="D101" s="40" t="s">
        <v>895</v>
      </c>
      <c r="E101" s="32" t="s">
        <v>679</v>
      </c>
      <c r="F101" s="32" t="s">
        <v>706</v>
      </c>
      <c r="G101" s="32" t="s">
        <v>707</v>
      </c>
      <c r="H101" s="32" t="s">
        <v>896</v>
      </c>
      <c r="I101" s="34" t="s">
        <v>274</v>
      </c>
      <c r="J101" s="32" t="s">
        <v>217</v>
      </c>
      <c r="K101" s="48" t="s">
        <v>314</v>
      </c>
      <c r="L101" s="48"/>
      <c r="M101" s="48"/>
      <c r="N101" s="17"/>
      <c r="O101" s="47"/>
      <c r="P101" s="47"/>
      <c r="Q101" s="49"/>
      <c r="R101" s="47"/>
      <c r="S101" s="17"/>
      <c r="T101" s="33" t="s">
        <v>897</v>
      </c>
      <c r="U101" s="33" t="s">
        <v>898</v>
      </c>
      <c r="V101" s="17"/>
      <c r="W101" s="17"/>
      <c r="X101" s="18" t="s">
        <v>791</v>
      </c>
    </row>
    <row r="102" customFormat="false" ht="23.25" hidden="false" customHeight="true" outlineLevel="0" collapsed="false">
      <c r="A102" s="33" t="s">
        <v>136</v>
      </c>
      <c r="B102" s="33" t="s">
        <v>209</v>
      </c>
      <c r="C102" s="33" t="s">
        <v>899</v>
      </c>
      <c r="D102" s="40" t="s">
        <v>900</v>
      </c>
      <c r="E102" s="32" t="s">
        <v>679</v>
      </c>
      <c r="F102" s="32" t="s">
        <v>846</v>
      </c>
      <c r="G102" s="32" t="s">
        <v>847</v>
      </c>
      <c r="H102" s="32" t="s">
        <v>901</v>
      </c>
      <c r="I102" s="34" t="s">
        <v>274</v>
      </c>
      <c r="J102" s="32" t="s">
        <v>298</v>
      </c>
      <c r="K102" s="48" t="s">
        <v>314</v>
      </c>
      <c r="L102" s="48"/>
      <c r="M102" s="48"/>
      <c r="N102" s="17"/>
      <c r="O102" s="47"/>
      <c r="P102" s="47"/>
      <c r="Q102" s="49"/>
      <c r="R102" s="47"/>
      <c r="S102" s="17"/>
      <c r="T102" s="33" t="s">
        <v>902</v>
      </c>
      <c r="U102" s="33" t="s">
        <v>903</v>
      </c>
      <c r="V102" s="17"/>
      <c r="W102" s="17"/>
      <c r="X102" s="18" t="s">
        <v>791</v>
      </c>
    </row>
    <row r="103" customFormat="false" ht="23.25" hidden="false" customHeight="true" outlineLevel="0" collapsed="false">
      <c r="A103" s="33" t="s">
        <v>136</v>
      </c>
      <c r="B103" s="33" t="s">
        <v>209</v>
      </c>
      <c r="C103" s="33" t="s">
        <v>904</v>
      </c>
      <c r="D103" s="40" t="s">
        <v>905</v>
      </c>
      <c r="E103" s="32" t="s">
        <v>679</v>
      </c>
      <c r="F103" s="32" t="s">
        <v>706</v>
      </c>
      <c r="G103" s="32" t="s">
        <v>707</v>
      </c>
      <c r="H103" s="32" t="s">
        <v>906</v>
      </c>
      <c r="I103" s="34" t="s">
        <v>274</v>
      </c>
      <c r="J103" s="32" t="s">
        <v>298</v>
      </c>
      <c r="K103" s="48" t="s">
        <v>314</v>
      </c>
      <c r="L103" s="48"/>
      <c r="M103" s="48"/>
      <c r="N103" s="17"/>
      <c r="O103" s="47"/>
      <c r="P103" s="47"/>
      <c r="Q103" s="49"/>
      <c r="R103" s="47"/>
      <c r="S103" s="17"/>
      <c r="T103" s="33" t="s">
        <v>907</v>
      </c>
      <c r="U103" s="33" t="s">
        <v>908</v>
      </c>
      <c r="V103" s="17"/>
      <c r="W103" s="17"/>
      <c r="X103" s="18" t="s">
        <v>791</v>
      </c>
    </row>
    <row r="104" customFormat="false" ht="23.25" hidden="false" customHeight="true" outlineLevel="0" collapsed="false">
      <c r="A104" s="33" t="s">
        <v>136</v>
      </c>
      <c r="B104" s="33" t="s">
        <v>209</v>
      </c>
      <c r="C104" s="33" t="s">
        <v>909</v>
      </c>
      <c r="D104" s="40" t="s">
        <v>910</v>
      </c>
      <c r="E104" s="32" t="s">
        <v>679</v>
      </c>
      <c r="F104" s="32" t="s">
        <v>846</v>
      </c>
      <c r="G104" s="32" t="s">
        <v>847</v>
      </c>
      <c r="H104" s="32" t="s">
        <v>911</v>
      </c>
      <c r="I104" s="34" t="s">
        <v>274</v>
      </c>
      <c r="J104" s="32" t="s">
        <v>217</v>
      </c>
      <c r="K104" s="48" t="s">
        <v>314</v>
      </c>
      <c r="L104" s="48"/>
      <c r="M104" s="48"/>
      <c r="N104" s="17"/>
      <c r="O104" s="47"/>
      <c r="P104" s="47"/>
      <c r="Q104" s="49"/>
      <c r="R104" s="47"/>
      <c r="S104" s="17"/>
      <c r="T104" s="33" t="s">
        <v>912</v>
      </c>
      <c r="U104" s="33" t="s">
        <v>913</v>
      </c>
      <c r="V104" s="17"/>
      <c r="W104" s="17"/>
      <c r="X104" s="18" t="s">
        <v>791</v>
      </c>
    </row>
    <row r="105" customFormat="false" ht="33.75" hidden="false" customHeight="true" outlineLevel="0" collapsed="false">
      <c r="A105" s="33" t="s">
        <v>136</v>
      </c>
      <c r="B105" s="33" t="s">
        <v>209</v>
      </c>
      <c r="C105" s="33" t="s">
        <v>914</v>
      </c>
      <c r="D105" s="40" t="s">
        <v>915</v>
      </c>
      <c r="E105" s="32" t="s">
        <v>679</v>
      </c>
      <c r="F105" s="32" t="s">
        <v>706</v>
      </c>
      <c r="G105" s="32" t="s">
        <v>707</v>
      </c>
      <c r="H105" s="32" t="s">
        <v>916</v>
      </c>
      <c r="I105" s="34" t="s">
        <v>274</v>
      </c>
      <c r="J105" s="32" t="s">
        <v>217</v>
      </c>
      <c r="K105" s="48" t="s">
        <v>314</v>
      </c>
      <c r="L105" s="48"/>
      <c r="M105" s="48"/>
      <c r="N105" s="17"/>
      <c r="O105" s="47"/>
      <c r="P105" s="47"/>
      <c r="Q105" s="49"/>
      <c r="R105" s="47"/>
      <c r="S105" s="17"/>
      <c r="T105" s="33" t="s">
        <v>917</v>
      </c>
      <c r="U105" s="33" t="s">
        <v>918</v>
      </c>
      <c r="V105" s="17"/>
      <c r="W105" s="17"/>
      <c r="X105" s="18" t="s">
        <v>791</v>
      </c>
    </row>
    <row r="106" customFormat="false" ht="23.25" hidden="false" customHeight="true" outlineLevel="0" collapsed="false">
      <c r="A106" s="33" t="s">
        <v>136</v>
      </c>
      <c r="B106" s="33" t="s">
        <v>209</v>
      </c>
      <c r="C106" s="33" t="s">
        <v>919</v>
      </c>
      <c r="D106" s="40" t="s">
        <v>920</v>
      </c>
      <c r="E106" s="32" t="s">
        <v>679</v>
      </c>
      <c r="F106" s="32" t="s">
        <v>706</v>
      </c>
      <c r="G106" s="32" t="s">
        <v>707</v>
      </c>
      <c r="H106" s="32" t="s">
        <v>921</v>
      </c>
      <c r="I106" s="34" t="s">
        <v>274</v>
      </c>
      <c r="J106" s="32" t="s">
        <v>217</v>
      </c>
      <c r="K106" s="48" t="s">
        <v>314</v>
      </c>
      <c r="L106" s="48"/>
      <c r="M106" s="48"/>
      <c r="N106" s="17"/>
      <c r="O106" s="47"/>
      <c r="P106" s="47"/>
      <c r="Q106" s="49"/>
      <c r="R106" s="47"/>
      <c r="S106" s="17"/>
      <c r="T106" s="33" t="s">
        <v>922</v>
      </c>
      <c r="U106" s="33" t="s">
        <v>923</v>
      </c>
      <c r="V106" s="17"/>
      <c r="W106" s="17"/>
      <c r="X106" s="18" t="s">
        <v>791</v>
      </c>
    </row>
    <row r="107" customFormat="false" ht="33.75" hidden="false" customHeight="true" outlineLevel="0" collapsed="false">
      <c r="A107" s="33" t="s">
        <v>136</v>
      </c>
      <c r="B107" s="33" t="s">
        <v>209</v>
      </c>
      <c r="C107" s="33" t="s">
        <v>924</v>
      </c>
      <c r="D107" s="40" t="s">
        <v>925</v>
      </c>
      <c r="E107" s="32" t="s">
        <v>679</v>
      </c>
      <c r="F107" s="32" t="s">
        <v>829</v>
      </c>
      <c r="G107" s="32" t="s">
        <v>830</v>
      </c>
      <c r="H107" s="32" t="s">
        <v>926</v>
      </c>
      <c r="I107" s="34" t="s">
        <v>274</v>
      </c>
      <c r="J107" s="32" t="s">
        <v>217</v>
      </c>
      <c r="K107" s="48" t="s">
        <v>314</v>
      </c>
      <c r="L107" s="48"/>
      <c r="M107" s="48"/>
      <c r="N107" s="17"/>
      <c r="O107" s="47"/>
      <c r="P107" s="47"/>
      <c r="Q107" s="49"/>
      <c r="R107" s="47"/>
      <c r="S107" s="17"/>
      <c r="T107" s="33" t="s">
        <v>927</v>
      </c>
      <c r="U107" s="33" t="s">
        <v>928</v>
      </c>
      <c r="V107" s="17"/>
      <c r="W107" s="17"/>
      <c r="X107" s="18" t="s">
        <v>791</v>
      </c>
    </row>
    <row r="108" customFormat="false" ht="23.25" hidden="false" customHeight="true" outlineLevel="0" collapsed="false">
      <c r="A108" s="33" t="s">
        <v>136</v>
      </c>
      <c r="B108" s="33" t="s">
        <v>209</v>
      </c>
      <c r="C108" s="33" t="s">
        <v>929</v>
      </c>
      <c r="D108" s="40" t="s">
        <v>930</v>
      </c>
      <c r="E108" s="32" t="s">
        <v>679</v>
      </c>
      <c r="F108" s="32" t="s">
        <v>781</v>
      </c>
      <c r="G108" s="32" t="s">
        <v>782</v>
      </c>
      <c r="H108" s="32" t="s">
        <v>931</v>
      </c>
      <c r="I108" s="34" t="s">
        <v>274</v>
      </c>
      <c r="J108" s="32" t="s">
        <v>298</v>
      </c>
      <c r="K108" s="48" t="s">
        <v>314</v>
      </c>
      <c r="L108" s="48"/>
      <c r="M108" s="48"/>
      <c r="N108" s="17"/>
      <c r="O108" s="47"/>
      <c r="P108" s="47"/>
      <c r="Q108" s="49"/>
      <c r="R108" s="47"/>
      <c r="S108" s="17"/>
      <c r="T108" s="33" t="s">
        <v>932</v>
      </c>
      <c r="U108" s="33" t="s">
        <v>933</v>
      </c>
      <c r="V108" s="17"/>
      <c r="W108" s="17"/>
      <c r="X108" s="18" t="s">
        <v>791</v>
      </c>
    </row>
    <row r="109" customFormat="false" ht="23.25" hidden="false" customHeight="true" outlineLevel="0" collapsed="false">
      <c r="A109" s="33" t="s">
        <v>136</v>
      </c>
      <c r="B109" s="33" t="s">
        <v>209</v>
      </c>
      <c r="C109" s="33" t="s">
        <v>934</v>
      </c>
      <c r="D109" s="40" t="s">
        <v>935</v>
      </c>
      <c r="E109" s="32" t="s">
        <v>679</v>
      </c>
      <c r="F109" s="32" t="s">
        <v>781</v>
      </c>
      <c r="G109" s="32" t="s">
        <v>782</v>
      </c>
      <c r="H109" s="32" t="s">
        <v>936</v>
      </c>
      <c r="I109" s="34" t="s">
        <v>274</v>
      </c>
      <c r="J109" s="32" t="s">
        <v>298</v>
      </c>
      <c r="K109" s="48" t="s">
        <v>314</v>
      </c>
      <c r="L109" s="48"/>
      <c r="M109" s="48"/>
      <c r="N109" s="17"/>
      <c r="O109" s="47"/>
      <c r="P109" s="47"/>
      <c r="Q109" s="49"/>
      <c r="R109" s="47"/>
      <c r="S109" s="17"/>
      <c r="T109" s="33" t="s">
        <v>937</v>
      </c>
      <c r="U109" s="33" t="s">
        <v>938</v>
      </c>
      <c r="V109" s="17"/>
      <c r="W109" s="17"/>
      <c r="X109" s="18" t="s">
        <v>791</v>
      </c>
    </row>
    <row r="110" customFormat="false" ht="23.25" hidden="false" customHeight="true" outlineLevel="0" collapsed="false">
      <c r="A110" s="33" t="s">
        <v>136</v>
      </c>
      <c r="B110" s="33" t="s">
        <v>209</v>
      </c>
      <c r="C110" s="33" t="s">
        <v>939</v>
      </c>
      <c r="D110" s="40" t="s">
        <v>940</v>
      </c>
      <c r="E110" s="32" t="s">
        <v>679</v>
      </c>
      <c r="F110" s="32" t="s">
        <v>941</v>
      </c>
      <c r="G110" s="32" t="s">
        <v>942</v>
      </c>
      <c r="H110" s="32" t="s">
        <v>943</v>
      </c>
      <c r="I110" s="34" t="s">
        <v>274</v>
      </c>
      <c r="J110" s="32" t="s">
        <v>298</v>
      </c>
      <c r="K110" s="48" t="s">
        <v>314</v>
      </c>
      <c r="L110" s="48"/>
      <c r="M110" s="48"/>
      <c r="N110" s="17"/>
      <c r="O110" s="47"/>
      <c r="P110" s="47"/>
      <c r="Q110" s="49"/>
      <c r="R110" s="47"/>
      <c r="S110" s="17"/>
      <c r="T110" s="33" t="s">
        <v>944</v>
      </c>
      <c r="U110" s="33" t="s">
        <v>945</v>
      </c>
      <c r="V110" s="17"/>
      <c r="W110" s="17"/>
      <c r="X110" s="18" t="s">
        <v>791</v>
      </c>
    </row>
    <row r="111" customFormat="false" ht="23.25" hidden="false" customHeight="true" outlineLevel="0" collapsed="false">
      <c r="A111" s="33" t="s">
        <v>136</v>
      </c>
      <c r="B111" s="33" t="s">
        <v>209</v>
      </c>
      <c r="C111" s="33" t="s">
        <v>946</v>
      </c>
      <c r="D111" s="40" t="s">
        <v>947</v>
      </c>
      <c r="E111" s="32" t="s">
        <v>679</v>
      </c>
      <c r="F111" s="32" t="s">
        <v>781</v>
      </c>
      <c r="G111" s="32" t="s">
        <v>782</v>
      </c>
      <c r="H111" s="32" t="s">
        <v>948</v>
      </c>
      <c r="I111" s="34" t="s">
        <v>274</v>
      </c>
      <c r="J111" s="32" t="s">
        <v>298</v>
      </c>
      <c r="K111" s="48" t="s">
        <v>314</v>
      </c>
      <c r="L111" s="48"/>
      <c r="M111" s="48"/>
      <c r="N111" s="17"/>
      <c r="O111" s="47"/>
      <c r="P111" s="47"/>
      <c r="Q111" s="49"/>
      <c r="R111" s="47"/>
      <c r="S111" s="17"/>
      <c r="T111" s="33" t="s">
        <v>949</v>
      </c>
      <c r="U111" s="33" t="s">
        <v>950</v>
      </c>
      <c r="V111" s="17"/>
      <c r="W111" s="17"/>
      <c r="X111" s="18" t="s">
        <v>791</v>
      </c>
    </row>
    <row r="112" customFormat="false" ht="23.25" hidden="false" customHeight="true" outlineLevel="0" collapsed="false">
      <c r="A112" s="33" t="s">
        <v>136</v>
      </c>
      <c r="B112" s="33" t="s">
        <v>209</v>
      </c>
      <c r="C112" s="33" t="s">
        <v>951</v>
      </c>
      <c r="D112" s="40" t="s">
        <v>952</v>
      </c>
      <c r="E112" s="32" t="s">
        <v>679</v>
      </c>
      <c r="F112" s="32" t="s">
        <v>781</v>
      </c>
      <c r="G112" s="32" t="s">
        <v>782</v>
      </c>
      <c r="H112" s="32" t="s">
        <v>953</v>
      </c>
      <c r="I112" s="34" t="s">
        <v>274</v>
      </c>
      <c r="J112" s="32" t="s">
        <v>298</v>
      </c>
      <c r="K112" s="48" t="s">
        <v>314</v>
      </c>
      <c r="L112" s="48"/>
      <c r="M112" s="48"/>
      <c r="N112" s="17"/>
      <c r="O112" s="47"/>
      <c r="P112" s="47"/>
      <c r="Q112" s="49"/>
      <c r="R112" s="47"/>
      <c r="S112" s="17"/>
      <c r="T112" s="33" t="s">
        <v>954</v>
      </c>
      <c r="U112" s="33" t="s">
        <v>955</v>
      </c>
      <c r="V112" s="17"/>
      <c r="W112" s="17"/>
      <c r="X112" s="18" t="s">
        <v>791</v>
      </c>
    </row>
    <row r="113" customFormat="false" ht="23.25" hidden="false" customHeight="true" outlineLevel="0" collapsed="false">
      <c r="A113" s="33" t="s">
        <v>136</v>
      </c>
      <c r="B113" s="33" t="s">
        <v>209</v>
      </c>
      <c r="C113" s="33" t="s">
        <v>956</v>
      </c>
      <c r="D113" s="40" t="s">
        <v>957</v>
      </c>
      <c r="E113" s="32" t="s">
        <v>679</v>
      </c>
      <c r="F113" s="32" t="s">
        <v>941</v>
      </c>
      <c r="G113" s="32" t="s">
        <v>942</v>
      </c>
      <c r="H113" s="32" t="s">
        <v>958</v>
      </c>
      <c r="I113" s="34" t="s">
        <v>274</v>
      </c>
      <c r="J113" s="32" t="s">
        <v>298</v>
      </c>
      <c r="K113" s="48" t="s">
        <v>314</v>
      </c>
      <c r="L113" s="48"/>
      <c r="M113" s="48"/>
      <c r="N113" s="17"/>
      <c r="O113" s="47"/>
      <c r="P113" s="47"/>
      <c r="Q113" s="49"/>
      <c r="R113" s="47"/>
      <c r="S113" s="17"/>
      <c r="T113" s="33" t="s">
        <v>959</v>
      </c>
      <c r="U113" s="33" t="s">
        <v>960</v>
      </c>
      <c r="V113" s="17"/>
      <c r="W113" s="17"/>
      <c r="X113" s="18" t="s">
        <v>791</v>
      </c>
    </row>
    <row r="114" customFormat="false" ht="23.25" hidden="false" customHeight="true" outlineLevel="0" collapsed="false">
      <c r="A114" s="33" t="s">
        <v>136</v>
      </c>
      <c r="B114" s="33" t="s">
        <v>209</v>
      </c>
      <c r="C114" s="33" t="s">
        <v>961</v>
      </c>
      <c r="D114" s="40" t="s">
        <v>962</v>
      </c>
      <c r="E114" s="32" t="s">
        <v>679</v>
      </c>
      <c r="F114" s="32" t="s">
        <v>941</v>
      </c>
      <c r="G114" s="32" t="s">
        <v>942</v>
      </c>
      <c r="H114" s="32" t="s">
        <v>963</v>
      </c>
      <c r="I114" s="34" t="s">
        <v>274</v>
      </c>
      <c r="J114" s="32" t="s">
        <v>298</v>
      </c>
      <c r="K114" s="48" t="s">
        <v>314</v>
      </c>
      <c r="L114" s="48"/>
      <c r="M114" s="48"/>
      <c r="N114" s="17"/>
      <c r="O114" s="47"/>
      <c r="P114" s="47"/>
      <c r="Q114" s="49"/>
      <c r="R114" s="47"/>
      <c r="S114" s="17"/>
      <c r="T114" s="33" t="s">
        <v>964</v>
      </c>
      <c r="U114" s="33" t="s">
        <v>965</v>
      </c>
      <c r="V114" s="17"/>
      <c r="W114" s="17"/>
      <c r="X114" s="18" t="s">
        <v>791</v>
      </c>
    </row>
    <row r="115" customFormat="false" ht="23.25" hidden="false" customHeight="true" outlineLevel="0" collapsed="false">
      <c r="A115" s="33" t="s">
        <v>136</v>
      </c>
      <c r="B115" s="33" t="s">
        <v>209</v>
      </c>
      <c r="C115" s="33" t="s">
        <v>966</v>
      </c>
      <c r="D115" s="40" t="s">
        <v>967</v>
      </c>
      <c r="E115" s="32" t="s">
        <v>679</v>
      </c>
      <c r="F115" s="32" t="s">
        <v>781</v>
      </c>
      <c r="G115" s="32" t="s">
        <v>782</v>
      </c>
      <c r="H115" s="32" t="s">
        <v>968</v>
      </c>
      <c r="I115" s="34" t="s">
        <v>274</v>
      </c>
      <c r="J115" s="32" t="s">
        <v>298</v>
      </c>
      <c r="K115" s="48" t="s">
        <v>314</v>
      </c>
      <c r="L115" s="48"/>
      <c r="M115" s="48"/>
      <c r="N115" s="17"/>
      <c r="O115" s="47"/>
      <c r="P115" s="47"/>
      <c r="Q115" s="49"/>
      <c r="R115" s="47"/>
      <c r="S115" s="17"/>
      <c r="T115" s="33" t="s">
        <v>949</v>
      </c>
      <c r="U115" s="33" t="s">
        <v>969</v>
      </c>
      <c r="V115" s="17"/>
      <c r="W115" s="17"/>
      <c r="X115" s="18" t="s">
        <v>791</v>
      </c>
    </row>
    <row r="116" customFormat="false" ht="23.25" hidden="false" customHeight="true" outlineLevel="0" collapsed="false">
      <c r="A116" s="33" t="s">
        <v>136</v>
      </c>
      <c r="B116" s="33" t="s">
        <v>209</v>
      </c>
      <c r="C116" s="33" t="s">
        <v>970</v>
      </c>
      <c r="D116" s="40" t="s">
        <v>971</v>
      </c>
      <c r="E116" s="32" t="s">
        <v>679</v>
      </c>
      <c r="F116" s="32" t="s">
        <v>941</v>
      </c>
      <c r="G116" s="32" t="s">
        <v>942</v>
      </c>
      <c r="H116" s="32" t="s">
        <v>972</v>
      </c>
      <c r="I116" s="34" t="s">
        <v>274</v>
      </c>
      <c r="J116" s="32" t="s">
        <v>298</v>
      </c>
      <c r="K116" s="48" t="s">
        <v>314</v>
      </c>
      <c r="L116" s="48"/>
      <c r="M116" s="48"/>
      <c r="N116" s="17"/>
      <c r="O116" s="47"/>
      <c r="P116" s="47"/>
      <c r="Q116" s="49"/>
      <c r="R116" s="47"/>
      <c r="S116" s="17"/>
      <c r="T116" s="33" t="s">
        <v>973</v>
      </c>
      <c r="U116" s="33" t="s">
        <v>974</v>
      </c>
      <c r="V116" s="17"/>
      <c r="W116" s="17"/>
      <c r="X116" s="18" t="s">
        <v>791</v>
      </c>
    </row>
    <row r="117" customFormat="false" ht="33.75" hidden="false" customHeight="true" outlineLevel="0" collapsed="false">
      <c r="A117" s="33" t="s">
        <v>136</v>
      </c>
      <c r="B117" s="33" t="s">
        <v>209</v>
      </c>
      <c r="C117" s="33" t="s">
        <v>975</v>
      </c>
      <c r="D117" s="40" t="s">
        <v>976</v>
      </c>
      <c r="E117" s="32" t="s">
        <v>679</v>
      </c>
      <c r="F117" s="32" t="s">
        <v>977</v>
      </c>
      <c r="G117" s="32" t="s">
        <v>707</v>
      </c>
      <c r="H117" s="32" t="s">
        <v>978</v>
      </c>
      <c r="I117" s="34" t="s">
        <v>274</v>
      </c>
      <c r="J117" s="32" t="s">
        <v>217</v>
      </c>
      <c r="K117" s="48" t="s">
        <v>314</v>
      </c>
      <c r="L117" s="48"/>
      <c r="M117" s="48"/>
      <c r="N117" s="17"/>
      <c r="O117" s="47"/>
      <c r="P117" s="47"/>
      <c r="Q117" s="49"/>
      <c r="R117" s="47"/>
      <c r="S117" s="17"/>
      <c r="T117" s="33" t="s">
        <v>979</v>
      </c>
      <c r="U117" s="33" t="s">
        <v>980</v>
      </c>
      <c r="V117" s="17"/>
      <c r="W117" s="17"/>
      <c r="X117" s="18" t="s">
        <v>791</v>
      </c>
    </row>
    <row r="118" customFormat="false" ht="23.25" hidden="false" customHeight="true" outlineLevel="0" collapsed="false">
      <c r="A118" s="33" t="s">
        <v>136</v>
      </c>
      <c r="B118" s="33" t="s">
        <v>209</v>
      </c>
      <c r="C118" s="33" t="s">
        <v>981</v>
      </c>
      <c r="D118" s="40" t="s">
        <v>982</v>
      </c>
      <c r="E118" s="32" t="s">
        <v>679</v>
      </c>
      <c r="F118" s="32" t="s">
        <v>977</v>
      </c>
      <c r="G118" s="32" t="s">
        <v>707</v>
      </c>
      <c r="H118" s="32" t="s">
        <v>983</v>
      </c>
      <c r="I118" s="34" t="s">
        <v>274</v>
      </c>
      <c r="J118" s="32" t="s">
        <v>298</v>
      </c>
      <c r="K118" s="48" t="s">
        <v>314</v>
      </c>
      <c r="L118" s="48"/>
      <c r="M118" s="48"/>
      <c r="N118" s="17"/>
      <c r="O118" s="47"/>
      <c r="P118" s="47"/>
      <c r="Q118" s="49"/>
      <c r="R118" s="47"/>
      <c r="S118" s="17"/>
      <c r="T118" s="33" t="s">
        <v>832</v>
      </c>
      <c r="U118" s="33" t="s">
        <v>984</v>
      </c>
      <c r="V118" s="17"/>
      <c r="W118" s="17"/>
      <c r="X118" s="18" t="s">
        <v>791</v>
      </c>
    </row>
    <row r="119" customFormat="false" ht="22.5" hidden="false" customHeight="true" outlineLevel="0" collapsed="false">
      <c r="A119" s="33" t="s">
        <v>136</v>
      </c>
      <c r="B119" s="33" t="s">
        <v>209</v>
      </c>
      <c r="C119" s="33" t="s">
        <v>985</v>
      </c>
      <c r="D119" s="40" t="s">
        <v>986</v>
      </c>
      <c r="E119" s="32" t="s">
        <v>679</v>
      </c>
      <c r="F119" s="32" t="s">
        <v>977</v>
      </c>
      <c r="G119" s="32" t="s">
        <v>707</v>
      </c>
      <c r="H119" s="32" t="s">
        <v>987</v>
      </c>
      <c r="I119" s="34" t="s">
        <v>274</v>
      </c>
      <c r="J119" s="32" t="s">
        <v>217</v>
      </c>
      <c r="K119" s="48" t="s">
        <v>314</v>
      </c>
      <c r="L119" s="48"/>
      <c r="M119" s="48"/>
      <c r="N119" s="17"/>
      <c r="O119" s="47"/>
      <c r="P119" s="47"/>
      <c r="Q119" s="49"/>
      <c r="R119" s="47"/>
      <c r="S119" s="17"/>
      <c r="T119" s="33" t="s">
        <v>988</v>
      </c>
      <c r="U119" s="33" t="s">
        <v>989</v>
      </c>
      <c r="V119" s="17"/>
      <c r="W119" s="17"/>
      <c r="X119" s="18" t="s">
        <v>791</v>
      </c>
    </row>
    <row r="120" customFormat="false" ht="22.5" hidden="false" customHeight="true" outlineLevel="0" collapsed="false">
      <c r="A120" s="33" t="s">
        <v>136</v>
      </c>
      <c r="B120" s="33" t="s">
        <v>209</v>
      </c>
      <c r="C120" s="33" t="s">
        <v>990</v>
      </c>
      <c r="D120" s="40" t="s">
        <v>991</v>
      </c>
      <c r="E120" s="32" t="s">
        <v>679</v>
      </c>
      <c r="F120" s="32" t="s">
        <v>977</v>
      </c>
      <c r="G120" s="32" t="s">
        <v>707</v>
      </c>
      <c r="H120" s="32" t="s">
        <v>992</v>
      </c>
      <c r="I120" s="34" t="s">
        <v>274</v>
      </c>
      <c r="J120" s="32" t="s">
        <v>217</v>
      </c>
      <c r="K120" s="48" t="s">
        <v>314</v>
      </c>
      <c r="L120" s="48"/>
      <c r="M120" s="48"/>
      <c r="N120" s="17"/>
      <c r="O120" s="47"/>
      <c r="P120" s="47"/>
      <c r="Q120" s="49"/>
      <c r="R120" s="47"/>
      <c r="S120" s="17"/>
      <c r="T120" s="33" t="s">
        <v>993</v>
      </c>
      <c r="U120" s="33" t="s">
        <v>994</v>
      </c>
      <c r="V120" s="17"/>
      <c r="W120" s="17"/>
      <c r="X120" s="18" t="s">
        <v>791</v>
      </c>
    </row>
    <row r="121" customFormat="false" ht="33.75" hidden="false" customHeight="true" outlineLevel="0" collapsed="false">
      <c r="A121" s="33" t="s">
        <v>136</v>
      </c>
      <c r="B121" s="33" t="s">
        <v>209</v>
      </c>
      <c r="C121" s="33" t="s">
        <v>995</v>
      </c>
      <c r="D121" s="40" t="s">
        <v>996</v>
      </c>
      <c r="E121" s="32" t="s">
        <v>727</v>
      </c>
      <c r="F121" s="32" t="s">
        <v>728</v>
      </c>
      <c r="G121" s="32" t="s">
        <v>997</v>
      </c>
      <c r="H121" s="32" t="s">
        <v>998</v>
      </c>
      <c r="I121" s="34" t="s">
        <v>274</v>
      </c>
      <c r="J121" s="32" t="s">
        <v>217</v>
      </c>
      <c r="K121" s="48" t="s">
        <v>314</v>
      </c>
      <c r="L121" s="48"/>
      <c r="M121" s="48"/>
      <c r="N121" s="17"/>
      <c r="O121" s="47"/>
      <c r="P121" s="47"/>
      <c r="Q121" s="49"/>
      <c r="R121" s="47"/>
      <c r="S121" s="17"/>
      <c r="T121" s="33" t="s">
        <v>999</v>
      </c>
      <c r="U121" s="33" t="s">
        <v>1000</v>
      </c>
      <c r="V121" s="17"/>
      <c r="W121" s="17"/>
      <c r="X121" s="18" t="s">
        <v>791</v>
      </c>
    </row>
    <row r="122" customFormat="false" ht="23.25" hidden="false" customHeight="true" outlineLevel="0" collapsed="false">
      <c r="A122" s="33" t="s">
        <v>136</v>
      </c>
      <c r="B122" s="33" t="s">
        <v>209</v>
      </c>
      <c r="C122" s="33" t="s">
        <v>1001</v>
      </c>
      <c r="D122" s="40" t="s">
        <v>1002</v>
      </c>
      <c r="E122" s="32" t="s">
        <v>727</v>
      </c>
      <c r="F122" s="32" t="s">
        <v>728</v>
      </c>
      <c r="G122" s="32" t="s">
        <v>1003</v>
      </c>
      <c r="H122" s="32" t="s">
        <v>998</v>
      </c>
      <c r="I122" s="34" t="s">
        <v>274</v>
      </c>
      <c r="J122" s="32" t="s">
        <v>217</v>
      </c>
      <c r="K122" s="48" t="s">
        <v>314</v>
      </c>
      <c r="L122" s="48"/>
      <c r="M122" s="48"/>
      <c r="N122" s="17"/>
      <c r="O122" s="47"/>
      <c r="P122" s="47"/>
      <c r="Q122" s="49"/>
      <c r="R122" s="47"/>
      <c r="S122" s="17"/>
      <c r="T122" s="33" t="s">
        <v>999</v>
      </c>
      <c r="U122" s="33" t="s">
        <v>1004</v>
      </c>
      <c r="V122" s="17"/>
      <c r="W122" s="17"/>
      <c r="X122" s="18" t="s">
        <v>791</v>
      </c>
    </row>
    <row r="123" customFormat="false" ht="33.75" hidden="false" customHeight="true" outlineLevel="0" collapsed="false">
      <c r="A123" s="33" t="s">
        <v>136</v>
      </c>
      <c r="B123" s="33" t="s">
        <v>209</v>
      </c>
      <c r="C123" s="33" t="s">
        <v>1005</v>
      </c>
      <c r="D123" s="40" t="s">
        <v>996</v>
      </c>
      <c r="E123" s="32" t="s">
        <v>727</v>
      </c>
      <c r="F123" s="32" t="s">
        <v>728</v>
      </c>
      <c r="G123" s="32" t="s">
        <v>997</v>
      </c>
      <c r="H123" s="32" t="s">
        <v>998</v>
      </c>
      <c r="I123" s="34" t="s">
        <v>274</v>
      </c>
      <c r="J123" s="32" t="s">
        <v>217</v>
      </c>
      <c r="K123" s="48" t="s">
        <v>314</v>
      </c>
      <c r="L123" s="48"/>
      <c r="M123" s="48"/>
      <c r="N123" s="17"/>
      <c r="O123" s="47"/>
      <c r="P123" s="47"/>
      <c r="Q123" s="49"/>
      <c r="R123" s="47"/>
      <c r="S123" s="17"/>
      <c r="T123" s="33" t="s">
        <v>999</v>
      </c>
      <c r="U123" s="33" t="s">
        <v>1006</v>
      </c>
      <c r="V123" s="17"/>
      <c r="W123" s="17"/>
      <c r="X123" s="18" t="s">
        <v>791</v>
      </c>
    </row>
    <row r="124" customFormat="false" ht="23.25" hidden="false" customHeight="true" outlineLevel="0" collapsed="false">
      <c r="A124" s="33" t="s">
        <v>136</v>
      </c>
      <c r="B124" s="33" t="s">
        <v>209</v>
      </c>
      <c r="C124" s="33" t="s">
        <v>1007</v>
      </c>
      <c r="D124" s="40" t="s">
        <v>1008</v>
      </c>
      <c r="E124" s="32" t="s">
        <v>727</v>
      </c>
      <c r="F124" s="32" t="s">
        <v>728</v>
      </c>
      <c r="G124" s="32" t="s">
        <v>1009</v>
      </c>
      <c r="H124" s="32" t="s">
        <v>998</v>
      </c>
      <c r="I124" s="34" t="s">
        <v>274</v>
      </c>
      <c r="J124" s="32" t="s">
        <v>217</v>
      </c>
      <c r="K124" s="48" t="s">
        <v>314</v>
      </c>
      <c r="L124" s="48"/>
      <c r="M124" s="48"/>
      <c r="N124" s="17"/>
      <c r="O124" s="47"/>
      <c r="P124" s="47"/>
      <c r="Q124" s="49"/>
      <c r="R124" s="47"/>
      <c r="S124" s="17"/>
      <c r="T124" s="33" t="s">
        <v>999</v>
      </c>
      <c r="U124" s="33" t="s">
        <v>1010</v>
      </c>
      <c r="V124" s="17"/>
      <c r="W124" s="17"/>
      <c r="X124" s="18" t="s">
        <v>791</v>
      </c>
    </row>
    <row r="125" customFormat="false" ht="23.25" hidden="false" customHeight="true" outlineLevel="0" collapsed="false">
      <c r="A125" s="33" t="s">
        <v>136</v>
      </c>
      <c r="B125" s="33" t="s">
        <v>209</v>
      </c>
      <c r="C125" s="33" t="s">
        <v>1011</v>
      </c>
      <c r="D125" s="40" t="s">
        <v>1008</v>
      </c>
      <c r="E125" s="32" t="s">
        <v>727</v>
      </c>
      <c r="F125" s="32" t="s">
        <v>728</v>
      </c>
      <c r="G125" s="32" t="s">
        <v>1009</v>
      </c>
      <c r="H125" s="32" t="s">
        <v>998</v>
      </c>
      <c r="I125" s="34" t="s">
        <v>274</v>
      </c>
      <c r="J125" s="32" t="s">
        <v>217</v>
      </c>
      <c r="K125" s="48" t="s">
        <v>314</v>
      </c>
      <c r="L125" s="48"/>
      <c r="M125" s="48"/>
      <c r="N125" s="17"/>
      <c r="O125" s="47"/>
      <c r="P125" s="47"/>
      <c r="Q125" s="49"/>
      <c r="R125" s="47"/>
      <c r="S125" s="17"/>
      <c r="T125" s="33" t="s">
        <v>999</v>
      </c>
      <c r="U125" s="33" t="s">
        <v>1012</v>
      </c>
      <c r="V125" s="17"/>
      <c r="W125" s="17"/>
      <c r="X125" s="18" t="s">
        <v>791</v>
      </c>
    </row>
    <row r="126" customFormat="false" ht="23.25" hidden="false" customHeight="true" outlineLevel="0" collapsed="false">
      <c r="A126" s="33" t="s">
        <v>136</v>
      </c>
      <c r="B126" s="33" t="s">
        <v>209</v>
      </c>
      <c r="C126" s="33" t="s">
        <v>1013</v>
      </c>
      <c r="D126" s="40" t="s">
        <v>1014</v>
      </c>
      <c r="E126" s="32" t="s">
        <v>1015</v>
      </c>
      <c r="F126" s="32" t="s">
        <v>1016</v>
      </c>
      <c r="G126" s="32" t="s">
        <v>1017</v>
      </c>
      <c r="H126" s="32" t="s">
        <v>1018</v>
      </c>
      <c r="I126" s="34" t="s">
        <v>274</v>
      </c>
      <c r="J126" s="32" t="s">
        <v>217</v>
      </c>
      <c r="K126" s="48" t="s">
        <v>314</v>
      </c>
      <c r="L126" s="48"/>
      <c r="M126" s="48"/>
      <c r="N126" s="17"/>
      <c r="O126" s="47"/>
      <c r="P126" s="47"/>
      <c r="Q126" s="49"/>
      <c r="R126" s="47"/>
      <c r="S126" s="17"/>
      <c r="T126" s="33" t="s">
        <v>944</v>
      </c>
      <c r="U126" s="33" t="s">
        <v>1019</v>
      </c>
      <c r="V126" s="39" t="s">
        <v>1020</v>
      </c>
      <c r="W126" s="17"/>
      <c r="X126" s="18" t="s">
        <v>791</v>
      </c>
    </row>
    <row r="127" customFormat="false" ht="23.25" hidden="false" customHeight="true" outlineLevel="0" collapsed="false">
      <c r="A127" s="33" t="s">
        <v>136</v>
      </c>
      <c r="B127" s="33" t="s">
        <v>209</v>
      </c>
      <c r="C127" s="33" t="s">
        <v>1021</v>
      </c>
      <c r="D127" s="40" t="s">
        <v>1022</v>
      </c>
      <c r="E127" s="32" t="s">
        <v>1015</v>
      </c>
      <c r="F127" s="32" t="s">
        <v>1016</v>
      </c>
      <c r="G127" s="32" t="s">
        <v>1017</v>
      </c>
      <c r="H127" s="32" t="s">
        <v>1023</v>
      </c>
      <c r="I127" s="34" t="s">
        <v>274</v>
      </c>
      <c r="J127" s="32" t="s">
        <v>217</v>
      </c>
      <c r="K127" s="48" t="s">
        <v>314</v>
      </c>
      <c r="L127" s="48"/>
      <c r="M127" s="48"/>
      <c r="N127" s="17"/>
      <c r="O127" s="47"/>
      <c r="P127" s="47"/>
      <c r="Q127" s="49"/>
      <c r="R127" s="47"/>
      <c r="S127" s="17"/>
      <c r="T127" s="33" t="s">
        <v>949</v>
      </c>
      <c r="U127" s="33" t="s">
        <v>1024</v>
      </c>
      <c r="V127" s="39" t="s">
        <v>1020</v>
      </c>
      <c r="W127" s="17"/>
      <c r="X127" s="18" t="s">
        <v>791</v>
      </c>
    </row>
    <row r="128" customFormat="false" ht="23.25" hidden="false" customHeight="true" outlineLevel="0" collapsed="false">
      <c r="A128" s="33" t="s">
        <v>136</v>
      </c>
      <c r="B128" s="33" t="s">
        <v>209</v>
      </c>
      <c r="C128" s="33" t="s">
        <v>1025</v>
      </c>
      <c r="D128" s="40" t="s">
        <v>1026</v>
      </c>
      <c r="E128" s="32" t="s">
        <v>1015</v>
      </c>
      <c r="F128" s="32" t="s">
        <v>1016</v>
      </c>
      <c r="G128" s="32" t="s">
        <v>1027</v>
      </c>
      <c r="H128" s="32" t="s">
        <v>1018</v>
      </c>
      <c r="I128" s="34" t="s">
        <v>274</v>
      </c>
      <c r="J128" s="32" t="s">
        <v>217</v>
      </c>
      <c r="K128" s="48" t="s">
        <v>314</v>
      </c>
      <c r="L128" s="48"/>
      <c r="M128" s="48"/>
      <c r="N128" s="17"/>
      <c r="O128" s="47"/>
      <c r="P128" s="47"/>
      <c r="Q128" s="49"/>
      <c r="R128" s="47"/>
      <c r="S128" s="17"/>
      <c r="T128" s="33" t="s">
        <v>944</v>
      </c>
      <c r="U128" s="33" t="s">
        <v>1028</v>
      </c>
      <c r="V128" s="39" t="s">
        <v>1020</v>
      </c>
      <c r="W128" s="17"/>
      <c r="X128" s="18" t="s">
        <v>791</v>
      </c>
    </row>
    <row r="129" customFormat="false" ht="23.25" hidden="false" customHeight="true" outlineLevel="0" collapsed="false">
      <c r="A129" s="33" t="s">
        <v>136</v>
      </c>
      <c r="B129" s="33" t="s">
        <v>209</v>
      </c>
      <c r="C129" s="33" t="s">
        <v>1029</v>
      </c>
      <c r="D129" s="40" t="s">
        <v>1026</v>
      </c>
      <c r="E129" s="32" t="s">
        <v>1015</v>
      </c>
      <c r="F129" s="32" t="s">
        <v>1016</v>
      </c>
      <c r="G129" s="32" t="s">
        <v>1027</v>
      </c>
      <c r="H129" s="32" t="s">
        <v>1018</v>
      </c>
      <c r="I129" s="34" t="s">
        <v>274</v>
      </c>
      <c r="J129" s="32" t="s">
        <v>217</v>
      </c>
      <c r="K129" s="48" t="s">
        <v>314</v>
      </c>
      <c r="L129" s="48"/>
      <c r="M129" s="48"/>
      <c r="N129" s="17"/>
      <c r="O129" s="47"/>
      <c r="P129" s="47"/>
      <c r="Q129" s="49"/>
      <c r="R129" s="47"/>
      <c r="S129" s="17"/>
      <c r="T129" s="33" t="s">
        <v>944</v>
      </c>
      <c r="U129" s="33" t="s">
        <v>1030</v>
      </c>
      <c r="V129" s="39" t="s">
        <v>1020</v>
      </c>
      <c r="W129" s="17"/>
      <c r="X129" s="18" t="s">
        <v>791</v>
      </c>
    </row>
    <row r="130" customFormat="false" ht="23.25" hidden="false" customHeight="true" outlineLevel="0" collapsed="false">
      <c r="A130" s="33" t="s">
        <v>136</v>
      </c>
      <c r="B130" s="33" t="s">
        <v>209</v>
      </c>
      <c r="C130" s="33" t="s">
        <v>1031</v>
      </c>
      <c r="D130" s="40" t="s">
        <v>1026</v>
      </c>
      <c r="E130" s="32" t="s">
        <v>1015</v>
      </c>
      <c r="F130" s="32" t="s">
        <v>1016</v>
      </c>
      <c r="G130" s="32" t="s">
        <v>1027</v>
      </c>
      <c r="H130" s="32" t="s">
        <v>1018</v>
      </c>
      <c r="I130" s="34" t="s">
        <v>274</v>
      </c>
      <c r="J130" s="32" t="s">
        <v>217</v>
      </c>
      <c r="K130" s="48" t="s">
        <v>314</v>
      </c>
      <c r="L130" s="48"/>
      <c r="M130" s="48"/>
      <c r="N130" s="17"/>
      <c r="O130" s="47"/>
      <c r="P130" s="47"/>
      <c r="Q130" s="49"/>
      <c r="R130" s="47"/>
      <c r="S130" s="17"/>
      <c r="T130" s="33" t="s">
        <v>944</v>
      </c>
      <c r="U130" s="33" t="s">
        <v>1032</v>
      </c>
      <c r="V130" s="39" t="s">
        <v>1020</v>
      </c>
      <c r="W130" s="17"/>
      <c r="X130" s="18" t="s">
        <v>791</v>
      </c>
    </row>
    <row r="131" customFormat="false" ht="23.25" hidden="false" customHeight="true" outlineLevel="0" collapsed="false">
      <c r="A131" s="33" t="s">
        <v>136</v>
      </c>
      <c r="B131" s="33" t="s">
        <v>209</v>
      </c>
      <c r="C131" s="33" t="s">
        <v>1033</v>
      </c>
      <c r="D131" s="40" t="s">
        <v>1034</v>
      </c>
      <c r="E131" s="32" t="s">
        <v>1015</v>
      </c>
      <c r="F131" s="32" t="s">
        <v>1016</v>
      </c>
      <c r="G131" s="32" t="s">
        <v>1027</v>
      </c>
      <c r="H131" s="32" t="s">
        <v>1035</v>
      </c>
      <c r="I131" s="34" t="s">
        <v>274</v>
      </c>
      <c r="J131" s="32" t="s">
        <v>217</v>
      </c>
      <c r="K131" s="48" t="s">
        <v>314</v>
      </c>
      <c r="L131" s="48"/>
      <c r="M131" s="48"/>
      <c r="N131" s="17"/>
      <c r="O131" s="47"/>
      <c r="P131" s="47"/>
      <c r="Q131" s="49"/>
      <c r="R131" s="47"/>
      <c r="S131" s="17"/>
      <c r="T131" s="33" t="s">
        <v>937</v>
      </c>
      <c r="U131" s="33" t="s">
        <v>1036</v>
      </c>
      <c r="V131" s="39" t="s">
        <v>1020</v>
      </c>
      <c r="W131" s="17"/>
      <c r="X131" s="18" t="s">
        <v>791</v>
      </c>
    </row>
    <row r="132" customFormat="false" ht="23.25" hidden="false" customHeight="true" outlineLevel="0" collapsed="false">
      <c r="A132" s="33" t="s">
        <v>136</v>
      </c>
      <c r="B132" s="33" t="s">
        <v>209</v>
      </c>
      <c r="C132" s="33" t="s">
        <v>1037</v>
      </c>
      <c r="D132" s="40" t="s">
        <v>1038</v>
      </c>
      <c r="E132" s="32" t="s">
        <v>1015</v>
      </c>
      <c r="F132" s="32" t="s">
        <v>1016</v>
      </c>
      <c r="G132" s="32" t="s">
        <v>1027</v>
      </c>
      <c r="H132" s="32" t="s">
        <v>1039</v>
      </c>
      <c r="I132" s="34" t="s">
        <v>274</v>
      </c>
      <c r="J132" s="32" t="s">
        <v>217</v>
      </c>
      <c r="K132" s="48" t="s">
        <v>314</v>
      </c>
      <c r="L132" s="48"/>
      <c r="M132" s="48"/>
      <c r="N132" s="17"/>
      <c r="O132" s="47"/>
      <c r="P132" s="47"/>
      <c r="Q132" s="49"/>
      <c r="R132" s="47"/>
      <c r="S132" s="17"/>
      <c r="T132" s="33" t="s">
        <v>937</v>
      </c>
      <c r="U132" s="33" t="s">
        <v>1040</v>
      </c>
      <c r="V132" s="39" t="s">
        <v>1020</v>
      </c>
      <c r="W132" s="17"/>
      <c r="X132" s="18" t="s">
        <v>791</v>
      </c>
    </row>
    <row r="133" customFormat="false" ht="45" hidden="false" customHeight="true" outlineLevel="0" collapsed="false">
      <c r="A133" s="33" t="s">
        <v>136</v>
      </c>
      <c r="B133" s="33" t="s">
        <v>209</v>
      </c>
      <c r="C133" s="33" t="s">
        <v>1041</v>
      </c>
      <c r="D133" s="40" t="s">
        <v>1042</v>
      </c>
      <c r="E133" s="32" t="s">
        <v>1015</v>
      </c>
      <c r="F133" s="32" t="s">
        <v>1016</v>
      </c>
      <c r="G133" s="32" t="s">
        <v>1043</v>
      </c>
      <c r="H133" s="32" t="s">
        <v>1018</v>
      </c>
      <c r="I133" s="34" t="s">
        <v>274</v>
      </c>
      <c r="J133" s="32" t="s">
        <v>217</v>
      </c>
      <c r="K133" s="48" t="s">
        <v>314</v>
      </c>
      <c r="L133" s="48"/>
      <c r="M133" s="48"/>
      <c r="N133" s="17"/>
      <c r="O133" s="47"/>
      <c r="P133" s="47"/>
      <c r="Q133" s="49"/>
      <c r="R133" s="47"/>
      <c r="S133" s="17"/>
      <c r="T133" s="33" t="s">
        <v>944</v>
      </c>
      <c r="U133" s="33" t="s">
        <v>1044</v>
      </c>
      <c r="V133" s="39" t="s">
        <v>1020</v>
      </c>
      <c r="W133" s="17"/>
      <c r="X133" s="18" t="s">
        <v>791</v>
      </c>
    </row>
    <row r="134" customFormat="false" ht="23.25" hidden="false" customHeight="true" outlineLevel="0" collapsed="false">
      <c r="A134" s="33" t="s">
        <v>136</v>
      </c>
      <c r="B134" s="33" t="s">
        <v>209</v>
      </c>
      <c r="C134" s="33" t="s">
        <v>1045</v>
      </c>
      <c r="D134" s="40" t="s">
        <v>1046</v>
      </c>
      <c r="E134" s="32" t="s">
        <v>1015</v>
      </c>
      <c r="F134" s="32" t="s">
        <v>1016</v>
      </c>
      <c r="G134" s="32" t="s">
        <v>1027</v>
      </c>
      <c r="H134" s="32" t="s">
        <v>1047</v>
      </c>
      <c r="I134" s="34" t="s">
        <v>274</v>
      </c>
      <c r="J134" s="32" t="s">
        <v>217</v>
      </c>
      <c r="K134" s="48" t="s">
        <v>314</v>
      </c>
      <c r="L134" s="48"/>
      <c r="M134" s="48"/>
      <c r="N134" s="17"/>
      <c r="O134" s="47"/>
      <c r="P134" s="47"/>
      <c r="Q134" s="49"/>
      <c r="R134" s="47"/>
      <c r="S134" s="17"/>
      <c r="T134" s="33" t="s">
        <v>944</v>
      </c>
      <c r="U134" s="33" t="s">
        <v>1048</v>
      </c>
      <c r="V134" s="39" t="s">
        <v>1020</v>
      </c>
      <c r="W134" s="17"/>
      <c r="X134" s="18" t="s">
        <v>791</v>
      </c>
    </row>
    <row r="135" customFormat="false" ht="45.75" hidden="false" customHeight="true" outlineLevel="0" collapsed="false">
      <c r="A135" s="50" t="s">
        <v>142</v>
      </c>
      <c r="B135" s="50" t="s">
        <v>106</v>
      </c>
      <c r="C135" s="50" t="s">
        <v>1049</v>
      </c>
      <c r="D135" s="17" t="s">
        <v>1050</v>
      </c>
      <c r="E135" s="33" t="s">
        <v>1051</v>
      </c>
      <c r="F135" s="33" t="s">
        <v>1052</v>
      </c>
      <c r="G135" s="17"/>
      <c r="H135" s="32"/>
      <c r="I135" s="34" t="s">
        <v>274</v>
      </c>
      <c r="J135" s="32"/>
      <c r="K135" s="48" t="s">
        <v>1053</v>
      </c>
      <c r="L135" s="48" t="s">
        <v>1054</v>
      </c>
      <c r="M135" s="48" t="s">
        <v>1055</v>
      </c>
      <c r="N135" s="17"/>
      <c r="O135" s="47"/>
      <c r="P135" s="47"/>
      <c r="Q135" s="49" t="n">
        <v>601341.12</v>
      </c>
      <c r="R135" s="47" t="n">
        <f aca="false">Q135-SUM(P136,P137,P138)</f>
        <v>54399.96</v>
      </c>
      <c r="S135" s="33" t="s">
        <v>1056</v>
      </c>
      <c r="T135" s="33" t="s">
        <v>1057</v>
      </c>
      <c r="U135" s="17"/>
      <c r="V135" s="39" t="s">
        <v>1058</v>
      </c>
      <c r="W135" s="18" t="s">
        <v>1059</v>
      </c>
      <c r="X135" s="17" t="s">
        <v>1060</v>
      </c>
    </row>
    <row r="136" customFormat="false" ht="45.75" hidden="false" customHeight="true" outlineLevel="0" collapsed="false">
      <c r="A136" s="31" t="s">
        <v>147</v>
      </c>
      <c r="B136" s="31" t="s">
        <v>40</v>
      </c>
      <c r="C136" s="31" t="s">
        <v>1061</v>
      </c>
      <c r="D136" s="17" t="s">
        <v>1062</v>
      </c>
      <c r="E136" s="33" t="s">
        <v>1051</v>
      </c>
      <c r="F136" s="33" t="s">
        <v>1063</v>
      </c>
      <c r="G136" s="33" t="s">
        <v>1064</v>
      </c>
      <c r="H136" s="32" t="s">
        <v>1065</v>
      </c>
      <c r="I136" s="34" t="s">
        <v>274</v>
      </c>
      <c r="J136" s="32" t="s">
        <v>1066</v>
      </c>
      <c r="K136" s="48" t="s">
        <v>1053</v>
      </c>
      <c r="L136" s="48" t="s">
        <v>1054</v>
      </c>
      <c r="M136" s="48" t="s">
        <v>1055</v>
      </c>
      <c r="N136" s="17" t="n">
        <v>2</v>
      </c>
      <c r="O136" s="47" t="n">
        <v>124911.76</v>
      </c>
      <c r="P136" s="47" t="n">
        <v>249823.52</v>
      </c>
      <c r="Q136" s="49"/>
      <c r="R136" s="47"/>
      <c r="S136" s="33" t="s">
        <v>1067</v>
      </c>
      <c r="T136" s="33" t="s">
        <v>1068</v>
      </c>
      <c r="U136" s="33" t="s">
        <v>146</v>
      </c>
      <c r="V136" s="39" t="s">
        <v>1069</v>
      </c>
      <c r="W136" s="18" t="s">
        <v>1070</v>
      </c>
      <c r="X136" s="17" t="s">
        <v>1071</v>
      </c>
    </row>
    <row r="137" customFormat="false" ht="45.75" hidden="false" customHeight="true" outlineLevel="0" collapsed="false">
      <c r="A137" s="31" t="s">
        <v>152</v>
      </c>
      <c r="B137" s="31" t="s">
        <v>40</v>
      </c>
      <c r="C137" s="31" t="s">
        <v>1072</v>
      </c>
      <c r="D137" s="17" t="s">
        <v>1073</v>
      </c>
      <c r="E137" s="33" t="s">
        <v>1051</v>
      </c>
      <c r="F137" s="33" t="s">
        <v>1063</v>
      </c>
      <c r="G137" s="33" t="s">
        <v>1074</v>
      </c>
      <c r="H137" s="32" t="s">
        <v>1065</v>
      </c>
      <c r="I137" s="34" t="s">
        <v>274</v>
      </c>
      <c r="J137" s="32" t="s">
        <v>1066</v>
      </c>
      <c r="K137" s="48" t="s">
        <v>1053</v>
      </c>
      <c r="L137" s="48" t="s">
        <v>1054</v>
      </c>
      <c r="M137" s="48" t="s">
        <v>1055</v>
      </c>
      <c r="N137" s="17" t="n">
        <v>2</v>
      </c>
      <c r="O137" s="47" t="n">
        <v>88529.41</v>
      </c>
      <c r="P137" s="47" t="n">
        <v>177058.82</v>
      </c>
      <c r="Q137" s="49"/>
      <c r="R137" s="47"/>
      <c r="S137" s="33" t="s">
        <v>1067</v>
      </c>
      <c r="T137" s="33" t="s">
        <v>1075</v>
      </c>
      <c r="U137" s="33" t="s">
        <v>146</v>
      </c>
      <c r="V137" s="39" t="s">
        <v>1076</v>
      </c>
      <c r="W137" s="18" t="s">
        <v>1077</v>
      </c>
      <c r="X137" s="17" t="s">
        <v>1078</v>
      </c>
    </row>
    <row r="138" customFormat="false" ht="45.75" hidden="false" customHeight="true" outlineLevel="0" collapsed="false">
      <c r="A138" s="31" t="s">
        <v>156</v>
      </c>
      <c r="B138" s="31" t="s">
        <v>40</v>
      </c>
      <c r="C138" s="31" t="s">
        <v>157</v>
      </c>
      <c r="D138" s="17" t="s">
        <v>1079</v>
      </c>
      <c r="E138" s="33" t="s">
        <v>1051</v>
      </c>
      <c r="F138" s="33" t="s">
        <v>1063</v>
      </c>
      <c r="G138" s="33" t="s">
        <v>1080</v>
      </c>
      <c r="H138" s="32" t="s">
        <v>1065</v>
      </c>
      <c r="I138" s="34" t="s">
        <v>274</v>
      </c>
      <c r="J138" s="32" t="s">
        <v>1066</v>
      </c>
      <c r="K138" s="48" t="s">
        <v>1053</v>
      </c>
      <c r="L138" s="48" t="s">
        <v>1054</v>
      </c>
      <c r="M138" s="48" t="s">
        <v>1055</v>
      </c>
      <c r="N138" s="17" t="n">
        <v>2</v>
      </c>
      <c r="O138" s="47" t="n">
        <v>60029.41</v>
      </c>
      <c r="P138" s="47" t="n">
        <v>120058.82</v>
      </c>
      <c r="Q138" s="49"/>
      <c r="R138" s="47"/>
      <c r="S138" s="33" t="s">
        <v>1067</v>
      </c>
      <c r="T138" s="33" t="s">
        <v>1081</v>
      </c>
      <c r="U138" s="33" t="s">
        <v>146</v>
      </c>
      <c r="V138" s="39" t="s">
        <v>1082</v>
      </c>
      <c r="W138" s="18" t="s">
        <v>1083</v>
      </c>
      <c r="X138" s="17" t="s">
        <v>1084</v>
      </c>
    </row>
    <row r="139" customFormat="false" ht="159.75" hidden="false" customHeight="true" outlineLevel="0" collapsed="false">
      <c r="A139" s="31" t="s">
        <v>160</v>
      </c>
      <c r="B139" s="31" t="s">
        <v>40</v>
      </c>
      <c r="C139" s="31" t="s">
        <v>1085</v>
      </c>
      <c r="D139" s="17" t="s">
        <v>1086</v>
      </c>
      <c r="E139" s="32" t="s">
        <v>1087</v>
      </c>
      <c r="F139" s="51" t="s">
        <v>1088</v>
      </c>
      <c r="G139" s="51" t="s">
        <v>1089</v>
      </c>
      <c r="H139" s="32" t="s">
        <v>1090</v>
      </c>
      <c r="I139" s="34" t="s">
        <v>1091</v>
      </c>
      <c r="J139" s="32" t="s">
        <v>1092</v>
      </c>
      <c r="K139" s="48" t="s">
        <v>1093</v>
      </c>
      <c r="L139" s="48" t="s">
        <v>1094</v>
      </c>
      <c r="M139" s="48" t="s">
        <v>1095</v>
      </c>
      <c r="N139" s="17" t="n">
        <v>1</v>
      </c>
      <c r="O139" s="47" t="n">
        <v>3163087.46</v>
      </c>
      <c r="P139" s="47" t="n">
        <v>3163087.46</v>
      </c>
      <c r="Q139" s="49" t="n">
        <v>3163087.46</v>
      </c>
      <c r="R139" s="47" t="n">
        <f aca="false">Q139-P139</f>
        <v>0</v>
      </c>
      <c r="S139" s="33" t="s">
        <v>1096</v>
      </c>
      <c r="T139" s="33" t="s">
        <v>1097</v>
      </c>
      <c r="U139" s="33" t="s">
        <v>1098</v>
      </c>
      <c r="V139" s="39" t="s">
        <v>1099</v>
      </c>
      <c r="W139" s="18" t="s">
        <v>1100</v>
      </c>
      <c r="X139" s="17" t="s">
        <v>1101</v>
      </c>
    </row>
    <row r="140" customFormat="false" ht="69" hidden="false" customHeight="true" outlineLevel="0" collapsed="false">
      <c r="A140" s="33" t="s">
        <v>160</v>
      </c>
      <c r="B140" s="33" t="s">
        <v>209</v>
      </c>
      <c r="C140" s="33" t="s">
        <v>1102</v>
      </c>
      <c r="D140" s="17" t="s">
        <v>1103</v>
      </c>
      <c r="E140" s="32" t="s">
        <v>1087</v>
      </c>
      <c r="F140" s="51" t="s">
        <v>1104</v>
      </c>
      <c r="G140" s="32" t="s">
        <v>1105</v>
      </c>
      <c r="H140" s="51" t="s">
        <v>1106</v>
      </c>
      <c r="I140" s="34" t="s">
        <v>1107</v>
      </c>
      <c r="J140" s="32" t="s">
        <v>298</v>
      </c>
      <c r="K140" s="48" t="s">
        <v>314</v>
      </c>
      <c r="L140" s="48"/>
      <c r="M140" s="48"/>
      <c r="N140" s="17"/>
      <c r="O140" s="47"/>
      <c r="P140" s="47"/>
      <c r="Q140" s="49"/>
      <c r="R140" s="47"/>
      <c r="S140" s="17"/>
      <c r="T140" s="33" t="s">
        <v>1108</v>
      </c>
      <c r="U140" s="33" t="s">
        <v>1109</v>
      </c>
      <c r="V140" s="17"/>
      <c r="W140" s="17"/>
      <c r="X140" s="17"/>
    </row>
    <row r="141" customFormat="false" ht="34.5" hidden="false" customHeight="true" outlineLevel="0" collapsed="false">
      <c r="A141" s="33" t="s">
        <v>160</v>
      </c>
      <c r="B141" s="33" t="s">
        <v>209</v>
      </c>
      <c r="C141" s="33" t="s">
        <v>1110</v>
      </c>
      <c r="D141" s="17" t="s">
        <v>1111</v>
      </c>
      <c r="E141" s="32" t="s">
        <v>1087</v>
      </c>
      <c r="F141" s="51" t="s">
        <v>1112</v>
      </c>
      <c r="G141" s="32" t="s">
        <v>1113</v>
      </c>
      <c r="H141" s="51" t="s">
        <v>1114</v>
      </c>
      <c r="I141" s="34" t="s">
        <v>274</v>
      </c>
      <c r="J141" s="32" t="s">
        <v>298</v>
      </c>
      <c r="K141" s="48" t="s">
        <v>314</v>
      </c>
      <c r="L141" s="48"/>
      <c r="M141" s="48"/>
      <c r="N141" s="17"/>
      <c r="O141" s="47"/>
      <c r="P141" s="47"/>
      <c r="Q141" s="49"/>
      <c r="R141" s="47"/>
      <c r="S141" s="17"/>
      <c r="T141" s="33" t="s">
        <v>1115</v>
      </c>
      <c r="U141" s="33" t="s">
        <v>1116</v>
      </c>
      <c r="V141" s="17"/>
      <c r="W141" s="17"/>
      <c r="X141" s="17"/>
    </row>
    <row r="142" customFormat="false" ht="34.5" hidden="false" customHeight="true" outlineLevel="0" collapsed="false">
      <c r="A142" s="33" t="s">
        <v>160</v>
      </c>
      <c r="B142" s="33" t="s">
        <v>209</v>
      </c>
      <c r="C142" s="33" t="s">
        <v>1117</v>
      </c>
      <c r="D142" s="17" t="s">
        <v>1118</v>
      </c>
      <c r="E142" s="51" t="s">
        <v>1087</v>
      </c>
      <c r="F142" s="51" t="s">
        <v>1119</v>
      </c>
      <c r="G142" s="51" t="s">
        <v>1120</v>
      </c>
      <c r="H142" s="51" t="s">
        <v>1121</v>
      </c>
      <c r="I142" s="34" t="s">
        <v>1122</v>
      </c>
      <c r="J142" s="32" t="s">
        <v>217</v>
      </c>
      <c r="K142" s="48" t="s">
        <v>314</v>
      </c>
      <c r="L142" s="48"/>
      <c r="M142" s="48"/>
      <c r="N142" s="17"/>
      <c r="O142" s="47"/>
      <c r="P142" s="47"/>
      <c r="Q142" s="49"/>
      <c r="R142" s="47"/>
      <c r="S142" s="17"/>
      <c r="T142" s="33" t="s">
        <v>1123</v>
      </c>
      <c r="U142" s="17"/>
      <c r="V142" s="17"/>
      <c r="W142" s="18" t="s">
        <v>1124</v>
      </c>
      <c r="X142" s="17"/>
    </row>
    <row r="143" customFormat="false" ht="57" hidden="false" customHeight="true" outlineLevel="0" collapsed="false">
      <c r="A143" s="33" t="s">
        <v>160</v>
      </c>
      <c r="B143" s="33" t="s">
        <v>209</v>
      </c>
      <c r="C143" s="33" t="s">
        <v>1125</v>
      </c>
      <c r="D143" s="17" t="s">
        <v>1126</v>
      </c>
      <c r="E143" s="32" t="s">
        <v>1087</v>
      </c>
      <c r="F143" s="51" t="s">
        <v>1127</v>
      </c>
      <c r="G143" s="32" t="s">
        <v>1128</v>
      </c>
      <c r="H143" s="51" t="s">
        <v>1129</v>
      </c>
      <c r="I143" s="34" t="s">
        <v>1130</v>
      </c>
      <c r="J143" s="32" t="s">
        <v>298</v>
      </c>
      <c r="K143" s="48" t="s">
        <v>314</v>
      </c>
      <c r="L143" s="48"/>
      <c r="M143" s="48"/>
      <c r="N143" s="17"/>
      <c r="O143" s="47"/>
      <c r="P143" s="47"/>
      <c r="Q143" s="49"/>
      <c r="R143" s="47"/>
      <c r="S143" s="17"/>
      <c r="T143" s="33" t="s">
        <v>1131</v>
      </c>
      <c r="U143" s="33" t="s">
        <v>1132</v>
      </c>
      <c r="V143" s="17"/>
      <c r="W143" s="17"/>
      <c r="X143" s="17"/>
    </row>
    <row r="144" customFormat="false" ht="34.5" hidden="false" customHeight="true" outlineLevel="0" collapsed="false">
      <c r="A144" s="33" t="s">
        <v>160</v>
      </c>
      <c r="B144" s="33" t="s">
        <v>209</v>
      </c>
      <c r="C144" s="33" t="s">
        <v>1133</v>
      </c>
      <c r="D144" s="17" t="s">
        <v>1134</v>
      </c>
      <c r="E144" s="51" t="s">
        <v>1087</v>
      </c>
      <c r="F144" s="51" t="s">
        <v>1135</v>
      </c>
      <c r="G144" s="51" t="s">
        <v>271</v>
      </c>
      <c r="H144" s="51" t="s">
        <v>1129</v>
      </c>
      <c r="I144" s="34" t="s">
        <v>1130</v>
      </c>
      <c r="J144" s="32" t="s">
        <v>217</v>
      </c>
      <c r="K144" s="48" t="s">
        <v>314</v>
      </c>
      <c r="L144" s="48"/>
      <c r="M144" s="48"/>
      <c r="N144" s="17"/>
      <c r="O144" s="47"/>
      <c r="P144" s="47"/>
      <c r="Q144" s="49"/>
      <c r="R144" s="47"/>
      <c r="S144" s="17"/>
      <c r="T144" s="33" t="s">
        <v>1115</v>
      </c>
      <c r="U144" s="17"/>
      <c r="V144" s="17"/>
      <c r="W144" s="17"/>
      <c r="X144" s="17"/>
    </row>
    <row r="145" customFormat="false" ht="45.75" hidden="false" customHeight="true" outlineLevel="0" collapsed="false">
      <c r="A145" s="33" t="s">
        <v>160</v>
      </c>
      <c r="B145" s="33" t="s">
        <v>209</v>
      </c>
      <c r="C145" s="33" t="s">
        <v>1136</v>
      </c>
      <c r="D145" s="17" t="s">
        <v>1137</v>
      </c>
      <c r="E145" s="32" t="s">
        <v>1087</v>
      </c>
      <c r="F145" s="51" t="s">
        <v>1138</v>
      </c>
      <c r="G145" s="32" t="s">
        <v>1139</v>
      </c>
      <c r="H145" s="51" t="s">
        <v>1140</v>
      </c>
      <c r="I145" s="34" t="s">
        <v>1141</v>
      </c>
      <c r="J145" s="32" t="s">
        <v>298</v>
      </c>
      <c r="K145" s="48" t="s">
        <v>314</v>
      </c>
      <c r="L145" s="48"/>
      <c r="M145" s="48"/>
      <c r="N145" s="17"/>
      <c r="O145" s="47"/>
      <c r="P145" s="47"/>
      <c r="Q145" s="49"/>
      <c r="R145" s="47"/>
      <c r="S145" s="17"/>
      <c r="T145" s="33" t="s">
        <v>1142</v>
      </c>
      <c r="U145" s="33" t="s">
        <v>1143</v>
      </c>
      <c r="V145" s="17"/>
      <c r="W145" s="17"/>
      <c r="X145" s="17"/>
    </row>
    <row r="146" customFormat="false" ht="57" hidden="false" customHeight="true" outlineLevel="0" collapsed="false">
      <c r="A146" s="33" t="s">
        <v>160</v>
      </c>
      <c r="B146" s="33" t="s">
        <v>209</v>
      </c>
      <c r="C146" s="33" t="s">
        <v>1144</v>
      </c>
      <c r="D146" s="17" t="s">
        <v>1145</v>
      </c>
      <c r="E146" s="32" t="s">
        <v>1146</v>
      </c>
      <c r="F146" s="51" t="s">
        <v>1147</v>
      </c>
      <c r="G146" s="32" t="s">
        <v>1148</v>
      </c>
      <c r="H146" s="51" t="s">
        <v>1149</v>
      </c>
      <c r="I146" s="34" t="s">
        <v>1150</v>
      </c>
      <c r="J146" s="32" t="s">
        <v>298</v>
      </c>
      <c r="K146" s="48" t="s">
        <v>314</v>
      </c>
      <c r="L146" s="48"/>
      <c r="M146" s="48"/>
      <c r="N146" s="17"/>
      <c r="O146" s="47"/>
      <c r="P146" s="47"/>
      <c r="Q146" s="49"/>
      <c r="R146" s="47"/>
      <c r="S146" s="17"/>
      <c r="T146" s="33" t="s">
        <v>1151</v>
      </c>
      <c r="U146" s="33" t="s">
        <v>1152</v>
      </c>
      <c r="V146" s="17"/>
      <c r="W146" s="18" t="s">
        <v>1153</v>
      </c>
      <c r="X146" s="17"/>
    </row>
    <row r="147" customFormat="false" ht="45.75" hidden="false" customHeight="true" outlineLevel="0" collapsed="false">
      <c r="A147" s="33" t="s">
        <v>160</v>
      </c>
      <c r="B147" s="33" t="s">
        <v>209</v>
      </c>
      <c r="C147" s="33" t="s">
        <v>1154</v>
      </c>
      <c r="D147" s="17" t="s">
        <v>1155</v>
      </c>
      <c r="E147" s="32" t="s">
        <v>1087</v>
      </c>
      <c r="F147" s="51" t="s">
        <v>1156</v>
      </c>
      <c r="G147" s="32" t="s">
        <v>1157</v>
      </c>
      <c r="H147" s="51" t="s">
        <v>1158</v>
      </c>
      <c r="I147" s="34" t="s">
        <v>1159</v>
      </c>
      <c r="J147" s="32" t="s">
        <v>298</v>
      </c>
      <c r="K147" s="48" t="s">
        <v>314</v>
      </c>
      <c r="L147" s="48"/>
      <c r="M147" s="48"/>
      <c r="N147" s="17"/>
      <c r="O147" s="47"/>
      <c r="P147" s="47"/>
      <c r="Q147" s="49"/>
      <c r="R147" s="47"/>
      <c r="S147" s="17"/>
      <c r="T147" s="33" t="s">
        <v>1160</v>
      </c>
      <c r="U147" s="33" t="s">
        <v>1161</v>
      </c>
      <c r="V147" s="17"/>
      <c r="W147" s="17"/>
      <c r="X147" s="17"/>
    </row>
    <row r="148" customFormat="false" ht="34.5" hidden="false" customHeight="true" outlineLevel="0" collapsed="false">
      <c r="A148" s="33" t="s">
        <v>160</v>
      </c>
      <c r="B148" s="33" t="s">
        <v>209</v>
      </c>
      <c r="C148" s="33" t="s">
        <v>1162</v>
      </c>
      <c r="D148" s="17" t="s">
        <v>1163</v>
      </c>
      <c r="E148" s="51" t="s">
        <v>1087</v>
      </c>
      <c r="F148" s="51" t="s">
        <v>1164</v>
      </c>
      <c r="G148" s="51" t="s">
        <v>1165</v>
      </c>
      <c r="H148" s="51" t="s">
        <v>1166</v>
      </c>
      <c r="I148" s="34" t="s">
        <v>1167</v>
      </c>
      <c r="J148" s="32" t="s">
        <v>217</v>
      </c>
      <c r="K148" s="48" t="s">
        <v>314</v>
      </c>
      <c r="L148" s="48"/>
      <c r="M148" s="48"/>
      <c r="N148" s="17"/>
      <c r="O148" s="47"/>
      <c r="P148" s="47"/>
      <c r="Q148" s="49"/>
      <c r="R148" s="47"/>
      <c r="S148" s="17"/>
      <c r="T148" s="33" t="s">
        <v>1168</v>
      </c>
      <c r="U148" s="17"/>
      <c r="V148" s="17"/>
      <c r="W148" s="17"/>
      <c r="X148" s="17"/>
    </row>
    <row r="149" customFormat="false" ht="45.75" hidden="false" customHeight="true" outlineLevel="0" collapsed="false">
      <c r="A149" s="33" t="s">
        <v>160</v>
      </c>
      <c r="B149" s="33" t="s">
        <v>209</v>
      </c>
      <c r="C149" s="33" t="s">
        <v>1169</v>
      </c>
      <c r="D149" s="17" t="s">
        <v>1170</v>
      </c>
      <c r="E149" s="32" t="s">
        <v>1171</v>
      </c>
      <c r="F149" s="51" t="s">
        <v>1172</v>
      </c>
      <c r="G149" s="32" t="s">
        <v>1173</v>
      </c>
      <c r="H149" s="51" t="s">
        <v>1166</v>
      </c>
      <c r="I149" s="34" t="s">
        <v>1174</v>
      </c>
      <c r="J149" s="32" t="s">
        <v>217</v>
      </c>
      <c r="K149" s="48" t="s">
        <v>314</v>
      </c>
      <c r="L149" s="48"/>
      <c r="M149" s="48"/>
      <c r="N149" s="17"/>
      <c r="O149" s="47"/>
      <c r="P149" s="47"/>
      <c r="Q149" s="49"/>
      <c r="R149" s="47"/>
      <c r="S149" s="17"/>
      <c r="T149" s="33" t="s">
        <v>1175</v>
      </c>
      <c r="U149" s="33" t="s">
        <v>1176</v>
      </c>
      <c r="V149" s="17"/>
      <c r="W149" s="18" t="s">
        <v>1177</v>
      </c>
      <c r="X149" s="17"/>
    </row>
    <row r="150" customFormat="false" ht="45.75" hidden="false" customHeight="true" outlineLevel="0" collapsed="false">
      <c r="A150" s="33" t="s">
        <v>160</v>
      </c>
      <c r="B150" s="33" t="s">
        <v>209</v>
      </c>
      <c r="C150" s="33" t="s">
        <v>1178</v>
      </c>
      <c r="D150" s="17" t="s">
        <v>1179</v>
      </c>
      <c r="E150" s="32" t="s">
        <v>1171</v>
      </c>
      <c r="F150" s="51" t="s">
        <v>1180</v>
      </c>
      <c r="G150" s="32" t="s">
        <v>1181</v>
      </c>
      <c r="H150" s="51" t="s">
        <v>1166</v>
      </c>
      <c r="I150" s="34" t="s">
        <v>1182</v>
      </c>
      <c r="J150" s="32" t="s">
        <v>217</v>
      </c>
      <c r="K150" s="48" t="s">
        <v>314</v>
      </c>
      <c r="L150" s="48"/>
      <c r="M150" s="48"/>
      <c r="N150" s="17"/>
      <c r="O150" s="47"/>
      <c r="P150" s="47"/>
      <c r="Q150" s="49"/>
      <c r="R150" s="47"/>
      <c r="S150" s="17"/>
      <c r="T150" s="33" t="s">
        <v>1115</v>
      </c>
      <c r="U150" s="33" t="s">
        <v>1183</v>
      </c>
      <c r="V150" s="17"/>
      <c r="W150" s="17"/>
      <c r="X150" s="17"/>
    </row>
    <row r="151" customFormat="false" ht="34.5" hidden="false" customHeight="true" outlineLevel="0" collapsed="false">
      <c r="A151" s="33" t="s">
        <v>160</v>
      </c>
      <c r="B151" s="33" t="s">
        <v>209</v>
      </c>
      <c r="C151" s="33" t="s">
        <v>1184</v>
      </c>
      <c r="D151" s="17" t="s">
        <v>1185</v>
      </c>
      <c r="E151" s="32" t="s">
        <v>1087</v>
      </c>
      <c r="F151" s="51" t="s">
        <v>1186</v>
      </c>
      <c r="G151" s="32" t="s">
        <v>1187</v>
      </c>
      <c r="H151" s="51" t="s">
        <v>1188</v>
      </c>
      <c r="I151" s="34" t="s">
        <v>1189</v>
      </c>
      <c r="J151" s="32" t="s">
        <v>298</v>
      </c>
      <c r="K151" s="48" t="s">
        <v>314</v>
      </c>
      <c r="L151" s="48"/>
      <c r="M151" s="48"/>
      <c r="N151" s="17"/>
      <c r="O151" s="47"/>
      <c r="P151" s="47"/>
      <c r="Q151" s="49"/>
      <c r="R151" s="47"/>
      <c r="S151" s="17"/>
      <c r="T151" s="33" t="s">
        <v>1115</v>
      </c>
      <c r="U151" s="33" t="s">
        <v>1190</v>
      </c>
      <c r="V151" s="17"/>
      <c r="W151" s="17"/>
      <c r="X151" s="17"/>
    </row>
    <row r="152" customFormat="false" ht="34.5" hidden="false" customHeight="true" outlineLevel="0" collapsed="false">
      <c r="A152" s="33" t="s">
        <v>160</v>
      </c>
      <c r="B152" s="33" t="s">
        <v>209</v>
      </c>
      <c r="C152" s="33" t="s">
        <v>1191</v>
      </c>
      <c r="D152" s="17" t="s">
        <v>1192</v>
      </c>
      <c r="E152" s="32" t="s">
        <v>1087</v>
      </c>
      <c r="F152" s="51" t="s">
        <v>1193</v>
      </c>
      <c r="G152" s="32" t="s">
        <v>271</v>
      </c>
      <c r="H152" s="51" t="s">
        <v>1194</v>
      </c>
      <c r="I152" s="34" t="s">
        <v>1195</v>
      </c>
      <c r="J152" s="32" t="s">
        <v>298</v>
      </c>
      <c r="K152" s="48" t="s">
        <v>314</v>
      </c>
      <c r="L152" s="48"/>
      <c r="M152" s="48"/>
      <c r="N152" s="17"/>
      <c r="O152" s="47"/>
      <c r="P152" s="47"/>
      <c r="Q152" s="49"/>
      <c r="R152" s="47"/>
      <c r="S152" s="17"/>
      <c r="T152" s="33" t="s">
        <v>1115</v>
      </c>
      <c r="U152" s="33" t="s">
        <v>1196</v>
      </c>
      <c r="V152" s="17"/>
      <c r="W152" s="17"/>
      <c r="X152" s="17"/>
    </row>
    <row r="153" customFormat="false" ht="22.5" hidden="false" customHeight="true" outlineLevel="0" collapsed="false">
      <c r="A153" s="33" t="s">
        <v>160</v>
      </c>
      <c r="B153" s="33" t="s">
        <v>209</v>
      </c>
      <c r="C153" s="33" t="s">
        <v>1197</v>
      </c>
      <c r="D153" s="42" t="s">
        <v>1198</v>
      </c>
      <c r="E153" s="51" t="s">
        <v>1087</v>
      </c>
      <c r="F153" s="51" t="s">
        <v>1199</v>
      </c>
      <c r="G153" s="51" t="s">
        <v>271</v>
      </c>
      <c r="H153" s="51" t="s">
        <v>271</v>
      </c>
      <c r="I153" s="34" t="s">
        <v>274</v>
      </c>
      <c r="J153" s="32" t="s">
        <v>217</v>
      </c>
      <c r="K153" s="48" t="s">
        <v>314</v>
      </c>
      <c r="L153" s="48"/>
      <c r="M153" s="48"/>
      <c r="N153" s="17"/>
      <c r="O153" s="47"/>
      <c r="P153" s="47"/>
      <c r="Q153" s="49"/>
      <c r="R153" s="47"/>
      <c r="S153" s="17"/>
      <c r="T153" s="33" t="s">
        <v>1200</v>
      </c>
      <c r="U153" s="17"/>
      <c r="V153" s="17"/>
      <c r="W153" s="17"/>
      <c r="X153" s="17"/>
    </row>
    <row r="154" customFormat="false" ht="45.75" hidden="false" customHeight="true" outlineLevel="0" collapsed="false">
      <c r="A154" s="33" t="s">
        <v>160</v>
      </c>
      <c r="B154" s="33" t="s">
        <v>209</v>
      </c>
      <c r="C154" s="33" t="s">
        <v>1201</v>
      </c>
      <c r="D154" s="42" t="s">
        <v>1202</v>
      </c>
      <c r="E154" s="32" t="s">
        <v>1203</v>
      </c>
      <c r="F154" s="51" t="s">
        <v>1204</v>
      </c>
      <c r="G154" s="32" t="s">
        <v>1205</v>
      </c>
      <c r="H154" s="51" t="s">
        <v>1206</v>
      </c>
      <c r="I154" s="34" t="s">
        <v>1207</v>
      </c>
      <c r="J154" s="32" t="s">
        <v>217</v>
      </c>
      <c r="K154" s="48" t="s">
        <v>314</v>
      </c>
      <c r="L154" s="48"/>
      <c r="M154" s="48"/>
      <c r="N154" s="17"/>
      <c r="O154" s="47"/>
      <c r="P154" s="47"/>
      <c r="Q154" s="49"/>
      <c r="R154" s="47"/>
      <c r="S154" s="17"/>
      <c r="T154" s="33" t="s">
        <v>1115</v>
      </c>
      <c r="U154" s="33" t="s">
        <v>1208</v>
      </c>
      <c r="V154" s="39" t="s">
        <v>1209</v>
      </c>
      <c r="W154" s="18" t="s">
        <v>1210</v>
      </c>
      <c r="X154" s="17"/>
    </row>
    <row r="155" customFormat="false" ht="22.5" hidden="false" customHeight="true" outlineLevel="0" collapsed="false">
      <c r="A155" s="33" t="s">
        <v>160</v>
      </c>
      <c r="B155" s="33" t="s">
        <v>209</v>
      </c>
      <c r="C155" s="33" t="s">
        <v>1211</v>
      </c>
      <c r="D155" s="42" t="s">
        <v>1212</v>
      </c>
      <c r="E155" s="51" t="s">
        <v>1087</v>
      </c>
      <c r="F155" s="51" t="s">
        <v>1213</v>
      </c>
      <c r="G155" s="51" t="s">
        <v>271</v>
      </c>
      <c r="H155" s="51" t="s">
        <v>1206</v>
      </c>
      <c r="I155" s="34" t="s">
        <v>274</v>
      </c>
      <c r="J155" s="32" t="s">
        <v>217</v>
      </c>
      <c r="K155" s="48" t="s">
        <v>314</v>
      </c>
      <c r="L155" s="48"/>
      <c r="M155" s="48"/>
      <c r="N155" s="17"/>
      <c r="O155" s="47"/>
      <c r="P155" s="47"/>
      <c r="Q155" s="49"/>
      <c r="R155" s="47"/>
      <c r="S155" s="17"/>
      <c r="T155" s="33" t="s">
        <v>1214</v>
      </c>
      <c r="U155" s="17"/>
      <c r="V155" s="17"/>
      <c r="W155" s="17"/>
      <c r="X155" s="17"/>
    </row>
    <row r="156" customFormat="false" ht="23.25" hidden="false" customHeight="true" outlineLevel="0" collapsed="false">
      <c r="A156" s="33" t="s">
        <v>160</v>
      </c>
      <c r="B156" s="33" t="s">
        <v>209</v>
      </c>
      <c r="C156" s="33" t="s">
        <v>1215</v>
      </c>
      <c r="D156" s="17" t="s">
        <v>1216</v>
      </c>
      <c r="E156" s="51" t="s">
        <v>1087</v>
      </c>
      <c r="F156" s="51" t="s">
        <v>1217</v>
      </c>
      <c r="G156" s="51" t="s">
        <v>271</v>
      </c>
      <c r="H156" s="51" t="s">
        <v>1218</v>
      </c>
      <c r="I156" s="34" t="s">
        <v>274</v>
      </c>
      <c r="J156" s="32" t="s">
        <v>217</v>
      </c>
      <c r="K156" s="48" t="s">
        <v>314</v>
      </c>
      <c r="L156" s="48"/>
      <c r="M156" s="48"/>
      <c r="N156" s="17"/>
      <c r="O156" s="47"/>
      <c r="P156" s="47"/>
      <c r="Q156" s="49"/>
      <c r="R156" s="47"/>
      <c r="S156" s="17"/>
      <c r="T156" s="33" t="s">
        <v>1219</v>
      </c>
      <c r="U156" s="17"/>
      <c r="V156" s="17"/>
      <c r="W156" s="17"/>
      <c r="X156" s="17"/>
    </row>
    <row r="157" customFormat="false" ht="22.5" hidden="false" customHeight="true" outlineLevel="0" collapsed="false">
      <c r="A157" s="33" t="s">
        <v>160</v>
      </c>
      <c r="B157" s="33" t="s">
        <v>209</v>
      </c>
      <c r="C157" s="33" t="s">
        <v>1220</v>
      </c>
      <c r="D157" s="42" t="s">
        <v>1221</v>
      </c>
      <c r="E157" s="51" t="s">
        <v>1087</v>
      </c>
      <c r="F157" s="51" t="s">
        <v>1222</v>
      </c>
      <c r="G157" s="51" t="s">
        <v>271</v>
      </c>
      <c r="H157" s="51" t="s">
        <v>1223</v>
      </c>
      <c r="I157" s="34" t="s">
        <v>274</v>
      </c>
      <c r="J157" s="32" t="s">
        <v>217</v>
      </c>
      <c r="K157" s="48" t="s">
        <v>314</v>
      </c>
      <c r="L157" s="48"/>
      <c r="M157" s="48"/>
      <c r="N157" s="17"/>
      <c r="O157" s="47"/>
      <c r="P157" s="47"/>
      <c r="Q157" s="49"/>
      <c r="R157" s="47"/>
      <c r="S157" s="17"/>
      <c r="T157" s="33" t="s">
        <v>1214</v>
      </c>
      <c r="U157" s="17"/>
      <c r="V157" s="17"/>
      <c r="W157" s="17"/>
      <c r="X157" s="17"/>
    </row>
    <row r="158" customFormat="false" ht="45.75" hidden="false" customHeight="true" outlineLevel="0" collapsed="false">
      <c r="A158" s="33" t="s">
        <v>160</v>
      </c>
      <c r="B158" s="33" t="s">
        <v>209</v>
      </c>
      <c r="C158" s="33" t="s">
        <v>1224</v>
      </c>
      <c r="D158" s="42" t="s">
        <v>1225</v>
      </c>
      <c r="E158" s="32" t="s">
        <v>1226</v>
      </c>
      <c r="F158" s="51" t="s">
        <v>1227</v>
      </c>
      <c r="G158" s="32" t="s">
        <v>1228</v>
      </c>
      <c r="H158" s="51" t="s">
        <v>1229</v>
      </c>
      <c r="I158" s="34" t="s">
        <v>1230</v>
      </c>
      <c r="J158" s="32" t="s">
        <v>298</v>
      </c>
      <c r="K158" s="48" t="s">
        <v>314</v>
      </c>
      <c r="L158" s="48"/>
      <c r="M158" s="48"/>
      <c r="N158" s="17"/>
      <c r="O158" s="47"/>
      <c r="P158" s="47"/>
      <c r="Q158" s="49"/>
      <c r="R158" s="47"/>
      <c r="S158" s="17"/>
      <c r="T158" s="33" t="s">
        <v>1231</v>
      </c>
      <c r="U158" s="33" t="s">
        <v>1232</v>
      </c>
      <c r="V158" s="39" t="s">
        <v>1233</v>
      </c>
      <c r="W158" s="18" t="s">
        <v>1234</v>
      </c>
      <c r="X158" s="17"/>
    </row>
    <row r="159" customFormat="false" ht="22.5" hidden="false" customHeight="true" outlineLevel="0" collapsed="false">
      <c r="A159" s="33" t="s">
        <v>160</v>
      </c>
      <c r="B159" s="33" t="s">
        <v>209</v>
      </c>
      <c r="C159" s="33" t="s">
        <v>1235</v>
      </c>
      <c r="D159" s="42" t="s">
        <v>1236</v>
      </c>
      <c r="E159" s="51" t="s">
        <v>1087</v>
      </c>
      <c r="F159" s="51" t="s">
        <v>1237</v>
      </c>
      <c r="G159" s="51" t="s">
        <v>271</v>
      </c>
      <c r="H159" s="51" t="s">
        <v>271</v>
      </c>
      <c r="I159" s="34" t="s">
        <v>274</v>
      </c>
      <c r="J159" s="32" t="s">
        <v>217</v>
      </c>
      <c r="K159" s="48" t="s">
        <v>314</v>
      </c>
      <c r="L159" s="48"/>
      <c r="M159" s="48"/>
      <c r="N159" s="17"/>
      <c r="O159" s="47"/>
      <c r="P159" s="47"/>
      <c r="Q159" s="49"/>
      <c r="R159" s="47"/>
      <c r="S159" s="17"/>
      <c r="T159" s="33" t="s">
        <v>1238</v>
      </c>
      <c r="U159" s="17"/>
      <c r="V159" s="17"/>
      <c r="W159" s="17"/>
      <c r="X159" s="17"/>
    </row>
    <row r="160" customFormat="false" ht="45.75" hidden="false" customHeight="true" outlineLevel="0" collapsed="false">
      <c r="A160" s="33" t="s">
        <v>160</v>
      </c>
      <c r="B160" s="33" t="s">
        <v>209</v>
      </c>
      <c r="C160" s="33" t="s">
        <v>1239</v>
      </c>
      <c r="D160" s="17" t="s">
        <v>1240</v>
      </c>
      <c r="E160" s="32" t="s">
        <v>1087</v>
      </c>
      <c r="F160" s="32" t="s">
        <v>271</v>
      </c>
      <c r="G160" s="32" t="s">
        <v>217</v>
      </c>
      <c r="H160" s="32" t="s">
        <v>1241</v>
      </c>
      <c r="I160" s="34" t="s">
        <v>1242</v>
      </c>
      <c r="J160" s="32" t="s">
        <v>298</v>
      </c>
      <c r="K160" s="48" t="s">
        <v>314</v>
      </c>
      <c r="L160" s="48"/>
      <c r="M160" s="48"/>
      <c r="N160" s="17"/>
      <c r="O160" s="47"/>
      <c r="P160" s="47"/>
      <c r="Q160" s="49"/>
      <c r="R160" s="47"/>
      <c r="S160" s="17"/>
      <c r="T160" s="33" t="s">
        <v>1243</v>
      </c>
      <c r="U160" s="33" t="s">
        <v>1244</v>
      </c>
      <c r="V160" s="39" t="s">
        <v>1245</v>
      </c>
      <c r="W160" s="18" t="s">
        <v>1246</v>
      </c>
      <c r="X160" s="17"/>
    </row>
    <row r="161" customFormat="false" ht="22.5" hidden="false" customHeight="true" outlineLevel="0" collapsed="false">
      <c r="A161" s="33" t="s">
        <v>160</v>
      </c>
      <c r="B161" s="33" t="s">
        <v>209</v>
      </c>
      <c r="C161" s="33" t="s">
        <v>1247</v>
      </c>
      <c r="D161" s="40" t="s">
        <v>1248</v>
      </c>
      <c r="E161" s="32" t="s">
        <v>1087</v>
      </c>
      <c r="F161" s="32" t="s">
        <v>271</v>
      </c>
      <c r="G161" s="32" t="s">
        <v>217</v>
      </c>
      <c r="H161" s="32" t="s">
        <v>217</v>
      </c>
      <c r="I161" s="34" t="s">
        <v>738</v>
      </c>
      <c r="J161" s="32" t="s">
        <v>217</v>
      </c>
      <c r="K161" s="48" t="s">
        <v>314</v>
      </c>
      <c r="L161" s="48"/>
      <c r="M161" s="48"/>
      <c r="N161" s="17"/>
      <c r="O161" s="47"/>
      <c r="P161" s="47"/>
      <c r="Q161" s="49"/>
      <c r="R161" s="47"/>
      <c r="S161" s="17"/>
      <c r="T161" s="33" t="s">
        <v>1249</v>
      </c>
      <c r="U161" s="33" t="s">
        <v>1250</v>
      </c>
      <c r="V161" s="39" t="s">
        <v>1245</v>
      </c>
      <c r="W161" s="18" t="s">
        <v>1251</v>
      </c>
      <c r="X161" s="17"/>
    </row>
    <row r="163" customFormat="false" ht="36" hidden="false" customHeight="true" outlineLevel="0" collapsed="false">
      <c r="C163" s="52" t="s">
        <v>1252</v>
      </c>
      <c r="P163" s="53" t="n">
        <f aca="false">SUMIFS(P4:P161,B4:B161,"CONJUNTO")</f>
        <v>16576852.44</v>
      </c>
      <c r="Q163" s="53" t="n">
        <f aca="false">SUMIFS(Q4:Q161,B4:B161,"CONJUNTO")+SUMIFS(Q4:Q161,B4:B161,"GRUPO")</f>
        <v>16782799.46</v>
      </c>
      <c r="R163" s="53" t="n">
        <f aca="false">Q163-P163</f>
        <v>205947.020000001</v>
      </c>
      <c r="S163" s="54" t="s">
        <v>1253</v>
      </c>
    </row>
  </sheetData>
  <autoFilter ref="A3:X161"/>
  <mergeCells count="18">
    <mergeCell ref="K4:K6"/>
    <mergeCell ref="L4:L6"/>
    <mergeCell ref="M4:M6"/>
    <mergeCell ref="N4:N6"/>
    <mergeCell ref="O4:O6"/>
    <mergeCell ref="P4:P6"/>
    <mergeCell ref="Q4:Q6"/>
    <mergeCell ref="R4:R6"/>
    <mergeCell ref="S4:S6"/>
    <mergeCell ref="K7:K10"/>
    <mergeCell ref="L7:L10"/>
    <mergeCell ref="M7:M10"/>
    <mergeCell ref="N7:N10"/>
    <mergeCell ref="O7:O10"/>
    <mergeCell ref="P7:P10"/>
    <mergeCell ref="Q7:Q10"/>
    <mergeCell ref="R7:R10"/>
    <mergeCell ref="S7:S1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34"/>
    <col collapsed="false" customWidth="true" hidden="false" outlineLevel="0" max="4" min="4" style="1" width="230"/>
    <col collapsed="false" customWidth="true" hidden="false" outlineLevel="0" max="5" min="5" style="1" width="40"/>
    <col collapsed="false" customWidth="true" hidden="false" outlineLevel="0" max="8" min="6" style="1" width="16"/>
    <col collapsed="false" customWidth="true" hidden="false" outlineLevel="0" max="9" min="9" style="1" width="10"/>
    <col collapsed="false" customWidth="true" hidden="false" outlineLevel="0" max="10" min="10" style="1" width="14"/>
  </cols>
  <sheetData>
    <row r="1" customFormat="false" ht="15" hidden="false" customHeight="true" outlineLevel="0" collapsed="false">
      <c r="A1" s="55" t="s">
        <v>1254</v>
      </c>
    </row>
    <row r="3" customFormat="false" ht="30" hidden="false" customHeight="true" outlineLevel="0" collapsed="false">
      <c r="A3" s="14" t="s">
        <v>28</v>
      </c>
      <c r="B3" s="14" t="s">
        <v>29</v>
      </c>
      <c r="C3" s="14" t="s">
        <v>30</v>
      </c>
      <c r="D3" s="14" t="s">
        <v>1255</v>
      </c>
      <c r="E3" s="14" t="s">
        <v>1256</v>
      </c>
      <c r="F3" s="14" t="s">
        <v>33</v>
      </c>
      <c r="G3" s="14" t="s">
        <v>34</v>
      </c>
      <c r="H3" s="14" t="s">
        <v>35</v>
      </c>
      <c r="I3" s="14" t="s">
        <v>1257</v>
      </c>
      <c r="J3" s="14" t="s">
        <v>1258</v>
      </c>
    </row>
    <row r="4" customFormat="false" ht="408.75" hidden="false" customHeight="true" outlineLevel="0" collapsed="false">
      <c r="A4" s="33" t="s">
        <v>39</v>
      </c>
      <c r="B4" s="33" t="s">
        <v>40</v>
      </c>
      <c r="C4" s="33" t="s">
        <v>192</v>
      </c>
      <c r="D4" s="17" t="s">
        <v>208</v>
      </c>
      <c r="E4" s="33" t="s">
        <v>1259</v>
      </c>
      <c r="F4" s="56" t="n">
        <v>393500</v>
      </c>
      <c r="G4" s="56" t="n">
        <v>393500</v>
      </c>
      <c r="H4" s="57" t="n">
        <v>393500</v>
      </c>
      <c r="I4" s="17" t="n">
        <v>2</v>
      </c>
      <c r="J4" s="33" t="s">
        <v>1260</v>
      </c>
    </row>
    <row r="5" customFormat="false" ht="408.75" hidden="false" customHeight="true" outlineLevel="0" collapsed="false">
      <c r="A5" s="33" t="s">
        <v>45</v>
      </c>
      <c r="B5" s="33" t="s">
        <v>40</v>
      </c>
      <c r="C5" s="33" t="s">
        <v>233</v>
      </c>
      <c r="D5" s="17" t="s">
        <v>248</v>
      </c>
      <c r="E5" s="33" t="s">
        <v>1261</v>
      </c>
      <c r="F5" s="56" t="n">
        <v>815201.04</v>
      </c>
      <c r="G5" s="56" t="n">
        <v>815201.04</v>
      </c>
      <c r="H5" s="57" t="n">
        <v>815201.04</v>
      </c>
      <c r="I5" s="17" t="n">
        <v>3</v>
      </c>
      <c r="J5" s="33" t="s">
        <v>1262</v>
      </c>
    </row>
    <row r="6" customFormat="false" ht="408.75" hidden="false" customHeight="true" outlineLevel="0" collapsed="false">
      <c r="A6" s="33" t="s">
        <v>50</v>
      </c>
      <c r="B6" s="33" t="s">
        <v>40</v>
      </c>
      <c r="C6" s="33" t="s">
        <v>279</v>
      </c>
      <c r="D6" s="17" t="s">
        <v>290</v>
      </c>
      <c r="E6" s="33" t="s">
        <v>1263</v>
      </c>
      <c r="F6" s="56" t="n">
        <v>34798.96</v>
      </c>
      <c r="G6" s="56" t="n">
        <v>34798.96</v>
      </c>
      <c r="H6" s="57" t="n">
        <v>34798.96</v>
      </c>
      <c r="I6" s="17" t="n">
        <v>0</v>
      </c>
      <c r="J6" s="33" t="s">
        <v>1264</v>
      </c>
    </row>
    <row r="7" customFormat="false" ht="408.75" hidden="false" customHeight="true" outlineLevel="0" collapsed="false">
      <c r="A7" s="33" t="s">
        <v>55</v>
      </c>
      <c r="B7" s="33" t="s">
        <v>40</v>
      </c>
      <c r="C7" s="33" t="s">
        <v>291</v>
      </c>
      <c r="D7" s="17" t="s">
        <v>307</v>
      </c>
      <c r="E7" s="33" t="s">
        <v>1265</v>
      </c>
      <c r="F7" s="56" t="n">
        <v>1223780.04</v>
      </c>
      <c r="G7" s="56" t="n">
        <v>1223780.04</v>
      </c>
      <c r="H7" s="57" t="n">
        <v>1223780.04</v>
      </c>
      <c r="I7" s="17" t="n">
        <v>12</v>
      </c>
      <c r="J7" s="33" t="s">
        <v>1266</v>
      </c>
    </row>
    <row r="8" customFormat="false" ht="408.75" hidden="false" customHeight="true" outlineLevel="0" collapsed="false">
      <c r="A8" s="33" t="s">
        <v>60</v>
      </c>
      <c r="B8" s="33" t="s">
        <v>40</v>
      </c>
      <c r="C8" s="33" t="s">
        <v>403</v>
      </c>
      <c r="D8" s="17" t="s">
        <v>415</v>
      </c>
      <c r="E8" s="33" t="s">
        <v>1267</v>
      </c>
      <c r="F8" s="56" t="n">
        <v>71978.04</v>
      </c>
      <c r="G8" s="56" t="n">
        <v>71978.04</v>
      </c>
      <c r="H8" s="57" t="n">
        <v>71978.04</v>
      </c>
      <c r="I8" s="17" t="n">
        <v>1</v>
      </c>
      <c r="J8" s="33" t="s">
        <v>1268</v>
      </c>
    </row>
    <row r="9" customFormat="false" ht="408.75" hidden="false" customHeight="true" outlineLevel="0" collapsed="false">
      <c r="A9" s="33" t="s">
        <v>65</v>
      </c>
      <c r="B9" s="33" t="s">
        <v>40</v>
      </c>
      <c r="C9" s="33" t="s">
        <v>425</v>
      </c>
      <c r="D9" s="17" t="s">
        <v>436</v>
      </c>
      <c r="E9" s="33" t="s">
        <v>1269</v>
      </c>
      <c r="F9" s="56" t="n">
        <v>174716.7</v>
      </c>
      <c r="G9" s="56" t="n">
        <v>174716.7</v>
      </c>
      <c r="H9" s="57" t="n">
        <v>174716.7</v>
      </c>
      <c r="I9" s="17" t="n">
        <v>2</v>
      </c>
      <c r="J9" s="33" t="s">
        <v>1270</v>
      </c>
    </row>
    <row r="10" customFormat="false" ht="408.75" hidden="false" customHeight="true" outlineLevel="0" collapsed="false">
      <c r="A10" s="33" t="s">
        <v>70</v>
      </c>
      <c r="B10" s="33" t="s">
        <v>40</v>
      </c>
      <c r="C10" s="33" t="s">
        <v>454</v>
      </c>
      <c r="D10" s="17" t="s">
        <v>462</v>
      </c>
      <c r="E10" s="33" t="s">
        <v>1271</v>
      </c>
      <c r="F10" s="56" t="n">
        <v>161876.22</v>
      </c>
      <c r="G10" s="56" t="n">
        <v>161876.22</v>
      </c>
      <c r="H10" s="57" t="n">
        <v>161876.22</v>
      </c>
      <c r="I10" s="17" t="n">
        <v>2</v>
      </c>
      <c r="J10" s="33" t="s">
        <v>1272</v>
      </c>
    </row>
    <row r="11" customFormat="false" ht="408.75" hidden="false" customHeight="true" outlineLevel="0" collapsed="false">
      <c r="A11" s="33" t="s">
        <v>75</v>
      </c>
      <c r="B11" s="33" t="s">
        <v>40</v>
      </c>
      <c r="C11" s="33" t="s">
        <v>479</v>
      </c>
      <c r="D11" s="17" t="s">
        <v>487</v>
      </c>
      <c r="E11" s="33" t="s">
        <v>1273</v>
      </c>
      <c r="F11" s="56" t="n">
        <v>308561.97</v>
      </c>
      <c r="G11" s="56" t="n">
        <v>308561.97</v>
      </c>
      <c r="H11" s="57" t="n">
        <v>308561.97</v>
      </c>
      <c r="I11" s="17" t="n">
        <v>3</v>
      </c>
      <c r="J11" s="33" t="s">
        <v>1274</v>
      </c>
    </row>
    <row r="12" customFormat="false" ht="408.75" hidden="false" customHeight="true" outlineLevel="0" collapsed="false">
      <c r="A12" s="33" t="s">
        <v>80</v>
      </c>
      <c r="B12" s="33" t="s">
        <v>40</v>
      </c>
      <c r="C12" s="33" t="s">
        <v>511</v>
      </c>
      <c r="D12" s="17" t="s">
        <v>518</v>
      </c>
      <c r="E12" s="33" t="s">
        <v>1275</v>
      </c>
      <c r="F12" s="56" t="n">
        <v>102010.24</v>
      </c>
      <c r="G12" s="56" t="n">
        <v>102010.24</v>
      </c>
      <c r="H12" s="57" t="n">
        <v>102010.24</v>
      </c>
      <c r="I12" s="17" t="n">
        <v>1</v>
      </c>
      <c r="J12" s="33" t="s">
        <v>1276</v>
      </c>
    </row>
    <row r="13" customFormat="false" ht="408.75" hidden="false" customHeight="true" outlineLevel="0" collapsed="false">
      <c r="A13" s="33" t="s">
        <v>85</v>
      </c>
      <c r="B13" s="33" t="s">
        <v>40</v>
      </c>
      <c r="C13" s="33" t="s">
        <v>525</v>
      </c>
      <c r="D13" s="17" t="s">
        <v>533</v>
      </c>
      <c r="E13" s="33" t="s">
        <v>1277</v>
      </c>
      <c r="F13" s="56" t="n">
        <v>188172.4</v>
      </c>
      <c r="G13" s="56" t="n">
        <v>188172.4</v>
      </c>
      <c r="H13" s="57" t="n">
        <v>188172.4</v>
      </c>
      <c r="I13" s="17" t="n">
        <v>2</v>
      </c>
      <c r="J13" s="33" t="s">
        <v>1278</v>
      </c>
    </row>
    <row r="14" customFormat="false" ht="408.75" hidden="false" customHeight="true" outlineLevel="0" collapsed="false">
      <c r="A14" s="33" t="s">
        <v>90</v>
      </c>
      <c r="B14" s="33" t="s">
        <v>40</v>
      </c>
      <c r="C14" s="33" t="s">
        <v>525</v>
      </c>
      <c r="D14" s="17" t="s">
        <v>555</v>
      </c>
      <c r="E14" s="33" t="s">
        <v>1279</v>
      </c>
      <c r="F14" s="56" t="n">
        <v>162486.68</v>
      </c>
      <c r="G14" s="56" t="n">
        <v>233546.68</v>
      </c>
      <c r="H14" s="57" t="n">
        <v>162486.68</v>
      </c>
      <c r="I14" s="17" t="n">
        <v>2</v>
      </c>
      <c r="J14" s="33" t="s">
        <v>1280</v>
      </c>
    </row>
    <row r="15" customFormat="false" ht="408.75" hidden="false" customHeight="true" outlineLevel="0" collapsed="false">
      <c r="A15" s="33" t="s">
        <v>95</v>
      </c>
      <c r="B15" s="33" t="s">
        <v>40</v>
      </c>
      <c r="C15" s="33" t="s">
        <v>566</v>
      </c>
      <c r="D15" s="17" t="s">
        <v>574</v>
      </c>
      <c r="E15" s="33" t="s">
        <v>1281</v>
      </c>
      <c r="F15" s="56" t="n">
        <v>76802.33</v>
      </c>
      <c r="G15" s="56" t="n">
        <v>76802.33</v>
      </c>
      <c r="H15" s="57" t="n">
        <v>76802.33</v>
      </c>
      <c r="I15" s="17" t="n">
        <v>1</v>
      </c>
      <c r="J15" s="33" t="s">
        <v>1282</v>
      </c>
    </row>
    <row r="16" customFormat="false" ht="408.75" hidden="false" customHeight="true" outlineLevel="0" collapsed="false">
      <c r="A16" s="33" t="s">
        <v>100</v>
      </c>
      <c r="B16" s="33" t="s">
        <v>40</v>
      </c>
      <c r="C16" s="33" t="s">
        <v>581</v>
      </c>
      <c r="D16" s="17" t="s">
        <v>589</v>
      </c>
      <c r="E16" s="33" t="s">
        <v>1283</v>
      </c>
      <c r="F16" s="56" t="n">
        <v>160106.86</v>
      </c>
      <c r="G16" s="56" t="n">
        <v>160106.86</v>
      </c>
      <c r="H16" s="57" t="n">
        <v>160106.86</v>
      </c>
      <c r="I16" s="17" t="n">
        <v>2</v>
      </c>
      <c r="J16" s="33" t="s">
        <v>1284</v>
      </c>
    </row>
    <row r="17" customFormat="false" ht="408.75" hidden="false" customHeight="true" outlineLevel="0" collapsed="false">
      <c r="A17" s="33" t="s">
        <v>105</v>
      </c>
      <c r="B17" s="33" t="s">
        <v>106</v>
      </c>
      <c r="C17" s="33" t="s">
        <v>607</v>
      </c>
      <c r="D17" s="17" t="s">
        <v>617</v>
      </c>
      <c r="E17" s="17"/>
      <c r="F17" s="56"/>
      <c r="G17" s="56" t="n">
        <v>7344806.15</v>
      </c>
      <c r="H17" s="57" t="n">
        <v>8992832.34</v>
      </c>
      <c r="I17" s="17" t="n">
        <v>0</v>
      </c>
      <c r="J17" s="33" t="s">
        <v>1285</v>
      </c>
    </row>
    <row r="18" customFormat="false" ht="408.75" hidden="false" customHeight="true" outlineLevel="0" collapsed="false">
      <c r="A18" s="33" t="s">
        <v>111</v>
      </c>
      <c r="B18" s="33" t="s">
        <v>40</v>
      </c>
      <c r="C18" s="33" t="s">
        <v>618</v>
      </c>
      <c r="D18" s="17" t="s">
        <v>627</v>
      </c>
      <c r="E18" s="33" t="s">
        <v>1286</v>
      </c>
      <c r="F18" s="56" t="n">
        <v>2273264.11</v>
      </c>
      <c r="G18" s="56"/>
      <c r="H18" s="57"/>
      <c r="I18" s="17" t="n">
        <v>6</v>
      </c>
      <c r="J18" s="33" t="s">
        <v>1287</v>
      </c>
    </row>
    <row r="19" customFormat="false" ht="408.75" hidden="false" customHeight="true" outlineLevel="0" collapsed="false">
      <c r="A19" s="33" t="s">
        <v>116</v>
      </c>
      <c r="B19" s="33" t="s">
        <v>40</v>
      </c>
      <c r="C19" s="33" t="s">
        <v>117</v>
      </c>
      <c r="D19" s="17" t="s">
        <v>663</v>
      </c>
      <c r="E19" s="33" t="s">
        <v>1288</v>
      </c>
      <c r="F19" s="56" t="n">
        <v>1917733.79</v>
      </c>
      <c r="G19" s="56"/>
      <c r="H19" s="57"/>
      <c r="I19" s="17" t="n">
        <v>3</v>
      </c>
      <c r="J19" s="33" t="s">
        <v>1289</v>
      </c>
    </row>
    <row r="20" customFormat="false" ht="408.75" hidden="false" customHeight="true" outlineLevel="0" collapsed="false">
      <c r="A20" s="33" t="s">
        <v>121</v>
      </c>
      <c r="B20" s="33" t="s">
        <v>40</v>
      </c>
      <c r="C20" s="33" t="s">
        <v>122</v>
      </c>
      <c r="D20" s="17" t="s">
        <v>686</v>
      </c>
      <c r="E20" s="33" t="s">
        <v>1290</v>
      </c>
      <c r="F20" s="56" t="n">
        <v>1610488.85</v>
      </c>
      <c r="G20" s="56"/>
      <c r="H20" s="57"/>
      <c r="I20" s="17" t="n">
        <v>9</v>
      </c>
      <c r="J20" s="33" t="s">
        <v>1291</v>
      </c>
    </row>
    <row r="21" customFormat="false" ht="408.75" hidden="false" customHeight="true" outlineLevel="0" collapsed="false">
      <c r="A21" s="33" t="s">
        <v>126</v>
      </c>
      <c r="B21" s="33" t="s">
        <v>40</v>
      </c>
      <c r="C21" s="33" t="s">
        <v>127</v>
      </c>
      <c r="D21" s="17" t="s">
        <v>747</v>
      </c>
      <c r="E21" s="33" t="s">
        <v>1292</v>
      </c>
      <c r="F21" s="56" t="n">
        <v>1728513.25</v>
      </c>
      <c r="G21" s="56" t="n">
        <v>1728513.25</v>
      </c>
      <c r="H21" s="57"/>
      <c r="I21" s="17" t="n">
        <v>0</v>
      </c>
      <c r="J21" s="33" t="s">
        <v>1293</v>
      </c>
    </row>
    <row r="22" customFormat="false" ht="408.75" hidden="false" customHeight="true" outlineLevel="0" collapsed="false">
      <c r="A22" s="33" t="s">
        <v>131</v>
      </c>
      <c r="B22" s="33" t="s">
        <v>40</v>
      </c>
      <c r="C22" s="33" t="s">
        <v>132</v>
      </c>
      <c r="D22" s="17" t="s">
        <v>757</v>
      </c>
      <c r="E22" s="33" t="s">
        <v>1294</v>
      </c>
      <c r="F22" s="56" t="n">
        <v>1462832.34</v>
      </c>
      <c r="G22" s="56"/>
      <c r="H22" s="57"/>
      <c r="I22" s="17" t="n">
        <v>3</v>
      </c>
      <c r="J22" s="33" t="s">
        <v>1295</v>
      </c>
    </row>
    <row r="23" customFormat="false" ht="408.75" hidden="false" customHeight="true" outlineLevel="0" collapsed="false">
      <c r="A23" s="33" t="s">
        <v>136</v>
      </c>
      <c r="B23" s="33" t="s">
        <v>137</v>
      </c>
      <c r="C23" s="33" t="s">
        <v>1296</v>
      </c>
      <c r="D23" s="17" t="s">
        <v>786</v>
      </c>
      <c r="E23" s="33" t="s">
        <v>1297</v>
      </c>
      <c r="F23" s="56"/>
      <c r="G23" s="56"/>
      <c r="H23" s="57"/>
      <c r="I23" s="17" t="n">
        <v>58</v>
      </c>
      <c r="J23" s="33" t="s">
        <v>1298</v>
      </c>
    </row>
    <row r="24" customFormat="false" ht="408.75" hidden="false" customHeight="true" outlineLevel="0" collapsed="false">
      <c r="A24" s="33" t="s">
        <v>142</v>
      </c>
      <c r="B24" s="33" t="s">
        <v>106</v>
      </c>
      <c r="C24" s="33" t="s">
        <v>1049</v>
      </c>
      <c r="D24" s="17" t="s">
        <v>1060</v>
      </c>
      <c r="E24" s="17"/>
      <c r="F24" s="56"/>
      <c r="G24" s="56" t="n">
        <v>601341.12</v>
      </c>
      <c r="H24" s="57" t="n">
        <v>546941.16</v>
      </c>
      <c r="I24" s="17" t="n">
        <v>0</v>
      </c>
      <c r="J24" s="33" t="s">
        <v>1299</v>
      </c>
    </row>
    <row r="25" customFormat="false" ht="408.75" hidden="false" customHeight="true" outlineLevel="0" collapsed="false">
      <c r="A25" s="33" t="s">
        <v>147</v>
      </c>
      <c r="B25" s="33" t="s">
        <v>40</v>
      </c>
      <c r="C25" s="33" t="s">
        <v>1061</v>
      </c>
      <c r="D25" s="17" t="s">
        <v>1071</v>
      </c>
      <c r="E25" s="33" t="s">
        <v>1300</v>
      </c>
      <c r="F25" s="56" t="n">
        <v>249823.52</v>
      </c>
      <c r="G25" s="56"/>
      <c r="H25" s="57" t="n">
        <v>249823.52</v>
      </c>
      <c r="I25" s="17" t="n">
        <v>0</v>
      </c>
      <c r="J25" s="33" t="s">
        <v>1301</v>
      </c>
    </row>
    <row r="26" customFormat="false" ht="408.75" hidden="false" customHeight="true" outlineLevel="0" collapsed="false">
      <c r="A26" s="33" t="s">
        <v>152</v>
      </c>
      <c r="B26" s="33" t="s">
        <v>40</v>
      </c>
      <c r="C26" s="33" t="s">
        <v>1072</v>
      </c>
      <c r="D26" s="17" t="s">
        <v>1078</v>
      </c>
      <c r="E26" s="33" t="s">
        <v>1302</v>
      </c>
      <c r="F26" s="56" t="n">
        <v>177058.82</v>
      </c>
      <c r="G26" s="56"/>
      <c r="H26" s="57" t="n">
        <v>177058.82</v>
      </c>
      <c r="I26" s="17" t="n">
        <v>0</v>
      </c>
      <c r="J26" s="33" t="s">
        <v>1303</v>
      </c>
    </row>
    <row r="27" customFormat="false" ht="408.75" hidden="false" customHeight="true" outlineLevel="0" collapsed="false">
      <c r="A27" s="33" t="s">
        <v>156</v>
      </c>
      <c r="B27" s="33" t="s">
        <v>40</v>
      </c>
      <c r="C27" s="33" t="s">
        <v>157</v>
      </c>
      <c r="D27" s="17" t="s">
        <v>1084</v>
      </c>
      <c r="E27" s="33" t="s">
        <v>1304</v>
      </c>
      <c r="F27" s="56" t="n">
        <v>120058.82</v>
      </c>
      <c r="G27" s="56"/>
      <c r="H27" s="57" t="n">
        <v>120058.82</v>
      </c>
      <c r="I27" s="17" t="n">
        <v>0</v>
      </c>
      <c r="J27" s="33" t="s">
        <v>1305</v>
      </c>
    </row>
    <row r="28" customFormat="false" ht="408.75" hidden="false" customHeight="true" outlineLevel="0" collapsed="false">
      <c r="A28" s="33" t="s">
        <v>160</v>
      </c>
      <c r="B28" s="33" t="s">
        <v>40</v>
      </c>
      <c r="C28" s="33" t="s">
        <v>1085</v>
      </c>
      <c r="D28" s="17" t="s">
        <v>1101</v>
      </c>
      <c r="E28" s="33" t="s">
        <v>1306</v>
      </c>
      <c r="F28" s="56" t="n">
        <v>3163087.46</v>
      </c>
      <c r="G28" s="56" t="n">
        <v>3163087.46</v>
      </c>
      <c r="H28" s="57" t="n">
        <v>3163087.46</v>
      </c>
      <c r="I28" s="17" t="n">
        <v>22</v>
      </c>
      <c r="J28" s="33" t="s">
        <v>1307</v>
      </c>
    </row>
    <row r="30" customFormat="false" ht="15" hidden="false" customHeight="true" outlineLevel="0" collapsed="false">
      <c r="C30" s="58" t="s">
        <v>1308</v>
      </c>
      <c r="F30" s="59" t="n">
        <f aca="false">SUMIFS(F4:F28,B4:B28,"CONJUNTO")</f>
        <v>16576852.44</v>
      </c>
      <c r="G30" s="59" t="n">
        <f aca="false">SUMIFS(G4:G28,B4:B28,"CONJUNTO")+SUMIFS(G4:G28,B4:B28,"GRUPO")</f>
        <v>16782799.46</v>
      </c>
      <c r="H30" s="59" t="n">
        <f aca="false">SUMIFS(H4:H28,B4:B28,"CONJUNTO")</f>
        <v>7584020.1</v>
      </c>
    </row>
    <row r="31" customFormat="false" ht="15" hidden="false" customHeight="true" outlineLevel="0" collapsed="false">
      <c r="C31" s="60" t="s">
        <v>1309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G32" activeCellId="0" sqref="G32"/>
    </sheetView>
  </sheetViews>
  <sheetFormatPr defaultColWidth="8.6796875" defaultRowHeight="14.2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34"/>
    <col collapsed="false" customWidth="true" hidden="false" outlineLevel="0" max="4" min="4" style="1" width="20"/>
    <col collapsed="false" customWidth="true" hidden="false" outlineLevel="0" max="5" min="5" style="1" width="53.11"/>
    <col collapsed="false" customWidth="true" hidden="false" outlineLevel="0" max="6" min="6" style="1" width="15"/>
    <col collapsed="false" customWidth="true" hidden="false" outlineLevel="0" max="7" min="7" style="1" width="22"/>
    <col collapsed="false" customWidth="true" hidden="false" outlineLevel="0" max="8" min="8" style="1" width="60"/>
    <col collapsed="false" customWidth="true" hidden="false" outlineLevel="0" max="10" min="9" style="1" width="55"/>
  </cols>
  <sheetData>
    <row r="1" customFormat="false" ht="14.25" hidden="false" customHeight="true" outlineLevel="0" collapsed="false">
      <c r="A1" s="61" t="s">
        <v>1310</v>
      </c>
    </row>
    <row r="2" customFormat="false" ht="14.25" hidden="false" customHeight="true" outlineLevel="0" collapsed="false">
      <c r="A2" s="62" t="s">
        <v>179</v>
      </c>
      <c r="B2" s="62" t="s">
        <v>1311</v>
      </c>
      <c r="C2" s="62" t="s">
        <v>1312</v>
      </c>
      <c r="D2" s="62" t="s">
        <v>1313</v>
      </c>
      <c r="E2" s="62" t="s">
        <v>1314</v>
      </c>
      <c r="F2" s="62" t="s">
        <v>1315</v>
      </c>
      <c r="G2" s="62" t="s">
        <v>1316</v>
      </c>
      <c r="H2" s="62" t="s">
        <v>1317</v>
      </c>
      <c r="I2" s="30" t="s">
        <v>1318</v>
      </c>
      <c r="J2" s="30" t="s">
        <v>1319</v>
      </c>
    </row>
    <row r="3" customFormat="false" ht="14.25" hidden="false" customHeight="true" outlineLevel="0" collapsed="false">
      <c r="A3" s="63" t="s">
        <v>200</v>
      </c>
      <c r="B3" s="63" t="s">
        <v>201</v>
      </c>
      <c r="C3" s="63" t="s">
        <v>1320</v>
      </c>
      <c r="D3" s="63" t="s">
        <v>1321</v>
      </c>
      <c r="E3" s="63" t="s">
        <v>1322</v>
      </c>
      <c r="F3" s="64" t="n">
        <v>393500</v>
      </c>
      <c r="G3" s="63" t="s">
        <v>39</v>
      </c>
      <c r="H3" s="63" t="s">
        <v>1323</v>
      </c>
      <c r="I3" s="39" t="s">
        <v>1324</v>
      </c>
      <c r="J3" s="18" t="s">
        <v>1325</v>
      </c>
    </row>
    <row r="4" customFormat="false" ht="21.75" hidden="false" customHeight="true" outlineLevel="0" collapsed="false">
      <c r="A4" s="63" t="s">
        <v>241</v>
      </c>
      <c r="B4" s="63" t="s">
        <v>242</v>
      </c>
      <c r="C4" s="63" t="s">
        <v>1326</v>
      </c>
      <c r="D4" s="63" t="s">
        <v>1327</v>
      </c>
      <c r="E4" s="63" t="s">
        <v>1328</v>
      </c>
      <c r="F4" s="64" t="n">
        <v>850000</v>
      </c>
      <c r="G4" s="63" t="s">
        <v>1329</v>
      </c>
      <c r="H4" s="63" t="s">
        <v>1330</v>
      </c>
      <c r="I4" s="39" t="s">
        <v>1331</v>
      </c>
      <c r="J4" s="18" t="s">
        <v>1332</v>
      </c>
    </row>
    <row r="5" customFormat="false" ht="21.75" hidden="false" customHeight="true" outlineLevel="0" collapsed="false">
      <c r="A5" s="63" t="s">
        <v>409</v>
      </c>
      <c r="B5" s="63" t="s">
        <v>410</v>
      </c>
      <c r="C5" s="63" t="s">
        <v>1326</v>
      </c>
      <c r="D5" s="63" t="s">
        <v>1333</v>
      </c>
      <c r="E5" s="63" t="s">
        <v>1334</v>
      </c>
      <c r="F5" s="64" t="n">
        <v>1328703.93</v>
      </c>
      <c r="G5" s="63" t="s">
        <v>1335</v>
      </c>
      <c r="H5" s="63" t="s">
        <v>1336</v>
      </c>
      <c r="I5" s="39" t="s">
        <v>1337</v>
      </c>
      <c r="J5" s="18" t="s">
        <v>1338</v>
      </c>
    </row>
    <row r="6" customFormat="false" ht="14.25" hidden="false" customHeight="true" outlineLevel="0" collapsed="false">
      <c r="A6" s="63" t="s">
        <v>430</v>
      </c>
      <c r="B6" s="63" t="s">
        <v>431</v>
      </c>
      <c r="C6" s="63" t="s">
        <v>1326</v>
      </c>
      <c r="D6" s="63" t="s">
        <v>1333</v>
      </c>
      <c r="E6" s="63" t="s">
        <v>1328</v>
      </c>
      <c r="F6" s="64" t="n">
        <v>1139300.87</v>
      </c>
      <c r="G6" s="63" t="s">
        <v>1339</v>
      </c>
      <c r="H6" s="63" t="s">
        <v>1336</v>
      </c>
      <c r="I6" s="39" t="s">
        <v>1340</v>
      </c>
      <c r="J6" s="18" t="s">
        <v>1341</v>
      </c>
    </row>
    <row r="7" customFormat="false" ht="21.75" hidden="false" customHeight="true" outlineLevel="0" collapsed="false">
      <c r="A7" s="63" t="s">
        <v>549</v>
      </c>
      <c r="B7" s="63" t="s">
        <v>550</v>
      </c>
      <c r="C7" s="63" t="s">
        <v>1326</v>
      </c>
      <c r="D7" s="63" t="s">
        <v>1327</v>
      </c>
      <c r="E7" s="63" t="s">
        <v>1342</v>
      </c>
      <c r="F7" s="64" t="n">
        <v>233546.68</v>
      </c>
      <c r="G7" s="63" t="s">
        <v>90</v>
      </c>
      <c r="H7" s="63" t="s">
        <v>1343</v>
      </c>
      <c r="I7" s="39" t="s">
        <v>1344</v>
      </c>
      <c r="J7" s="18" t="s">
        <v>1345</v>
      </c>
    </row>
    <row r="8" customFormat="false" ht="22.5" hidden="false" customHeight="true" outlineLevel="0" collapsed="false">
      <c r="A8" s="63" t="s">
        <v>1346</v>
      </c>
      <c r="B8" s="63" t="s">
        <v>1347</v>
      </c>
      <c r="C8" s="63" t="s">
        <v>1348</v>
      </c>
      <c r="D8" s="63" t="s">
        <v>1349</v>
      </c>
      <c r="E8" s="63" t="s">
        <v>1350</v>
      </c>
      <c r="F8" s="64" t="n">
        <v>4881799.51</v>
      </c>
      <c r="G8" s="63" t="s">
        <v>1351</v>
      </c>
      <c r="H8" s="63" t="s">
        <v>1352</v>
      </c>
      <c r="I8" s="39" t="s">
        <v>1353</v>
      </c>
      <c r="J8" s="18" t="s">
        <v>1354</v>
      </c>
    </row>
    <row r="9" customFormat="false" ht="21.75" hidden="false" customHeight="true" outlineLevel="0" collapsed="false">
      <c r="A9" s="63" t="s">
        <v>740</v>
      </c>
      <c r="B9" s="63" t="s">
        <v>741</v>
      </c>
      <c r="C9" s="63" t="s">
        <v>1355</v>
      </c>
      <c r="D9" s="63" t="s">
        <v>1356</v>
      </c>
      <c r="E9" s="63" t="s">
        <v>1357</v>
      </c>
      <c r="F9" s="64" t="n">
        <v>1728513.25</v>
      </c>
      <c r="G9" s="63" t="s">
        <v>126</v>
      </c>
      <c r="H9" s="63" t="s">
        <v>1358</v>
      </c>
      <c r="I9" s="39" t="s">
        <v>1359</v>
      </c>
      <c r="J9" s="18" t="s">
        <v>1360</v>
      </c>
    </row>
    <row r="10" customFormat="false" ht="14.25" hidden="false" customHeight="true" outlineLevel="0" collapsed="false">
      <c r="A10" s="63" t="s">
        <v>1361</v>
      </c>
      <c r="B10" s="63" t="s">
        <v>1362</v>
      </c>
      <c r="C10" s="63" t="s">
        <v>1348</v>
      </c>
      <c r="D10" s="63" t="s">
        <v>1349</v>
      </c>
      <c r="E10" s="63" t="s">
        <v>1363</v>
      </c>
      <c r="F10" s="64" t="n">
        <v>260000.03</v>
      </c>
      <c r="G10" s="63" t="s">
        <v>1364</v>
      </c>
      <c r="H10" s="63" t="s">
        <v>1365</v>
      </c>
      <c r="I10" s="39" t="s">
        <v>1366</v>
      </c>
      <c r="J10" s="18" t="s">
        <v>1367</v>
      </c>
    </row>
    <row r="11" customFormat="false" ht="22.5" hidden="false" customHeight="true" outlineLevel="0" collapsed="false">
      <c r="A11" s="63" t="s">
        <v>1368</v>
      </c>
      <c r="B11" s="63" t="s">
        <v>1369</v>
      </c>
      <c r="C11" s="63" t="s">
        <v>1370</v>
      </c>
      <c r="D11" s="63" t="s">
        <v>1371</v>
      </c>
      <c r="E11" s="63" t="s">
        <v>1372</v>
      </c>
      <c r="F11" s="64" t="n">
        <v>87357.24</v>
      </c>
      <c r="G11" s="63" t="s">
        <v>1364</v>
      </c>
      <c r="H11" s="63" t="s">
        <v>1373</v>
      </c>
      <c r="I11" s="39" t="s">
        <v>1374</v>
      </c>
      <c r="J11" s="18" t="s">
        <v>1375</v>
      </c>
    </row>
    <row r="12" customFormat="false" ht="22.5" hidden="false" customHeight="true" outlineLevel="0" collapsed="false">
      <c r="A12" s="63" t="s">
        <v>1376</v>
      </c>
      <c r="B12" s="63" t="s">
        <v>1377</v>
      </c>
      <c r="C12" s="63" t="s">
        <v>1370</v>
      </c>
      <c r="D12" s="63" t="s">
        <v>1371</v>
      </c>
      <c r="E12" s="63" t="s">
        <v>1378</v>
      </c>
      <c r="F12" s="64" t="n">
        <v>218393.1</v>
      </c>
      <c r="G12" s="63" t="s">
        <v>1364</v>
      </c>
      <c r="H12" s="63" t="s">
        <v>1373</v>
      </c>
      <c r="I12" s="39" t="s">
        <v>1374</v>
      </c>
      <c r="J12" s="18" t="s">
        <v>1341</v>
      </c>
    </row>
    <row r="13" customFormat="false" ht="21.75" hidden="false" customHeight="true" outlineLevel="0" collapsed="false">
      <c r="A13" s="63" t="s">
        <v>1379</v>
      </c>
      <c r="B13" s="63" t="s">
        <v>1380</v>
      </c>
      <c r="C13" s="63" t="s">
        <v>1381</v>
      </c>
      <c r="D13" s="63" t="s">
        <v>1382</v>
      </c>
      <c r="E13" s="63" t="s">
        <v>1383</v>
      </c>
      <c r="F13" s="64" t="n">
        <v>241395</v>
      </c>
      <c r="G13" s="63" t="s">
        <v>1384</v>
      </c>
      <c r="H13" s="63" t="s">
        <v>1385</v>
      </c>
      <c r="I13" s="39" t="s">
        <v>1386</v>
      </c>
      <c r="J13" s="18" t="s">
        <v>1387</v>
      </c>
    </row>
    <row r="14" customFormat="false" ht="21.75" hidden="false" customHeight="true" outlineLevel="0" collapsed="false">
      <c r="A14" s="63" t="s">
        <v>1388</v>
      </c>
      <c r="B14" s="63" t="s">
        <v>1389</v>
      </c>
      <c r="C14" s="63" t="s">
        <v>1381</v>
      </c>
      <c r="D14" s="63" t="s">
        <v>1382</v>
      </c>
      <c r="E14" s="63" t="s">
        <v>1357</v>
      </c>
      <c r="F14" s="64" t="n">
        <v>49425</v>
      </c>
      <c r="G14" s="63" t="s">
        <v>1384</v>
      </c>
      <c r="H14" s="63" t="s">
        <v>1390</v>
      </c>
      <c r="I14" s="39" t="s">
        <v>1391</v>
      </c>
      <c r="J14" s="18" t="s">
        <v>1392</v>
      </c>
    </row>
    <row r="15" customFormat="false" ht="14.25" hidden="false" customHeight="true" outlineLevel="0" collapsed="false">
      <c r="A15" s="63" t="s">
        <v>1393</v>
      </c>
      <c r="B15" s="63" t="s">
        <v>1394</v>
      </c>
      <c r="C15" s="63" t="s">
        <v>1355</v>
      </c>
      <c r="D15" s="63" t="s">
        <v>1356</v>
      </c>
      <c r="E15" s="63" t="s">
        <v>1357</v>
      </c>
      <c r="F15" s="64" t="n">
        <v>591154.24</v>
      </c>
      <c r="G15" s="63" t="s">
        <v>1384</v>
      </c>
      <c r="H15" s="63" t="s">
        <v>1390</v>
      </c>
      <c r="I15" s="39" t="s">
        <v>1395</v>
      </c>
      <c r="J15" s="18" t="s">
        <v>1396</v>
      </c>
    </row>
    <row r="16" customFormat="false" ht="14.25" hidden="false" customHeight="true" outlineLevel="0" collapsed="false">
      <c r="A16" s="63" t="s">
        <v>1397</v>
      </c>
      <c r="B16" s="63" t="s">
        <v>741</v>
      </c>
      <c r="C16" s="63" t="s">
        <v>1398</v>
      </c>
      <c r="D16" s="63" t="s">
        <v>1399</v>
      </c>
      <c r="E16" s="63" t="s">
        <v>1357</v>
      </c>
      <c r="F16" s="64" t="n">
        <v>182000</v>
      </c>
      <c r="G16" s="63" t="s">
        <v>1384</v>
      </c>
      <c r="H16" s="63" t="s">
        <v>1390</v>
      </c>
      <c r="I16" s="39" t="s">
        <v>1400</v>
      </c>
      <c r="J16" s="18" t="s">
        <v>1396</v>
      </c>
    </row>
    <row r="17" customFormat="false" ht="21.75" hidden="false" customHeight="true" outlineLevel="0" collapsed="false">
      <c r="A17" s="63" t="s">
        <v>1401</v>
      </c>
      <c r="B17" s="63" t="s">
        <v>1402</v>
      </c>
      <c r="C17" s="63" t="s">
        <v>1398</v>
      </c>
      <c r="D17" s="63" t="s">
        <v>1399</v>
      </c>
      <c r="E17" s="63" t="s">
        <v>1403</v>
      </c>
      <c r="F17" s="64" t="n">
        <v>386880</v>
      </c>
      <c r="G17" s="63" t="s">
        <v>1384</v>
      </c>
      <c r="H17" s="63" t="s">
        <v>1404</v>
      </c>
      <c r="I17" s="39" t="s">
        <v>1405</v>
      </c>
      <c r="J17" s="18" t="s">
        <v>1406</v>
      </c>
    </row>
    <row r="18" customFormat="false" ht="21.75" hidden="false" customHeight="true" outlineLevel="0" collapsed="false">
      <c r="A18" s="63" t="s">
        <v>1407</v>
      </c>
      <c r="B18" s="63" t="s">
        <v>1408</v>
      </c>
      <c r="C18" s="63" t="s">
        <v>1398</v>
      </c>
      <c r="D18" s="63" t="s">
        <v>1399</v>
      </c>
      <c r="E18" s="63" t="s">
        <v>1409</v>
      </c>
      <c r="F18" s="64" t="n">
        <v>100000</v>
      </c>
      <c r="G18" s="63" t="s">
        <v>1384</v>
      </c>
      <c r="H18" s="63" t="s">
        <v>1410</v>
      </c>
      <c r="I18" s="39" t="s">
        <v>1411</v>
      </c>
      <c r="J18" s="18" t="s">
        <v>1412</v>
      </c>
    </row>
    <row r="19" customFormat="false" ht="14.25" hidden="false" customHeight="true" outlineLevel="0" collapsed="false">
      <c r="A19" s="63" t="s">
        <v>1413</v>
      </c>
      <c r="B19" s="63" t="s">
        <v>1414</v>
      </c>
      <c r="C19" s="63" t="s">
        <v>1398</v>
      </c>
      <c r="D19" s="63" t="s">
        <v>1399</v>
      </c>
      <c r="E19" s="63" t="s">
        <v>1357</v>
      </c>
      <c r="F19" s="64" t="n">
        <v>110000</v>
      </c>
      <c r="G19" s="63" t="s">
        <v>1384</v>
      </c>
      <c r="H19" s="63" t="s">
        <v>1390</v>
      </c>
      <c r="I19" s="39" t="s">
        <v>1415</v>
      </c>
      <c r="J19" s="18" t="s">
        <v>1396</v>
      </c>
    </row>
    <row r="20" customFormat="false" ht="22.5" hidden="false" customHeight="true" outlineLevel="0" collapsed="false">
      <c r="A20" s="63" t="s">
        <v>1416</v>
      </c>
      <c r="B20" s="63" t="s">
        <v>1417</v>
      </c>
      <c r="C20" s="63" t="s">
        <v>1418</v>
      </c>
      <c r="D20" s="63" t="s">
        <v>1419</v>
      </c>
      <c r="E20" s="63" t="s">
        <v>1357</v>
      </c>
      <c r="F20" s="64" t="n">
        <v>193140</v>
      </c>
      <c r="G20" s="63" t="s">
        <v>1384</v>
      </c>
      <c r="H20" s="63" t="s">
        <v>1420</v>
      </c>
      <c r="I20" s="39" t="s">
        <v>1421</v>
      </c>
      <c r="J20" s="18" t="s">
        <v>1422</v>
      </c>
    </row>
    <row r="21" customFormat="false" ht="21.75" hidden="false" customHeight="true" outlineLevel="0" collapsed="false">
      <c r="A21" s="63" t="s">
        <v>1423</v>
      </c>
      <c r="B21" s="63" t="s">
        <v>1424</v>
      </c>
      <c r="C21" s="63" t="s">
        <v>1348</v>
      </c>
      <c r="D21" s="63" t="s">
        <v>1349</v>
      </c>
      <c r="E21" s="63" t="s">
        <v>1425</v>
      </c>
      <c r="F21" s="64" t="n">
        <v>43262.03</v>
      </c>
      <c r="G21" s="63" t="s">
        <v>1384</v>
      </c>
      <c r="H21" s="63" t="s">
        <v>1426</v>
      </c>
      <c r="I21" s="39" t="s">
        <v>1427</v>
      </c>
      <c r="J21" s="18" t="s">
        <v>1428</v>
      </c>
    </row>
    <row r="22" customFormat="false" ht="21.75" hidden="false" customHeight="true" outlineLevel="0" collapsed="false">
      <c r="A22" s="63" t="s">
        <v>1053</v>
      </c>
      <c r="B22" s="63" t="s">
        <v>1054</v>
      </c>
      <c r="C22" s="63" t="s">
        <v>1429</v>
      </c>
      <c r="D22" s="63" t="s">
        <v>1430</v>
      </c>
      <c r="E22" s="63" t="s">
        <v>1431</v>
      </c>
      <c r="F22" s="64" t="n">
        <v>601341.12</v>
      </c>
      <c r="G22" s="63" t="s">
        <v>1432</v>
      </c>
      <c r="H22" s="63" t="s">
        <v>1433</v>
      </c>
      <c r="I22" s="39" t="s">
        <v>1434</v>
      </c>
      <c r="J22" s="18" t="s">
        <v>1435</v>
      </c>
    </row>
    <row r="23" customFormat="false" ht="21.75" hidden="false" customHeight="true" outlineLevel="0" collapsed="false">
      <c r="A23" s="63" t="s">
        <v>1436</v>
      </c>
      <c r="B23" s="63" t="s">
        <v>1437</v>
      </c>
      <c r="C23" s="63" t="s">
        <v>1438</v>
      </c>
      <c r="D23" s="63" t="s">
        <v>1439</v>
      </c>
      <c r="E23" s="63" t="s">
        <v>1440</v>
      </c>
      <c r="F23" s="64" t="n">
        <v>249883.91</v>
      </c>
      <c r="G23" s="63" t="s">
        <v>160</v>
      </c>
      <c r="H23" s="63" t="s">
        <v>1441</v>
      </c>
      <c r="I23" s="39" t="s">
        <v>1442</v>
      </c>
      <c r="J23" s="18" t="s">
        <v>1443</v>
      </c>
    </row>
    <row r="24" customFormat="false" ht="14.25" hidden="false" customHeight="true" outlineLevel="0" collapsed="false">
      <c r="A24" s="63" t="s">
        <v>1444</v>
      </c>
      <c r="B24" s="63" t="s">
        <v>1445</v>
      </c>
      <c r="C24" s="63" t="s">
        <v>1438</v>
      </c>
      <c r="D24" s="63" t="s">
        <v>1439</v>
      </c>
      <c r="E24" s="63" t="s">
        <v>1440</v>
      </c>
      <c r="F24" s="64" t="n">
        <v>2154062.56</v>
      </c>
      <c r="G24" s="63" t="s">
        <v>160</v>
      </c>
      <c r="H24" s="63" t="s">
        <v>1441</v>
      </c>
      <c r="I24" s="39" t="s">
        <v>1446</v>
      </c>
      <c r="J24" s="18" t="s">
        <v>1341</v>
      </c>
    </row>
    <row r="25" customFormat="false" ht="14.25" hidden="false" customHeight="true" outlineLevel="0" collapsed="false">
      <c r="A25" s="63" t="s">
        <v>1447</v>
      </c>
      <c r="B25" s="63" t="s">
        <v>1445</v>
      </c>
      <c r="C25" s="63" t="s">
        <v>1438</v>
      </c>
      <c r="D25" s="63" t="s">
        <v>1439</v>
      </c>
      <c r="E25" s="63" t="s">
        <v>1440</v>
      </c>
      <c r="F25" s="64" t="n">
        <v>759140.99</v>
      </c>
      <c r="G25" s="63" t="s">
        <v>160</v>
      </c>
      <c r="H25" s="63" t="s">
        <v>1441</v>
      </c>
      <c r="I25" s="39" t="s">
        <v>1446</v>
      </c>
      <c r="J25" s="18" t="s">
        <v>1341</v>
      </c>
    </row>
    <row r="27" customFormat="false" ht="14.25" hidden="false" customHeight="true" outlineLevel="0" collapsed="false">
      <c r="A27" s="65"/>
      <c r="E27" s="65" t="s">
        <v>1448</v>
      </c>
      <c r="F27" s="65" t="n">
        <f aca="false">SUM(F3:F25)</f>
        <v>16782799.46</v>
      </c>
    </row>
    <row r="28" customFormat="false" ht="14.25" hidden="false" customHeight="true" outlineLevel="0" collapsed="false">
      <c r="A28" s="65"/>
      <c r="E28" s="65" t="s">
        <v>1449</v>
      </c>
      <c r="F28" s="65" t="n">
        <v>16576852.44</v>
      </c>
    </row>
    <row r="29" customFormat="false" ht="14.25" hidden="false" customHeight="true" outlineLevel="0" collapsed="false">
      <c r="A29" s="65"/>
      <c r="E29" s="65" t="s">
        <v>1450</v>
      </c>
      <c r="F29" s="65" t="n">
        <f aca="false">F27-F28</f>
        <v>205947.020000001</v>
      </c>
    </row>
    <row r="30" customFormat="false" ht="14.25" hidden="false" customHeight="true" outlineLevel="0" collapsed="false">
      <c r="A30" s="65"/>
      <c r="E30" s="65" t="s">
        <v>1451</v>
      </c>
      <c r="F30" s="65" t="n">
        <f aca="false">F27-CARACTERIZACAO!Q163</f>
        <v>0</v>
      </c>
    </row>
    <row r="31" customFormat="false" ht="14.25" hidden="false" customHeight="true" outlineLevel="0" collapsed="false">
      <c r="A31" s="65"/>
      <c r="E31" s="65"/>
      <c r="F31" s="65"/>
    </row>
    <row r="32" customFormat="false" ht="14.25" hidden="false" customHeight="true" outlineLevel="0" collapsed="false">
      <c r="A32" s="66" t="s">
        <v>1452</v>
      </c>
      <c r="B32" s="66"/>
      <c r="C32" s="66"/>
      <c r="D32" s="66"/>
      <c r="E32" s="66"/>
      <c r="F32" s="65"/>
    </row>
  </sheetData>
  <mergeCells count="1">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30"/>
    <col collapsed="false" customWidth="true" hidden="false" outlineLevel="0" max="4" min="4" style="1" width="14"/>
    <col collapsed="false" customWidth="true" hidden="false" outlineLevel="0" max="5" min="5" style="1" width="70"/>
    <col collapsed="false" customWidth="true" hidden="false" outlineLevel="0" max="6" min="6" style="1" width="16"/>
    <col collapsed="false" customWidth="true" hidden="false" outlineLevel="0" max="7" min="7" style="1" width="38"/>
    <col collapsed="false" customWidth="true" hidden="false" outlineLevel="0" max="8" min="8" style="1" width="28"/>
    <col collapsed="false" customWidth="true" hidden="false" outlineLevel="0" max="9" min="9" style="1" width="60"/>
  </cols>
  <sheetData>
    <row r="1" customFormat="false" ht="15" hidden="false" customHeight="true" outlineLevel="0" collapsed="false">
      <c r="A1" s="67" t="s">
        <v>1453</v>
      </c>
    </row>
    <row r="3" customFormat="false" ht="15" hidden="false" customHeight="true" outlineLevel="0" collapsed="false">
      <c r="A3" s="14" t="s">
        <v>1454</v>
      </c>
      <c r="B3" s="14" t="s">
        <v>1455</v>
      </c>
      <c r="C3" s="14" t="s">
        <v>1456</v>
      </c>
      <c r="D3" s="14" t="s">
        <v>1311</v>
      </c>
      <c r="E3" s="14" t="s">
        <v>1457</v>
      </c>
      <c r="F3" s="14" t="s">
        <v>1458</v>
      </c>
      <c r="G3" s="14" t="s">
        <v>1459</v>
      </c>
      <c r="H3" s="14" t="s">
        <v>1460</v>
      </c>
      <c r="I3" s="14" t="s">
        <v>1461</v>
      </c>
    </row>
    <row r="4" customFormat="false" ht="21.75" hidden="false" customHeight="true" outlineLevel="0" collapsed="false">
      <c r="A4" s="39" t="s">
        <v>1462</v>
      </c>
      <c r="B4" s="39" t="s">
        <v>1463</v>
      </c>
      <c r="C4" s="39" t="s">
        <v>1464</v>
      </c>
      <c r="D4" s="39" t="s">
        <v>1465</v>
      </c>
      <c r="E4" s="39" t="s">
        <v>1466</v>
      </c>
      <c r="F4" s="57" t="n">
        <v>393500</v>
      </c>
      <c r="G4" s="39" t="s">
        <v>1467</v>
      </c>
      <c r="H4" s="18" t="s">
        <v>1468</v>
      </c>
      <c r="I4" s="18" t="s">
        <v>1469</v>
      </c>
    </row>
    <row r="5" customFormat="false" ht="21.75" hidden="false" customHeight="true" outlineLevel="0" collapsed="false">
      <c r="A5" s="39" t="s">
        <v>1470</v>
      </c>
      <c r="B5" s="39" t="s">
        <v>243</v>
      </c>
      <c r="C5" s="39" t="s">
        <v>1471</v>
      </c>
      <c r="D5" s="39" t="s">
        <v>1472</v>
      </c>
      <c r="E5" s="39" t="s">
        <v>1473</v>
      </c>
      <c r="F5" s="57" t="n">
        <v>850000</v>
      </c>
      <c r="G5" s="39" t="s">
        <v>1474</v>
      </c>
      <c r="H5" s="18" t="s">
        <v>1468</v>
      </c>
      <c r="I5" s="18" t="s">
        <v>1475</v>
      </c>
    </row>
    <row r="6" customFormat="false" ht="32.25" hidden="false" customHeight="true" outlineLevel="0" collapsed="false">
      <c r="A6" s="39" t="s">
        <v>1476</v>
      </c>
      <c r="B6" s="39" t="s">
        <v>243</v>
      </c>
      <c r="C6" s="39" t="s">
        <v>1477</v>
      </c>
      <c r="D6" s="39" t="s">
        <v>1478</v>
      </c>
      <c r="E6" s="39" t="s">
        <v>1479</v>
      </c>
      <c r="F6" s="57" t="n">
        <v>2630491.47</v>
      </c>
      <c r="G6" s="39" t="s">
        <v>1480</v>
      </c>
      <c r="H6" s="18" t="s">
        <v>1468</v>
      </c>
      <c r="I6" s="18" t="s">
        <v>1481</v>
      </c>
    </row>
    <row r="7" customFormat="false" ht="32.25" hidden="false" customHeight="true" outlineLevel="0" collapsed="false">
      <c r="A7" s="39" t="s">
        <v>1482</v>
      </c>
      <c r="B7" s="39" t="s">
        <v>1483</v>
      </c>
      <c r="C7" s="39" t="s">
        <v>1484</v>
      </c>
      <c r="D7" s="39" t="s">
        <v>1485</v>
      </c>
      <c r="E7" s="39" t="s">
        <v>1486</v>
      </c>
      <c r="F7" s="57" t="n">
        <v>8992832.34</v>
      </c>
      <c r="G7" s="39" t="s">
        <v>1487</v>
      </c>
      <c r="H7" s="18" t="s">
        <v>1468</v>
      </c>
      <c r="I7" s="18" t="s">
        <v>1488</v>
      </c>
    </row>
    <row r="8" customFormat="false" ht="32.25" hidden="false" customHeight="true" outlineLevel="0" collapsed="false">
      <c r="A8" s="39" t="s">
        <v>1489</v>
      </c>
      <c r="B8" s="39" t="s">
        <v>1055</v>
      </c>
      <c r="C8" s="39" t="s">
        <v>1490</v>
      </c>
      <c r="D8" s="39" t="s">
        <v>1491</v>
      </c>
      <c r="E8" s="39" t="s">
        <v>1492</v>
      </c>
      <c r="F8" s="57" t="n">
        <v>757325.08</v>
      </c>
      <c r="G8" s="39" t="s">
        <v>1493</v>
      </c>
      <c r="H8" s="18" t="s">
        <v>1468</v>
      </c>
      <c r="I8" s="18" t="s">
        <v>1494</v>
      </c>
    </row>
    <row r="9" customFormat="false" ht="21.75" hidden="false" customHeight="true" outlineLevel="0" collapsed="false">
      <c r="A9" s="39" t="s">
        <v>1495</v>
      </c>
      <c r="B9" s="39" t="s">
        <v>1496</v>
      </c>
      <c r="C9" s="39" t="s">
        <v>1497</v>
      </c>
      <c r="D9" s="39" t="s">
        <v>1498</v>
      </c>
      <c r="E9" s="39" t="s">
        <v>1499</v>
      </c>
      <c r="F9" s="57" t="n">
        <v>3163087.46</v>
      </c>
      <c r="G9" s="39" t="s">
        <v>1500</v>
      </c>
      <c r="H9" s="18" t="s">
        <v>1468</v>
      </c>
      <c r="I9" s="18" t="s">
        <v>1501</v>
      </c>
    </row>
    <row r="10" customFormat="false" ht="32.25" hidden="false" customHeight="true" outlineLevel="0" collapsed="false">
      <c r="A10" s="39" t="s">
        <v>1502</v>
      </c>
      <c r="B10" s="39" t="s">
        <v>1503</v>
      </c>
      <c r="C10" s="39" t="s">
        <v>1504</v>
      </c>
      <c r="D10" s="39" t="s">
        <v>1505</v>
      </c>
      <c r="E10" s="39" t="s">
        <v>1506</v>
      </c>
      <c r="F10" s="57" t="n">
        <v>300000</v>
      </c>
      <c r="G10" s="39" t="s">
        <v>1507</v>
      </c>
      <c r="H10" s="18" t="s">
        <v>1508</v>
      </c>
      <c r="I10" s="18" t="s">
        <v>1509</v>
      </c>
    </row>
    <row r="11" customFormat="false" ht="21.75" hidden="false" customHeight="true" outlineLevel="0" collapsed="false">
      <c r="A11" s="39" t="s">
        <v>1510</v>
      </c>
      <c r="B11" s="39" t="s">
        <v>1511</v>
      </c>
      <c r="C11" s="39" t="s">
        <v>1512</v>
      </c>
      <c r="D11" s="39" t="s">
        <v>1513</v>
      </c>
      <c r="E11" s="39" t="s">
        <v>1514</v>
      </c>
      <c r="F11" s="57" t="n">
        <v>254648.57</v>
      </c>
      <c r="G11" s="39" t="s">
        <v>1515</v>
      </c>
      <c r="H11" s="18" t="s">
        <v>1516</v>
      </c>
      <c r="I11" s="18" t="s">
        <v>1517</v>
      </c>
    </row>
    <row r="12" customFormat="false" ht="21.75" hidden="false" customHeight="true" outlineLevel="0" collapsed="false">
      <c r="A12" s="39" t="s">
        <v>1518</v>
      </c>
      <c r="B12" s="39" t="s">
        <v>1519</v>
      </c>
      <c r="C12" s="39" t="s">
        <v>1520</v>
      </c>
      <c r="D12" s="39" t="s">
        <v>1521</v>
      </c>
      <c r="E12" s="39" t="s">
        <v>1522</v>
      </c>
      <c r="F12" s="57" t="n">
        <v>386880</v>
      </c>
      <c r="G12" s="39" t="s">
        <v>1523</v>
      </c>
      <c r="H12" s="18" t="s">
        <v>1524</v>
      </c>
      <c r="I12" s="18" t="s">
        <v>1525</v>
      </c>
    </row>
    <row r="13" customFormat="false" ht="15" hidden="false" customHeight="true" outlineLevel="0" collapsed="false">
      <c r="A13" s="39" t="s">
        <v>1526</v>
      </c>
      <c r="B13" s="39" t="s">
        <v>1527</v>
      </c>
      <c r="C13" s="39" t="s">
        <v>1528</v>
      </c>
      <c r="D13" s="39" t="s">
        <v>1529</v>
      </c>
      <c r="E13" s="39" t="s">
        <v>1530</v>
      </c>
      <c r="F13" s="57" t="n">
        <v>724000</v>
      </c>
      <c r="G13" s="39" t="s">
        <v>1515</v>
      </c>
      <c r="H13" s="18" t="s">
        <v>1531</v>
      </c>
      <c r="I13" s="18" t="s">
        <v>1532</v>
      </c>
    </row>
    <row r="14" customFormat="false" ht="21.75" hidden="false" customHeight="true" outlineLevel="0" collapsed="false">
      <c r="A14" s="39" t="s">
        <v>1533</v>
      </c>
      <c r="B14" s="39" t="s">
        <v>1534</v>
      </c>
      <c r="C14" s="39" t="s">
        <v>1535</v>
      </c>
      <c r="D14" s="39" t="s">
        <v>1536</v>
      </c>
      <c r="E14" s="39" t="s">
        <v>1537</v>
      </c>
      <c r="F14" s="57" t="n">
        <v>165815.49</v>
      </c>
      <c r="G14" s="39" t="s">
        <v>1538</v>
      </c>
      <c r="H14" s="18" t="s">
        <v>1539</v>
      </c>
      <c r="I14" s="18" t="s">
        <v>1540</v>
      </c>
    </row>
    <row r="15" customFormat="false" ht="21.75" hidden="false" customHeight="true" outlineLevel="0" collapsed="false">
      <c r="A15" s="39" t="s">
        <v>1541</v>
      </c>
      <c r="B15" s="39" t="s">
        <v>1542</v>
      </c>
      <c r="C15" s="39" t="s">
        <v>1543</v>
      </c>
      <c r="D15" s="39" t="s">
        <v>1544</v>
      </c>
      <c r="E15" s="39" t="s">
        <v>1545</v>
      </c>
      <c r="F15" s="57" t="n">
        <v>896452.7</v>
      </c>
      <c r="G15" s="39" t="s">
        <v>1538</v>
      </c>
      <c r="H15" s="18" t="s">
        <v>1546</v>
      </c>
      <c r="I15" s="18" t="s">
        <v>1547</v>
      </c>
    </row>
    <row r="16" customFormat="false" ht="21.75" hidden="false" customHeight="true" outlineLevel="0" collapsed="false">
      <c r="A16" s="39" t="s">
        <v>1548</v>
      </c>
      <c r="B16" s="39" t="s">
        <v>1549</v>
      </c>
      <c r="C16" s="39" t="s">
        <v>1550</v>
      </c>
      <c r="D16" s="39" t="s">
        <v>1551</v>
      </c>
      <c r="E16" s="39" t="s">
        <v>1552</v>
      </c>
      <c r="F16" s="57" t="n">
        <v>17561000</v>
      </c>
      <c r="G16" s="39" t="s">
        <v>1515</v>
      </c>
      <c r="H16" s="18" t="s">
        <v>1553</v>
      </c>
      <c r="I16" s="18" t="s">
        <v>1554</v>
      </c>
    </row>
    <row r="17" customFormat="false" ht="15" hidden="false" customHeight="true" outlineLevel="0" collapsed="false">
      <c r="A17" s="39" t="s">
        <v>1555</v>
      </c>
      <c r="B17" s="39" t="s">
        <v>1556</v>
      </c>
      <c r="C17" s="39" t="s">
        <v>1557</v>
      </c>
      <c r="D17" s="39" t="s">
        <v>1558</v>
      </c>
      <c r="E17" s="39" t="s">
        <v>1559</v>
      </c>
      <c r="F17" s="57" t="n">
        <v>14600000</v>
      </c>
      <c r="G17" s="39" t="s">
        <v>1515</v>
      </c>
      <c r="H17" s="18" t="s">
        <v>1531</v>
      </c>
      <c r="I17" s="18" t="s">
        <v>1560</v>
      </c>
    </row>
    <row r="18" customFormat="false" ht="21.75" hidden="false" customHeight="true" outlineLevel="0" collapsed="false">
      <c r="A18" s="39" t="s">
        <v>1561</v>
      </c>
      <c r="B18" s="39" t="s">
        <v>1534</v>
      </c>
      <c r="C18" s="39" t="s">
        <v>1562</v>
      </c>
      <c r="D18" s="39" t="s">
        <v>1563</v>
      </c>
      <c r="E18" s="39" t="s">
        <v>1564</v>
      </c>
      <c r="F18" s="57" t="n">
        <v>75496.56</v>
      </c>
      <c r="G18" s="39" t="s">
        <v>1538</v>
      </c>
      <c r="H18" s="18" t="s">
        <v>1565</v>
      </c>
      <c r="I18" s="18" t="s">
        <v>1566</v>
      </c>
    </row>
    <row r="19" customFormat="false" ht="15" hidden="false" customHeight="true" outlineLevel="0" collapsed="false">
      <c r="A19" s="39" t="s">
        <v>1567</v>
      </c>
      <c r="B19" s="39" t="s">
        <v>1429</v>
      </c>
      <c r="C19" s="39" t="s">
        <v>1568</v>
      </c>
      <c r="D19" s="39" t="s">
        <v>1491</v>
      </c>
      <c r="E19" s="39" t="s">
        <v>1569</v>
      </c>
      <c r="F19" s="57" t="n">
        <v>757325.08</v>
      </c>
      <c r="G19" s="39" t="s">
        <v>1570</v>
      </c>
      <c r="H19" s="18" t="s">
        <v>1468</v>
      </c>
      <c r="I19" s="18" t="s">
        <v>1571</v>
      </c>
    </row>
    <row r="20" customFormat="false" ht="21.75" hidden="false" customHeight="true" outlineLevel="0" collapsed="false">
      <c r="A20" s="39" t="s">
        <v>1572</v>
      </c>
      <c r="B20" s="39" t="s">
        <v>1573</v>
      </c>
      <c r="C20" s="39" t="s">
        <v>1574</v>
      </c>
      <c r="D20" s="39" t="s">
        <v>1575</v>
      </c>
      <c r="E20" s="39" t="s">
        <v>1576</v>
      </c>
      <c r="F20" s="57" t="n">
        <v>15596702.35</v>
      </c>
      <c r="G20" s="39" t="s">
        <v>1538</v>
      </c>
      <c r="H20" s="18" t="s">
        <v>1577</v>
      </c>
      <c r="I20" s="18" t="s">
        <v>1578</v>
      </c>
    </row>
    <row r="21" customFormat="false" ht="21.75" hidden="false" customHeight="true" outlineLevel="0" collapsed="false">
      <c r="A21" s="39" t="s">
        <v>1579</v>
      </c>
      <c r="B21" s="39" t="s">
        <v>1580</v>
      </c>
      <c r="C21" s="39" t="s">
        <v>1581</v>
      </c>
      <c r="D21" s="39" t="s">
        <v>1582</v>
      </c>
      <c r="E21" s="39" t="s">
        <v>1583</v>
      </c>
      <c r="F21" s="57" t="n">
        <v>115055</v>
      </c>
      <c r="G21" s="39" t="s">
        <v>1538</v>
      </c>
      <c r="H21" s="18" t="s">
        <v>1546</v>
      </c>
      <c r="I21" s="18" t="s">
        <v>1584</v>
      </c>
    </row>
    <row r="22" customFormat="false" ht="21.75" hidden="false" customHeight="true" outlineLevel="0" collapsed="false">
      <c r="A22" s="39" t="s">
        <v>1585</v>
      </c>
      <c r="B22" s="39" t="s">
        <v>1586</v>
      </c>
      <c r="C22" s="39" t="s">
        <v>1587</v>
      </c>
      <c r="D22" s="39" t="s">
        <v>1536</v>
      </c>
      <c r="E22" s="39" t="s">
        <v>1588</v>
      </c>
      <c r="F22" s="57" t="n">
        <v>366307.56</v>
      </c>
      <c r="G22" s="39" t="s">
        <v>1538</v>
      </c>
      <c r="H22" s="18" t="s">
        <v>1589</v>
      </c>
      <c r="I22" s="18" t="s">
        <v>1590</v>
      </c>
    </row>
    <row r="23" customFormat="false" ht="21.75" hidden="false" customHeight="true" outlineLevel="0" collapsed="false">
      <c r="A23" s="39" t="s">
        <v>1591</v>
      </c>
      <c r="B23" s="39" t="s">
        <v>1592</v>
      </c>
      <c r="C23" s="39" t="s">
        <v>1593</v>
      </c>
      <c r="D23" s="39" t="s">
        <v>1594</v>
      </c>
      <c r="E23" s="39" t="s">
        <v>1595</v>
      </c>
      <c r="F23" s="57" t="n">
        <v>94998.64</v>
      </c>
      <c r="G23" s="39" t="s">
        <v>1538</v>
      </c>
      <c r="H23" s="18" t="s">
        <v>1596</v>
      </c>
      <c r="I23" s="18" t="s">
        <v>1597</v>
      </c>
    </row>
    <row r="24" customFormat="false" ht="32.25" hidden="false" customHeight="true" outlineLevel="0" collapsed="false">
      <c r="A24" s="39" t="s">
        <v>1598</v>
      </c>
      <c r="B24" s="39" t="s">
        <v>1599</v>
      </c>
      <c r="C24" s="39" t="s">
        <v>1600</v>
      </c>
      <c r="D24" s="39" t="s">
        <v>1601</v>
      </c>
      <c r="E24" s="39" t="s">
        <v>1602</v>
      </c>
      <c r="F24" s="57" t="n">
        <v>600000</v>
      </c>
      <c r="G24" s="39" t="s">
        <v>1538</v>
      </c>
      <c r="H24" s="18" t="s">
        <v>1603</v>
      </c>
      <c r="I24" s="18" t="s">
        <v>1604</v>
      </c>
    </row>
    <row r="25" customFormat="false" ht="21.75" hidden="false" customHeight="true" outlineLevel="0" collapsed="false">
      <c r="A25" s="39" t="s">
        <v>1605</v>
      </c>
      <c r="B25" s="39" t="s">
        <v>1606</v>
      </c>
      <c r="C25" s="39" t="s">
        <v>1607</v>
      </c>
      <c r="D25" s="39" t="s">
        <v>1608</v>
      </c>
      <c r="E25" s="39" t="s">
        <v>1609</v>
      </c>
      <c r="F25" s="57" t="n">
        <v>655438.22</v>
      </c>
      <c r="G25" s="39" t="s">
        <v>1610</v>
      </c>
      <c r="H25" s="18" t="s">
        <v>1611</v>
      </c>
      <c r="I25" s="18" t="s">
        <v>1612</v>
      </c>
    </row>
    <row r="26" customFormat="false" ht="15" hidden="false" customHeight="true" outlineLevel="0" collapsed="false">
      <c r="A26" s="39" t="s">
        <v>1613</v>
      </c>
      <c r="B26" s="39" t="s">
        <v>1614</v>
      </c>
      <c r="C26" s="39" t="s">
        <v>1607</v>
      </c>
      <c r="D26" s="39" t="s">
        <v>1608</v>
      </c>
      <c r="E26" s="39" t="s">
        <v>1615</v>
      </c>
      <c r="F26" s="57" t="n">
        <v>3008009.21</v>
      </c>
      <c r="G26" s="39" t="s">
        <v>1515</v>
      </c>
      <c r="H26" s="18" t="s">
        <v>1616</v>
      </c>
      <c r="I26" s="18" t="s">
        <v>1617</v>
      </c>
    </row>
    <row r="27" customFormat="false" ht="21.75" hidden="false" customHeight="true" outlineLevel="0" collapsed="false">
      <c r="A27" s="39" t="s">
        <v>1618</v>
      </c>
      <c r="B27" s="39" t="s">
        <v>1619</v>
      </c>
      <c r="C27" s="39" t="s">
        <v>1620</v>
      </c>
      <c r="D27" s="39" t="s">
        <v>1621</v>
      </c>
      <c r="E27" s="39" t="s">
        <v>1622</v>
      </c>
      <c r="F27" s="57" t="n">
        <v>2348558.5</v>
      </c>
      <c r="G27" s="39" t="s">
        <v>1515</v>
      </c>
      <c r="H27" s="18" t="s">
        <v>1616</v>
      </c>
      <c r="I27" s="18" t="s">
        <v>1623</v>
      </c>
    </row>
    <row r="28" customFormat="false" ht="21.75" hidden="false" customHeight="true" outlineLevel="0" collapsed="false">
      <c r="A28" s="39" t="s">
        <v>1624</v>
      </c>
      <c r="B28" s="39" t="s">
        <v>1625</v>
      </c>
      <c r="C28" s="39" t="s">
        <v>1626</v>
      </c>
      <c r="D28" s="39" t="s">
        <v>1627</v>
      </c>
      <c r="E28" s="39" t="s">
        <v>1628</v>
      </c>
      <c r="F28" s="57" t="n">
        <v>645564.93</v>
      </c>
      <c r="G28" s="39" t="s">
        <v>1515</v>
      </c>
      <c r="H28" s="18" t="s">
        <v>1616</v>
      </c>
      <c r="I28" s="18" t="s">
        <v>1629</v>
      </c>
    </row>
    <row r="29" customFormat="false" ht="15" hidden="false" customHeight="true" outlineLevel="0" collapsed="false">
      <c r="A29" s="39" t="s">
        <v>1630</v>
      </c>
      <c r="B29" s="39" t="s">
        <v>1631</v>
      </c>
      <c r="C29" s="39" t="s">
        <v>1632</v>
      </c>
      <c r="D29" s="39" t="s">
        <v>1633</v>
      </c>
      <c r="E29" s="39" t="s">
        <v>1634</v>
      </c>
      <c r="F29" s="57" t="n">
        <v>17659.86</v>
      </c>
      <c r="G29" s="39" t="s">
        <v>1515</v>
      </c>
      <c r="H29" s="18" t="s">
        <v>1635</v>
      </c>
      <c r="I29" s="18" t="s">
        <v>1396</v>
      </c>
    </row>
    <row r="30" customFormat="false" ht="21.75" hidden="false" customHeight="true" outlineLevel="0" collapsed="false">
      <c r="A30" s="39" t="s">
        <v>1636</v>
      </c>
      <c r="B30" s="39" t="s">
        <v>1637</v>
      </c>
      <c r="C30" s="39" t="s">
        <v>1638</v>
      </c>
      <c r="D30" s="39" t="s">
        <v>1505</v>
      </c>
      <c r="E30" s="39" t="s">
        <v>1639</v>
      </c>
      <c r="F30" s="57" t="n">
        <v>66684.04</v>
      </c>
      <c r="G30" s="39" t="s">
        <v>1640</v>
      </c>
      <c r="H30" s="18" t="s">
        <v>1641</v>
      </c>
      <c r="I30" s="18" t="s">
        <v>1642</v>
      </c>
    </row>
    <row r="31" customFormat="false" ht="21.75" hidden="false" customHeight="true" outlineLevel="0" collapsed="false">
      <c r="A31" s="39" t="s">
        <v>1643</v>
      </c>
      <c r="B31" s="39" t="s">
        <v>1619</v>
      </c>
      <c r="C31" s="39" t="s">
        <v>1644</v>
      </c>
      <c r="D31" s="39" t="s">
        <v>1645</v>
      </c>
      <c r="E31" s="39" t="s">
        <v>1646</v>
      </c>
      <c r="F31" s="57" t="n">
        <v>4376.71</v>
      </c>
      <c r="G31" s="39" t="s">
        <v>1515</v>
      </c>
      <c r="H31" s="18" t="s">
        <v>1616</v>
      </c>
      <c r="I31" s="18" t="s">
        <v>1396</v>
      </c>
    </row>
    <row r="32" customFormat="false" ht="21.75" hidden="false" customHeight="true" outlineLevel="0" collapsed="false">
      <c r="A32" s="39" t="s">
        <v>1647</v>
      </c>
      <c r="B32" s="39" t="s">
        <v>1648</v>
      </c>
      <c r="C32" s="39" t="s">
        <v>1649</v>
      </c>
      <c r="D32" s="39" t="s">
        <v>1536</v>
      </c>
      <c r="E32" s="39" t="s">
        <v>1650</v>
      </c>
      <c r="F32" s="57" t="n">
        <v>202500</v>
      </c>
      <c r="G32" s="39" t="s">
        <v>1538</v>
      </c>
      <c r="H32" s="18" t="s">
        <v>1651</v>
      </c>
      <c r="I32" s="18" t="s">
        <v>1652</v>
      </c>
    </row>
    <row r="33" customFormat="false" ht="15" hidden="false" customHeight="true" outlineLevel="0" collapsed="false">
      <c r="A33" s="39" t="s">
        <v>1653</v>
      </c>
      <c r="B33" s="39" t="s">
        <v>1654</v>
      </c>
      <c r="C33" s="39" t="s">
        <v>1655</v>
      </c>
      <c r="D33" s="39" t="s">
        <v>1645</v>
      </c>
      <c r="E33" s="39" t="s">
        <v>1656</v>
      </c>
      <c r="F33" s="57" t="n">
        <v>6950</v>
      </c>
      <c r="G33" s="39" t="s">
        <v>1515</v>
      </c>
      <c r="H33" s="18" t="s">
        <v>1657</v>
      </c>
      <c r="I33" s="18" t="s">
        <v>1396</v>
      </c>
    </row>
    <row r="34" customFormat="false" ht="21.75" hidden="false" customHeight="true" outlineLevel="0" collapsed="false">
      <c r="A34" s="39" t="s">
        <v>1658</v>
      </c>
      <c r="B34" s="39" t="s">
        <v>1659</v>
      </c>
      <c r="C34" s="39" t="s">
        <v>1660</v>
      </c>
      <c r="D34" s="39" t="s">
        <v>1491</v>
      </c>
      <c r="E34" s="39" t="s">
        <v>1661</v>
      </c>
      <c r="F34" s="57" t="n">
        <v>126347.04</v>
      </c>
      <c r="G34" s="39" t="s">
        <v>1515</v>
      </c>
      <c r="H34" s="18" t="s">
        <v>1662</v>
      </c>
      <c r="I34" s="18" t="s">
        <v>1396</v>
      </c>
    </row>
    <row r="35" customFormat="false" ht="21.75" hidden="false" customHeight="true" outlineLevel="0" collapsed="false">
      <c r="A35" s="39" t="s">
        <v>1663</v>
      </c>
      <c r="B35" s="39" t="s">
        <v>1519</v>
      </c>
      <c r="C35" s="39" t="s">
        <v>1664</v>
      </c>
      <c r="D35" s="39" t="s">
        <v>1665</v>
      </c>
      <c r="E35" s="39" t="s">
        <v>1666</v>
      </c>
      <c r="F35" s="57" t="n">
        <v>100000</v>
      </c>
      <c r="G35" s="39" t="s">
        <v>1667</v>
      </c>
      <c r="H35" s="18" t="s">
        <v>1668</v>
      </c>
      <c r="I35" s="18" t="s">
        <v>1669</v>
      </c>
    </row>
    <row r="36" customFormat="false" ht="21.75" hidden="false" customHeight="true" outlineLevel="0" collapsed="false">
      <c r="A36" s="39" t="s">
        <v>1670</v>
      </c>
      <c r="B36" s="39" t="s">
        <v>1671</v>
      </c>
      <c r="C36" s="39" t="s">
        <v>1672</v>
      </c>
      <c r="D36" s="39" t="s">
        <v>1673</v>
      </c>
      <c r="E36" s="39" t="s">
        <v>1674</v>
      </c>
      <c r="F36" s="57" t="n">
        <v>163621.16</v>
      </c>
      <c r="G36" s="39" t="s">
        <v>1515</v>
      </c>
      <c r="H36" s="18" t="s">
        <v>1675</v>
      </c>
      <c r="I36" s="18" t="s">
        <v>1676</v>
      </c>
    </row>
    <row r="37" customFormat="false" ht="21.75" hidden="false" customHeight="true" outlineLevel="0" collapsed="false">
      <c r="A37" s="39" t="s">
        <v>1677</v>
      </c>
      <c r="B37" s="39" t="s">
        <v>1678</v>
      </c>
      <c r="C37" s="39" t="s">
        <v>1679</v>
      </c>
      <c r="D37" s="39" t="s">
        <v>1680</v>
      </c>
      <c r="E37" s="39" t="s">
        <v>1681</v>
      </c>
      <c r="F37" s="57" t="n">
        <v>201244.95</v>
      </c>
      <c r="G37" s="39" t="s">
        <v>1515</v>
      </c>
      <c r="H37" s="18" t="s">
        <v>1682</v>
      </c>
      <c r="I37" s="18" t="s">
        <v>1396</v>
      </c>
    </row>
    <row r="38" customFormat="false" ht="21.75" hidden="false" customHeight="true" outlineLevel="0" collapsed="false">
      <c r="A38" s="39" t="s">
        <v>1683</v>
      </c>
      <c r="B38" s="39" t="s">
        <v>1684</v>
      </c>
      <c r="C38" s="39" t="s">
        <v>1685</v>
      </c>
      <c r="D38" s="39" t="s">
        <v>1686</v>
      </c>
      <c r="E38" s="39" t="s">
        <v>1687</v>
      </c>
      <c r="F38" s="57" t="n">
        <v>38100.81</v>
      </c>
      <c r="G38" s="39" t="s">
        <v>1515</v>
      </c>
      <c r="H38" s="18" t="s">
        <v>1688</v>
      </c>
      <c r="I38" s="18" t="s">
        <v>1396</v>
      </c>
    </row>
    <row r="39" customFormat="false" ht="15" hidden="false" customHeight="true" outlineLevel="0" collapsed="false">
      <c r="A39" s="39" t="s">
        <v>1689</v>
      </c>
      <c r="B39" s="39" t="s">
        <v>1690</v>
      </c>
      <c r="C39" s="39" t="s">
        <v>1691</v>
      </c>
      <c r="D39" s="39" t="s">
        <v>1692</v>
      </c>
      <c r="E39" s="39" t="s">
        <v>1693</v>
      </c>
      <c r="F39" s="57" t="n">
        <v>64227.6</v>
      </c>
      <c r="G39" s="39" t="s">
        <v>1515</v>
      </c>
      <c r="H39" s="18" t="s">
        <v>1694</v>
      </c>
      <c r="I39" s="18" t="s">
        <v>1396</v>
      </c>
    </row>
    <row r="40" customFormat="false" ht="15" hidden="false" customHeight="true" outlineLevel="0" collapsed="false">
      <c r="A40" s="39" t="s">
        <v>1695</v>
      </c>
      <c r="B40" s="39" t="s">
        <v>1696</v>
      </c>
      <c r="C40" s="39" t="s">
        <v>1697</v>
      </c>
      <c r="D40" s="39" t="s">
        <v>1673</v>
      </c>
      <c r="E40" s="39" t="s">
        <v>1698</v>
      </c>
      <c r="F40" s="57" t="n">
        <v>2895</v>
      </c>
      <c r="G40" s="39" t="s">
        <v>1515</v>
      </c>
      <c r="H40" s="18" t="s">
        <v>1699</v>
      </c>
      <c r="I40" s="18" t="s">
        <v>1396</v>
      </c>
    </row>
    <row r="41" customFormat="false" ht="21.75" hidden="false" customHeight="true" outlineLevel="0" collapsed="false">
      <c r="A41" s="39" t="s">
        <v>1700</v>
      </c>
      <c r="B41" s="39" t="s">
        <v>1701</v>
      </c>
      <c r="C41" s="39" t="s">
        <v>1702</v>
      </c>
      <c r="D41" s="39" t="s">
        <v>1703</v>
      </c>
      <c r="E41" s="39" t="s">
        <v>1704</v>
      </c>
      <c r="F41" s="57" t="n">
        <v>241395</v>
      </c>
      <c r="G41" s="39" t="s">
        <v>1705</v>
      </c>
      <c r="H41" s="18" t="s">
        <v>1706</v>
      </c>
      <c r="I41" s="18" t="s">
        <v>1707</v>
      </c>
    </row>
    <row r="42" customFormat="false" ht="42.75" hidden="false" customHeight="true" outlineLevel="0" collapsed="false">
      <c r="A42" s="39" t="s">
        <v>1708</v>
      </c>
      <c r="B42" s="39" t="s">
        <v>1599</v>
      </c>
      <c r="C42" s="39" t="s">
        <v>1709</v>
      </c>
      <c r="D42" s="39" t="s">
        <v>1710</v>
      </c>
      <c r="E42" s="39" t="s">
        <v>1711</v>
      </c>
      <c r="F42" s="57" t="n">
        <v>160530</v>
      </c>
      <c r="G42" s="39" t="s">
        <v>1538</v>
      </c>
      <c r="H42" s="18" t="s">
        <v>1603</v>
      </c>
      <c r="I42" s="18" t="s">
        <v>1712</v>
      </c>
    </row>
    <row r="43" customFormat="false" ht="21.75" hidden="false" customHeight="true" outlineLevel="0" collapsed="false">
      <c r="A43" s="39" t="s">
        <v>1713</v>
      </c>
      <c r="B43" s="39" t="s">
        <v>1714</v>
      </c>
      <c r="C43" s="39" t="s">
        <v>1715</v>
      </c>
      <c r="D43" s="39" t="s">
        <v>1716</v>
      </c>
      <c r="E43" s="39" t="s">
        <v>1717</v>
      </c>
      <c r="F43" s="57" t="n">
        <v>8185.21</v>
      </c>
      <c r="G43" s="39" t="s">
        <v>1718</v>
      </c>
      <c r="H43" s="18" t="s">
        <v>1719</v>
      </c>
      <c r="I43" s="18" t="s">
        <v>1720</v>
      </c>
    </row>
    <row r="44" customFormat="false" ht="21.75" hidden="false" customHeight="true" outlineLevel="0" collapsed="false">
      <c r="A44" s="39" t="s">
        <v>1721</v>
      </c>
      <c r="B44" s="39" t="s">
        <v>1722</v>
      </c>
      <c r="C44" s="39" t="s">
        <v>1723</v>
      </c>
      <c r="D44" s="39" t="s">
        <v>1724</v>
      </c>
      <c r="E44" s="39" t="s">
        <v>1725</v>
      </c>
      <c r="F44" s="57" t="n">
        <v>54996.53</v>
      </c>
      <c r="G44" s="39" t="s">
        <v>1515</v>
      </c>
      <c r="H44" s="18" t="s">
        <v>1596</v>
      </c>
      <c r="I44" s="18" t="s">
        <v>1726</v>
      </c>
    </row>
    <row r="45" customFormat="false" ht="21.75" hidden="false" customHeight="true" outlineLevel="0" collapsed="false">
      <c r="A45" s="39" t="s">
        <v>1727</v>
      </c>
      <c r="B45" s="39" t="s">
        <v>1728</v>
      </c>
      <c r="C45" s="39" t="s">
        <v>1729</v>
      </c>
      <c r="D45" s="39" t="s">
        <v>1680</v>
      </c>
      <c r="E45" s="39" t="s">
        <v>1730</v>
      </c>
      <c r="F45" s="57" t="n">
        <v>44680</v>
      </c>
      <c r="G45" s="39" t="s">
        <v>1731</v>
      </c>
      <c r="H45" s="18" t="s">
        <v>1732</v>
      </c>
      <c r="I45" s="18" t="s">
        <v>1396</v>
      </c>
    </row>
    <row r="46" customFormat="false" ht="15" hidden="false" customHeight="true" outlineLevel="0" collapsed="false">
      <c r="A46" s="39" t="s">
        <v>1733</v>
      </c>
      <c r="B46" s="39" t="s">
        <v>1734</v>
      </c>
      <c r="C46" s="39" t="s">
        <v>1735</v>
      </c>
      <c r="D46" s="39" t="s">
        <v>1536</v>
      </c>
      <c r="E46" s="39" t="s">
        <v>1736</v>
      </c>
      <c r="F46" s="57" t="n">
        <v>106301</v>
      </c>
      <c r="G46" s="39" t="s">
        <v>1737</v>
      </c>
      <c r="H46" s="18" t="s">
        <v>1738</v>
      </c>
      <c r="I46" s="18" t="s">
        <v>1739</v>
      </c>
    </row>
    <row r="47" customFormat="false" ht="21.75" hidden="false" customHeight="true" outlineLevel="0" collapsed="false">
      <c r="A47" s="39" t="s">
        <v>1740</v>
      </c>
      <c r="B47" s="39" t="s">
        <v>1741</v>
      </c>
      <c r="C47" s="39" t="s">
        <v>1742</v>
      </c>
      <c r="D47" s="39" t="s">
        <v>1710</v>
      </c>
      <c r="E47" s="39" t="s">
        <v>1743</v>
      </c>
      <c r="F47" s="57" t="n">
        <v>129732.24</v>
      </c>
      <c r="G47" s="39" t="s">
        <v>1515</v>
      </c>
      <c r="H47" s="18" t="s">
        <v>1616</v>
      </c>
      <c r="I47" s="18" t="s">
        <v>1396</v>
      </c>
    </row>
    <row r="48" customFormat="false" ht="15" hidden="false" customHeight="true" outlineLevel="0" collapsed="false">
      <c r="A48" s="39" t="s">
        <v>1744</v>
      </c>
      <c r="B48" s="39" t="s">
        <v>1745</v>
      </c>
      <c r="C48" s="39" t="s">
        <v>1746</v>
      </c>
      <c r="D48" s="39" t="s">
        <v>1747</v>
      </c>
      <c r="E48" s="39" t="s">
        <v>1748</v>
      </c>
      <c r="F48" s="57" t="n">
        <v>39904.3</v>
      </c>
      <c r="G48" s="39" t="s">
        <v>1515</v>
      </c>
      <c r="H48" s="18" t="s">
        <v>1616</v>
      </c>
      <c r="I48" s="18" t="s">
        <v>1749</v>
      </c>
    </row>
    <row r="49" customFormat="false" ht="21.75" hidden="false" customHeight="true" outlineLevel="0" collapsed="false">
      <c r="A49" s="39" t="s">
        <v>1750</v>
      </c>
      <c r="B49" s="39" t="s">
        <v>1751</v>
      </c>
      <c r="C49" s="39" t="s">
        <v>1752</v>
      </c>
      <c r="D49" s="39" t="s">
        <v>1753</v>
      </c>
      <c r="E49" s="39" t="s">
        <v>1754</v>
      </c>
      <c r="F49" s="57" t="n">
        <v>187795.83</v>
      </c>
      <c r="G49" s="39" t="s">
        <v>1515</v>
      </c>
      <c r="H49" s="18" t="s">
        <v>1616</v>
      </c>
      <c r="I49" s="18" t="s">
        <v>1396</v>
      </c>
    </row>
    <row r="50" customFormat="false" ht="21.75" hidden="false" customHeight="true" outlineLevel="0" collapsed="false">
      <c r="A50" s="39" t="s">
        <v>1755</v>
      </c>
      <c r="B50" s="39" t="s">
        <v>1756</v>
      </c>
      <c r="C50" s="39" t="s">
        <v>1757</v>
      </c>
      <c r="D50" s="39" t="s">
        <v>1758</v>
      </c>
      <c r="E50" s="39" t="s">
        <v>1759</v>
      </c>
      <c r="F50" s="57" t="n">
        <v>14368</v>
      </c>
      <c r="G50" s="39" t="s">
        <v>1515</v>
      </c>
      <c r="H50" s="18" t="s">
        <v>1596</v>
      </c>
      <c r="I50" s="18" t="s">
        <v>1396</v>
      </c>
    </row>
    <row r="51" customFormat="false" ht="21.75" hidden="false" customHeight="true" outlineLevel="0" collapsed="false">
      <c r="A51" s="39" t="s">
        <v>1760</v>
      </c>
      <c r="B51" s="39" t="s">
        <v>1761</v>
      </c>
      <c r="C51" s="39" t="s">
        <v>1762</v>
      </c>
      <c r="D51" s="39" t="s">
        <v>1763</v>
      </c>
      <c r="E51" s="39" t="s">
        <v>1764</v>
      </c>
      <c r="F51" s="57" t="n">
        <v>845227.71</v>
      </c>
      <c r="G51" s="39" t="s">
        <v>1515</v>
      </c>
      <c r="H51" s="18" t="s">
        <v>1765</v>
      </c>
      <c r="I51" s="18" t="s">
        <v>1766</v>
      </c>
    </row>
    <row r="52" customFormat="false" ht="21.75" hidden="false" customHeight="true" outlineLevel="0" collapsed="false">
      <c r="A52" s="39" t="s">
        <v>1767</v>
      </c>
      <c r="B52" s="39" t="s">
        <v>1768</v>
      </c>
      <c r="C52" s="39" t="s">
        <v>1769</v>
      </c>
      <c r="D52" s="39" t="s">
        <v>1692</v>
      </c>
      <c r="E52" s="39" t="s">
        <v>1770</v>
      </c>
      <c r="F52" s="57" t="n">
        <v>1400</v>
      </c>
      <c r="G52" s="39" t="s">
        <v>1515</v>
      </c>
      <c r="H52" s="18" t="s">
        <v>1771</v>
      </c>
      <c r="I52" s="18" t="s">
        <v>1396</v>
      </c>
    </row>
    <row r="54" customFormat="false" ht="15" hidden="false" customHeight="true" outlineLevel="0" collapsed="false">
      <c r="E54" s="60" t="s">
        <v>1772</v>
      </c>
      <c r="F54" s="59" t="n">
        <f aca="false">SUM(F4:F52)</f>
        <v>78768612.15</v>
      </c>
    </row>
    <row r="55" customFormat="false" ht="15" hidden="false" customHeight="true" outlineLevel="0" collapsed="false">
      <c r="E55" s="60" t="s">
        <v>1773</v>
      </c>
      <c r="F55" s="59" t="n">
        <f aca="false">393500+850000+2630491.47+8992832.34+546941.16+3163087.46</f>
        <v>16576852.43</v>
      </c>
    </row>
    <row r="56" customFormat="false" ht="15" hidden="false" customHeight="true" outlineLevel="0" collapsed="false">
      <c r="E56" s="60" t="s">
        <v>1774</v>
      </c>
      <c r="F56" s="59" t="n">
        <v>16576852.44</v>
      </c>
    </row>
    <row r="57" customFormat="false" ht="15" hidden="false" customHeight="true" outlineLevel="0" collapsed="false">
      <c r="E57" s="60" t="s">
        <v>1775</v>
      </c>
      <c r="F57" s="59" t="n">
        <f aca="false">F55-F56</f>
        <v>-0.00999999977648258</v>
      </c>
    </row>
  </sheetData>
  <autoFilter ref="A3:I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8"/>
    <col collapsed="false" customWidth="true" hidden="false" outlineLevel="0" max="4" min="4" style="1" width="90"/>
    <col collapsed="false" customWidth="true" hidden="false" outlineLevel="0" max="5" min="5" style="1" width="40"/>
    <col collapsed="false" customWidth="true" hidden="false" outlineLevel="0" max="6" min="6" style="1" width="50"/>
  </cols>
  <sheetData>
    <row r="1" customFormat="false" ht="15" hidden="false" customHeight="true" outlineLevel="0" collapsed="false">
      <c r="A1" s="55" t="s">
        <v>1776</v>
      </c>
    </row>
    <row r="3" customFormat="false" ht="15" hidden="false" customHeight="true" outlineLevel="0" collapsed="false">
      <c r="A3" s="68" t="s">
        <v>1777</v>
      </c>
      <c r="B3" s="68" t="s">
        <v>1778</v>
      </c>
      <c r="C3" s="68" t="s">
        <v>1779</v>
      </c>
      <c r="D3" s="68" t="s">
        <v>1780</v>
      </c>
      <c r="E3" s="68" t="s">
        <v>1781</v>
      </c>
      <c r="F3" s="68" t="s">
        <v>1782</v>
      </c>
    </row>
    <row r="4" customFormat="false" ht="32.25" hidden="false" customHeight="true" outlineLevel="0" collapsed="false">
      <c r="A4" s="18" t="s">
        <v>1783</v>
      </c>
      <c r="B4" s="18" t="s">
        <v>1784</v>
      </c>
      <c r="C4" s="18" t="s">
        <v>1785</v>
      </c>
      <c r="D4" s="18" t="s">
        <v>1786</v>
      </c>
      <c r="E4" s="18" t="s">
        <v>1787</v>
      </c>
      <c r="F4" s="18" t="s">
        <v>1788</v>
      </c>
    </row>
    <row r="5" customFormat="false" ht="21.75" hidden="false" customHeight="true" outlineLevel="0" collapsed="false">
      <c r="A5" s="18" t="s">
        <v>1789</v>
      </c>
      <c r="B5" s="18" t="s">
        <v>1790</v>
      </c>
      <c r="C5" s="18" t="s">
        <v>1785</v>
      </c>
      <c r="D5" s="18" t="s">
        <v>1791</v>
      </c>
      <c r="E5" s="18" t="s">
        <v>1792</v>
      </c>
      <c r="F5" s="18" t="s">
        <v>1341</v>
      </c>
    </row>
    <row r="6" customFormat="false" ht="32.25" hidden="false" customHeight="true" outlineLevel="0" collapsed="false">
      <c r="A6" s="18" t="s">
        <v>1793</v>
      </c>
      <c r="B6" s="18" t="s">
        <v>1794</v>
      </c>
      <c r="C6" s="18" t="s">
        <v>1795</v>
      </c>
      <c r="D6" s="18" t="s">
        <v>1796</v>
      </c>
      <c r="E6" s="18" t="s">
        <v>1797</v>
      </c>
      <c r="F6" s="18" t="s">
        <v>1798</v>
      </c>
    </row>
    <row r="7" customFormat="false" ht="21.75" hidden="false" customHeight="true" outlineLevel="0" collapsed="false">
      <c r="A7" s="18" t="s">
        <v>1799</v>
      </c>
      <c r="B7" s="18" t="s">
        <v>1800</v>
      </c>
      <c r="C7" s="18" t="s">
        <v>1801</v>
      </c>
      <c r="D7" s="18" t="s">
        <v>1802</v>
      </c>
      <c r="E7" s="18" t="s">
        <v>1803</v>
      </c>
      <c r="F7" s="18" t="s">
        <v>1804</v>
      </c>
    </row>
    <row r="8" customFormat="false" ht="21.75" hidden="false" customHeight="true" outlineLevel="0" collapsed="false">
      <c r="A8" s="18" t="s">
        <v>1805</v>
      </c>
      <c r="B8" s="18" t="s">
        <v>95</v>
      </c>
      <c r="C8" s="18" t="s">
        <v>1795</v>
      </c>
      <c r="D8" s="18" t="s">
        <v>1806</v>
      </c>
      <c r="E8" s="18" t="s">
        <v>1807</v>
      </c>
      <c r="F8" s="18" t="s">
        <v>1808</v>
      </c>
    </row>
    <row r="9" customFormat="false" ht="21.75" hidden="false" customHeight="true" outlineLevel="0" collapsed="false">
      <c r="A9" s="18" t="s">
        <v>1809</v>
      </c>
      <c r="B9" s="18" t="s">
        <v>1810</v>
      </c>
      <c r="C9" s="18" t="s">
        <v>1795</v>
      </c>
      <c r="D9" s="18" t="s">
        <v>1811</v>
      </c>
      <c r="E9" s="18" t="s">
        <v>1812</v>
      </c>
      <c r="F9" s="18" t="s">
        <v>1813</v>
      </c>
    </row>
    <row r="10" customFormat="false" ht="21.75" hidden="false" customHeight="true" outlineLevel="0" collapsed="false">
      <c r="A10" s="18" t="s">
        <v>1814</v>
      </c>
      <c r="B10" s="18" t="s">
        <v>39</v>
      </c>
      <c r="C10" s="18" t="s">
        <v>1801</v>
      </c>
      <c r="D10" s="18" t="s">
        <v>1815</v>
      </c>
      <c r="E10" s="18" t="s">
        <v>1816</v>
      </c>
      <c r="F10" s="18" t="s">
        <v>1817</v>
      </c>
    </row>
    <row r="11" customFormat="false" ht="32.25" hidden="false" customHeight="true" outlineLevel="0" collapsed="false">
      <c r="A11" s="18" t="s">
        <v>1818</v>
      </c>
      <c r="B11" s="18" t="s">
        <v>105</v>
      </c>
      <c r="C11" s="18" t="s">
        <v>1795</v>
      </c>
      <c r="D11" s="18" t="s">
        <v>1819</v>
      </c>
      <c r="E11" s="18" t="s">
        <v>1820</v>
      </c>
      <c r="F11" s="18" t="s">
        <v>1821</v>
      </c>
    </row>
    <row r="12" customFormat="false" ht="32.25" hidden="false" customHeight="true" outlineLevel="0" collapsed="false">
      <c r="A12" s="18" t="s">
        <v>1822</v>
      </c>
      <c r="B12" s="18" t="s">
        <v>105</v>
      </c>
      <c r="C12" s="18" t="s">
        <v>1795</v>
      </c>
      <c r="D12" s="18" t="s">
        <v>1823</v>
      </c>
      <c r="E12" s="18" t="s">
        <v>1824</v>
      </c>
      <c r="F12" s="18" t="s">
        <v>1825</v>
      </c>
    </row>
    <row r="13" customFormat="false" ht="32.25" hidden="false" customHeight="true" outlineLevel="0" collapsed="false">
      <c r="A13" s="18" t="s">
        <v>1826</v>
      </c>
      <c r="B13" s="18" t="s">
        <v>1827</v>
      </c>
      <c r="C13" s="18" t="s">
        <v>1828</v>
      </c>
      <c r="D13" s="18" t="s">
        <v>1829</v>
      </c>
      <c r="E13" s="18" t="s">
        <v>1830</v>
      </c>
      <c r="F13" s="18" t="s">
        <v>1831</v>
      </c>
    </row>
    <row r="14" customFormat="false" ht="21.75" hidden="false" customHeight="true" outlineLevel="0" collapsed="false">
      <c r="A14" s="18" t="s">
        <v>1832</v>
      </c>
      <c r="B14" s="18" t="s">
        <v>121</v>
      </c>
      <c r="C14" s="18" t="s">
        <v>1801</v>
      </c>
      <c r="D14" s="18" t="s">
        <v>1833</v>
      </c>
      <c r="E14" s="18" t="s">
        <v>1834</v>
      </c>
      <c r="F14" s="18" t="s">
        <v>1835</v>
      </c>
    </row>
    <row r="15" customFormat="false" ht="21.75" hidden="false" customHeight="true" outlineLevel="0" collapsed="false">
      <c r="A15" s="18" t="s">
        <v>1836</v>
      </c>
      <c r="B15" s="18" t="s">
        <v>105</v>
      </c>
      <c r="C15" s="18" t="s">
        <v>1795</v>
      </c>
      <c r="D15" s="18" t="s">
        <v>1837</v>
      </c>
      <c r="E15" s="18" t="s">
        <v>1838</v>
      </c>
      <c r="F15" s="18" t="s">
        <v>1839</v>
      </c>
    </row>
    <row r="16" customFormat="false" ht="21.75" hidden="false" customHeight="true" outlineLevel="0" collapsed="false">
      <c r="A16" s="18" t="s">
        <v>1840</v>
      </c>
      <c r="B16" s="18" t="s">
        <v>142</v>
      </c>
      <c r="C16" s="18" t="s">
        <v>1795</v>
      </c>
      <c r="D16" s="18" t="s">
        <v>1841</v>
      </c>
      <c r="E16" s="18" t="s">
        <v>1842</v>
      </c>
      <c r="F16" s="18" t="s">
        <v>1843</v>
      </c>
    </row>
    <row r="17" customFormat="false" ht="21.75" hidden="false" customHeight="true" outlineLevel="0" collapsed="false">
      <c r="A17" s="18" t="s">
        <v>1844</v>
      </c>
      <c r="B17" s="18" t="s">
        <v>142</v>
      </c>
      <c r="C17" s="18" t="s">
        <v>1828</v>
      </c>
      <c r="D17" s="18" t="s">
        <v>1845</v>
      </c>
      <c r="E17" s="18" t="s">
        <v>1846</v>
      </c>
      <c r="F17" s="18" t="s">
        <v>1847</v>
      </c>
    </row>
    <row r="18" customFormat="false" ht="21.75" hidden="false" customHeight="true" outlineLevel="0" collapsed="false">
      <c r="A18" s="18" t="s">
        <v>1848</v>
      </c>
      <c r="B18" s="18" t="s">
        <v>160</v>
      </c>
      <c r="C18" s="18" t="s">
        <v>1795</v>
      </c>
      <c r="D18" s="18" t="s">
        <v>1849</v>
      </c>
      <c r="E18" s="18" t="s">
        <v>1850</v>
      </c>
      <c r="F18" s="18" t="s">
        <v>1851</v>
      </c>
    </row>
    <row r="19" customFormat="false" ht="21.75" hidden="false" customHeight="true" outlineLevel="0" collapsed="false">
      <c r="A19" s="18" t="s">
        <v>1852</v>
      </c>
      <c r="B19" s="18" t="s">
        <v>1853</v>
      </c>
      <c r="C19" s="18" t="s">
        <v>1795</v>
      </c>
      <c r="D19" s="18" t="s">
        <v>1854</v>
      </c>
      <c r="E19" s="18" t="s">
        <v>1855</v>
      </c>
      <c r="F19" s="18" t="s">
        <v>1856</v>
      </c>
    </row>
    <row r="20" customFormat="false" ht="42.75" hidden="false" customHeight="true" outlineLevel="0" collapsed="false">
      <c r="A20" s="18" t="s">
        <v>1857</v>
      </c>
      <c r="B20" s="18" t="s">
        <v>1858</v>
      </c>
      <c r="C20" s="18" t="s">
        <v>1795</v>
      </c>
      <c r="D20" s="18" t="s">
        <v>1859</v>
      </c>
      <c r="E20" s="18" t="s">
        <v>1860</v>
      </c>
      <c r="F20" s="18" t="s">
        <v>1861</v>
      </c>
    </row>
    <row r="21" customFormat="false" ht="32.25" hidden="false" customHeight="true" outlineLevel="0" collapsed="false">
      <c r="A21" s="18" t="s">
        <v>1862</v>
      </c>
      <c r="B21" s="18" t="s">
        <v>1858</v>
      </c>
      <c r="C21" s="18" t="s">
        <v>1863</v>
      </c>
      <c r="D21" s="18" t="s">
        <v>1864</v>
      </c>
      <c r="E21" s="18" t="s">
        <v>1865</v>
      </c>
      <c r="F21" s="18" t="s">
        <v>1866</v>
      </c>
    </row>
    <row r="22" customFormat="false" ht="21.75" hidden="false" customHeight="true" outlineLevel="0" collapsed="false">
      <c r="A22" s="18" t="s">
        <v>1867</v>
      </c>
      <c r="B22" s="18" t="s">
        <v>1858</v>
      </c>
      <c r="C22" s="18" t="s">
        <v>1795</v>
      </c>
      <c r="D22" s="18" t="s">
        <v>1868</v>
      </c>
      <c r="E22" s="18" t="s">
        <v>1869</v>
      </c>
      <c r="F22" s="18" t="s">
        <v>1870</v>
      </c>
    </row>
    <row r="23" customFormat="false" ht="21.75" hidden="false" customHeight="true" outlineLevel="0" collapsed="false">
      <c r="A23" s="18" t="s">
        <v>1871</v>
      </c>
      <c r="B23" s="18" t="s">
        <v>131</v>
      </c>
      <c r="C23" s="18" t="s">
        <v>1795</v>
      </c>
      <c r="D23" s="18" t="s">
        <v>1872</v>
      </c>
      <c r="E23" s="18" t="s">
        <v>1873</v>
      </c>
      <c r="F23" s="18" t="s">
        <v>1874</v>
      </c>
    </row>
    <row r="24" customFormat="false" ht="21.75" hidden="false" customHeight="true" outlineLevel="0" collapsed="false">
      <c r="A24" s="18" t="s">
        <v>1875</v>
      </c>
      <c r="B24" s="18" t="s">
        <v>1876</v>
      </c>
      <c r="C24" s="18" t="s">
        <v>1828</v>
      </c>
      <c r="D24" s="18" t="s">
        <v>1877</v>
      </c>
      <c r="E24" s="18" t="s">
        <v>1878</v>
      </c>
      <c r="F24" s="18" t="s">
        <v>1879</v>
      </c>
    </row>
    <row r="25" customFormat="false" ht="42.75" hidden="false" customHeight="true" outlineLevel="0" collapsed="false">
      <c r="A25" s="18" t="s">
        <v>1880</v>
      </c>
      <c r="B25" s="18" t="s">
        <v>1881</v>
      </c>
      <c r="C25" s="18" t="s">
        <v>1828</v>
      </c>
      <c r="D25" s="18" t="s">
        <v>1882</v>
      </c>
      <c r="E25" s="18" t="s">
        <v>1883</v>
      </c>
      <c r="F25" s="18" t="s">
        <v>1884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2026-10-07T19:39:57Z</dcterms:created>
  <dc:creator>openpyxl</dc:creator>
  <dc:description/>
  <dc:language>en-US</dc:language>
  <cp:lastModifiedBy>rafael batista de paula</cp:lastModifiedBy>
  <dcterms:modified xsi:type="dcterms:W3CDTF">2026-10-13T15:21:26Z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