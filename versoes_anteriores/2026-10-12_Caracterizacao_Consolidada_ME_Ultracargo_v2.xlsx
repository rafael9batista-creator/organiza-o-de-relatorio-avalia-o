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LEIA-ME" sheetId="1" state="visible" r:id="rId3"/>
    <sheet name="CARACTERIZACAO" sheetId="2" state="visible" r:id="rId4"/>
    <sheet name="CONDENSADO" sheetId="3" state="visible" r:id="rId5"/>
    <sheet name="NF_ME" sheetId="4" state="visible" r:id="rId6"/>
    <sheet name="COTACOES_OPE154" sheetId="5" state="visible" r:id="rId7"/>
    <sheet name="ACHADOS_v2" sheetId="6" state="visible" r:id="rId8"/>
  </sheets>
  <definedNames>
    <definedName function="false" hidden="false" localSheetId="1" name="_xlnm.Print_Titles" vbProcedure="false">CARACTERIZACAO!$3:$3</definedName>
    <definedName function="false" hidden="true" localSheetId="1" name="_xlnm._FilterDatabase" vbProcedure="false">CARACTERIZACAO!$A$3:$X$161</definedName>
    <definedName function="false" hidden="true" localSheetId="4" name="_xlnm._FilterDatabase" vbProcedure="false">COTACOES_OPE154!$A$3:$I$52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<sst xmlns="http://schemas.openxmlformats.org/spreadsheetml/2006/main" count="3267" uniqueCount="1794">
  <si>
    <t xml:space="preserve">Caracterização consolidada de M&amp;E – Ultracargo Palmeirante-TO (base 07/10/2026; v2 de 12/10/2026 com as cotações OPE154)</t>
  </si>
  <si>
    <t xml:space="preserve">Cores do texto (descrição e colunas de dados):</t>
  </si>
  <si>
    <t xml:space="preserve">Preto – crítica de orçamento M&amp;E de 05/11/2024 (RT GEREN/COSAN 2024/189): descrição, quantidade, preços, fornecedor, Finame.</t>
  </si>
  <si>
    <t xml:space="preserve">Vermelho – relação de notas fiscais de M&amp;E do relatório de comprovação RT0538/2025 (nº, data, emitente, CNPJ, descrição resumida, valor).</t>
  </si>
  <si>
    <t xml:space="preserve">Verde – inventário Ultracargo: Base de Ativos Palmeirante (seleção SAP) – local de instalação, descrição, nº do equipamento, código ABC.</t>
  </si>
  <si>
    <t xml:space="preserve">Amarelo – listas de projeto: LI-3100-6105 (lista de linhas), LI-3100-6107 (itens especiais), LI-3100-7700 (equipamentos de segurança), DE-3100-5100 (arranjo), as-built do eletrocentro DE-3100-4300-014 e proposta VOLGA 20230138 rev. 6A.</t>
  </si>
  <si>
    <t xml:space="preserve">Azul – leitura de placa em campo (vistorias de 15, 17 e 18/09/2026 e fotos de terceiros) e relatório fotográfico da ANP de 11/04/2025.</t>
  </si>
  <si>
    <t xml:space="preserve">Estrutura: uma linha CONJUNTO por linha da crítica (22 linhas, total R$ 16.576.852,44) e, abaixo, uma linha COMPONENTE por equipamento ou parte identificada. GRUPO = NF que cobre várias linhas (14 e 15-17). As somas usam só CONJUNTO e GRUPO.</t>
  </si>
  <si>
    <t xml:space="preserve">NF por linha: a NF descreve o conjunto; as linhas de componente apontam para a NF do conjunto. Onde uma NF cobre várias linhas, a coluna "Base da atribuição" diz como foi feita (exata, decomposição aritmética, indício por descrição).</t>
  </si>
  <si>
    <t xml:space="preserve">Achado novo: as NFs KSB 34370 e 34511 decompõem-se de forma única pelos preços unitários da crítica – 34370 = 10 un. da linha 4 + linhas 5, 12 e 13; 34511 = 2 un. da linha 4 + linhas 6, 7, 8, 9 e 10. A NF 543048 fica como a linha 11.</t>
  </si>
  <si>
    <t xml:space="preserve">Achado novo: a placa KSB da B-3101 A (ANP Fig. 184) traz "Ano 07/02/2025", "RC30376" e rotor Ø465 mm – posterior à NF de 05/04/2024.</t>
  </si>
  <si>
    <t xml:space="preserve">Achado novo: as dimensões dos selos batem com as placas dos tanques – linha 15 = TQ-3103/3104; linha 16 = TQ-3109/3110; linha 17 = 2 dos 3 tanques TQ-3111/3112/3113.</t>
  </si>
  <si>
    <t xml:space="preserve">Achado novo: B-31100 = sistema de pressurização dos chuveiros de emergência (LI-3100-6107: Q 10 m³/h, AMT 57 mca, 7,5 cv), igual à placa.</t>
  </si>
  <si>
    <t xml:space="preserve">Achado novo: projeto (HC, descarga), SAP ("DESCARREG", PTM-10) e ANP Fig. 175-178 indicam que as duas bombas do skid de descarga 14d são as B-3124/B-3125 da linha 13 – possível dupla contagem (NF KSB 34370 × NF PHD 1551).</t>
  </si>
  <si>
    <t xml:space="preserve">Limites: a relação de NFs do RT0538 traz só descrição resumida (sem itens, NCM e quantidades); o detalhamento depende dos XMLs. A base SAP é a seleção enviada (não tem skids, instrumentos, selos, Megaflow nem B-31100). Não há lista de equipamentos Metroval no dossiê.</t>
  </si>
  <si>
    <t xml:space="preserve">Ilegível ou não lido fica registrado como "não lido"; nenhuma leitura de campo foi ajustada para bater com documento – divergências estão na coluna de observação.</t>
  </si>
  <si>
    <t xml:space="preserve">v2 – 12/10/2026 – o que mudou (base de 07/10 preservada nas colunas A-U; tudo que é novo está em colunas e abas à parte):</t>
  </si>
  <si>
    <t xml:space="preserve">Azul escuro (002060) – dados das propostas comerciais do OPE154_48.zip (49 PDFs: STEMAC, KSB ×2, Metroval, Romão, VOLGA, Chronus, Ecoserv, Redlands, Kidde, Endress, Solo, RI, Protego, Tecnofluid etc.). Coluna V da CARACTERIZACAO, coluna I da NF_ME e aba COTACOES_OPE154.</t>
  </si>
  <si>
    <t xml:space="preserve">Roxo (7030A0) – achados, correções e proposições do avaliador: combinação das fontes, contexto técnico ou de mercado e decisões propostas. Coluna W da CARACTERIZACAO, coluna J da NF_ME, aba ACHADOS_v2 e trechos "Novo v2" das células únicas. "CORREÇÃO v2:" marca texto que substitui o que está escrito na base (o texto da base fica, sem tachado, para rastreabilidade).</t>
  </si>
  <si>
    <t xml:space="preserve">Coluna X (CARACTERIZACAO) e aba CONDENSADO – CÉLULA ÚNICA por conjunto: reúne crítica, NF, SAP, projeto, placa/campo, observação e fotos do conjunto e de todos os seus componentes, cada trecho na cor da fonte de origem, seguidos da cotação (azul escuro) e do novo (roxo). Texto tachado = redundância (2ª ocorrência em diante de modelo, TAG, documento de projeto, frase-padrão etc. dentro da mesma célula); a 1ª ocorrência fica normal. Texto novo (roxo/azul escuro) nunca é tachado. Para os componentes não se repetem as colunas E-J (já contidas na descrição D); para o conjunto elas entram na "Ficha".</t>
  </si>
  <si>
    <t xml:space="preserve">Correção de formato na célula única: na base a coluna D estava toda na cor do 1º rótulo (NF e SAP apareciam em preto dentro de "Crítica"); na célula única cada rótulo tem a cor da legenda (NF vermelho, SAP verde, Projeto amarelo, Placa/campo azul). A coluna D original não foi alterada.</t>
  </si>
  <si>
    <t xml:space="preserve">Correções de vínculo TAG × linha pela planilha de preços KSB RAS0051138 Rev. 10 (ver ACHADOS_v2 A01/A02): linha 4 = B-3103, 3104, 3105, 3106, 3107, 3108, 3110, 3111, 3112, 3113, 3114, 3115; linha 6 = B-3116, B-3117; linha 8 = B-3120, B-3122, B-3123; linha 9 = B-3121. As linhas da base não foram movidas; a célula única já agrupa os componentes pelo vínculo corrigido e marca "[CORREÇÃO v2]" nos seis TAGs afetados.</t>
  </si>
  <si>
    <t xml:space="preserve">Limite de exibição: a célula única tem até ~25 mil caracteres; no Excel a linha mostra no máximo 409 pt de altura (aba CONDENSADO já está nessa altura, coluna de 230 de largura). Para ler tudo, use a barra de fórmulas ou copie a célula para o Word.</t>
  </si>
  <si>
    <t xml:space="preserve">Painel de congelamento da CARACTERIZACAO ajustado para D4 (na base estava em D122) e autofiltro estendido até a coluna X.</t>
  </si>
  <si>
    <t xml:space="preserve">Anexo não usado: 2026-10-11_PRE_ANALISE_UNICA_v3.zip trata da documentação das Fazendas Paloma (Paulo Roberto de Paula) e não contém nada da Ultracargo – nenhum dado dele entrou nesta planilha (ACHADOS_v2 A19).</t>
  </si>
  <si>
    <t xml:space="preserve">Caracterização consolidada de Máquinas e Equipamentos – Ultracargo Palmeirante-TO (crítica 05/11/2024 × NFs do RT0538 × base SAP × listas de projeto × campo/ANP) – posição 07/10/2026</t>
  </si>
  <si>
    <t xml:space="preserve">v2 – 12/10/2026: colunas V, W e X e abas CONDENSADO, COTACOES_OPE154 e ACHADOS_v2 (ver LEIA-ME). Colunas A-U = base de 07/10/2026 sem alteração.</t>
  </si>
  <si>
    <t xml:space="preserve">Cores do texto: preto = crítica de orçamento | vermelho = relação de notas fiscais (RT0538) | verde = inventário SAP (Base de Ativos) | amarelo = listas de projeto (LI/LM/DE, as-built, proposta) | azul = leitura de placa em campo, terceiros ou ANP. Valores: só as linhas CONJUNTO e GRUPO entram nas somas.</t>
  </si>
  <si>
    <t xml:space="preserve">Linha da crítica</t>
  </si>
  <si>
    <t xml:space="preserve">Nível</t>
  </si>
  <si>
    <t xml:space="preserve">Item / TAG</t>
  </si>
  <si>
    <t xml:space="preserve">Descrição consolidada (preto = crítica | vermelho = NF | verde = inventário SAP | amarelo = listas de projeto | azul = placa/campo/ANP)</t>
  </si>
  <si>
    <t xml:space="preserve">Marca / fabricante</t>
  </si>
  <si>
    <t xml:space="preserve">Modelo</t>
  </si>
  <si>
    <t xml:space="preserve">Capacidade / dado de trabalho</t>
  </si>
  <si>
    <t xml:space="preserve">Nº de série / OP / ID</t>
  </si>
  <si>
    <t xml:space="preserve">TAG e nº equipamento SAP</t>
  </si>
  <si>
    <t xml:space="preserve">Fabricação</t>
  </si>
  <si>
    <t xml:space="preserve">NF nº</t>
  </si>
  <si>
    <t xml:space="preserve">Data da NF</t>
  </si>
  <si>
    <t xml:space="preserve">Fornecedor da NF (CNPJ)</t>
  </si>
  <si>
    <t xml:space="preserve">Qtd (crítica)</t>
  </si>
  <si>
    <t xml:space="preserve">Valor unitário crítica (R$)</t>
  </si>
  <si>
    <t xml:space="preserve">Valor total crítica (R$)</t>
  </si>
  <si>
    <t xml:space="preserve">Valor comprovado por NF (R$)</t>
  </si>
  <si>
    <t xml:space="preserve">Diferença NF − crítica (R$)</t>
  </si>
  <si>
    <t xml:space="preserve">Base da atribuição da NF</t>
  </si>
  <si>
    <t xml:space="preserve">Observação: leituras de campo (placas/OCR) e ANP × dados teóricos</t>
  </si>
  <si>
    <t xml:space="preserve">Fotos / fontes de campo</t>
  </si>
  <si>
    <t xml:space="preserve">Cotação OPE154 (v2 – azul escuro)</t>
  </si>
  <si>
    <t xml:space="preserve">Achados / correções / proposições (v2 – roxo)</t>
  </si>
  <si>
    <t xml:space="preserve">CÉLULA ÚNICA v2 – conjunto + componentes (cores de origem; redundâncias taxadas; azul escuro = cotação; roxo = novo)</t>
  </si>
  <si>
    <t xml:space="preserve">1</t>
  </si>
  <si>
    <t xml:space="preserve">CONJUNTO</t>
  </si>
  <si>
    <t xml:space="preserve">Grupo gerador (GD-3101)</t>
  </si>
  <si>
    <r>
      <rPr>
        <b val="true"/>
        <sz val="9"/>
        <color rgb="FF000000"/>
        <rFont val="Arial"/>
        <family val="0"/>
        <charset val="1"/>
      </rPr>
      <t xml:space="preserve">Crítica: </t>
    </r>
    <r>
      <rPr>
        <sz val="9"/>
        <color rgb="FF000000"/>
        <rFont val="Arial"/>
        <family val="0"/>
        <charset val="1"/>
      </rPr>
      <t xml:space="preserve">Grupo gerador diesel, linha Global Lite, montado em contêiner, potência 575/506 kVA – 460/405 kWe (emergência/principal), trifásico, FP 0,8, 440/254 Vca, 60 Hz, funcionamento singelo e automático – 1 un. × R$ 393.500,00 = R$ 393.500,00; fornecedor Stemac SA Grupos Geradores; Finame 04105372.NF: NF 149420 de 15/12/2023 – STEMAC S.A. Grupos Geradores (CNPJ 92.753.269/0052-02): "GMG 0575KVA 440V 60HZ", R$ 393.500,00.SAP: GD-3101 GERADOR 01 – local BPAM-SELE-GER-01-01, equip. 000000123511, ABC A.</t>
    </r>
  </si>
  <si>
    <t xml:space="preserve">STEMAC (Global Lite – crítica)</t>
  </si>
  <si>
    <t xml:space="preserve">Motor Baudouin 6M21G460/6 + gerador WEG AG10 280MI30ZI</t>
  </si>
  <si>
    <t xml:space="preserve">575/506 kVA – 460/405 kWe, 440/254 V, 60 Hz (crítica); placa: ...506 kVA, 440 V, 754 A, 1800 rpm, 4.730 kg</t>
  </si>
  <si>
    <t xml:space="preserve">GMG nº 0575002423</t>
  </si>
  <si>
    <t xml:space="preserve">GD-3101 / 000000123511</t>
  </si>
  <si>
    <t xml:space="preserve">DEZ/2023</t>
  </si>
  <si>
    <t xml:space="preserve">149420</t>
  </si>
  <si>
    <t xml:space="preserve">15/12/2023</t>
  </si>
  <si>
    <t xml:space="preserve">STEMAC S.A. Grupos Geradores (92.753.269/0052-02)</t>
  </si>
  <si>
    <t xml:space="preserve">exata</t>
  </si>
  <si>
    <t xml:space="preserve">Placa STEMAC (fotos 0057-0058) confirma 440 V, 754 A, 60 Hz, 1800 rpm e potência "...506 kVA" (dígitos iniciais cortados), compatível com 506 kVA principal da crítica. Fabricação 12/2023 coerente com NF de 15/12/2023. A placa do conjunto traz o motor como s/n "123S001673" e a do motor "5123S001673" (dígito inicial) – mesma unidade. TAG não pintada em campo; SAP usa GD-3101. O catálogo do dossiê (Perkins 125 kVA) não corresponde a este bem. Sem imagem da ANP.</t>
  </si>
  <si>
    <t xml:space="preserve">0052-0060</t>
  </si>
  <si>
    <t xml:space="preserve">Cotação STEMAC nº 13107/2023 REV01 (FSP 973/2023), 29/08/2023, obra ID10874_PALMEIRANTE: 1 grupo gerador diesel Global Lite 575/506 kVA – 440/254 Vca, 60 Hz, em contêiner silenciado leve 85 dB(A) @ 1,5 m, com motor, gerador, quadro de comando e disjuntor; tanque de 650 L em polietileno na base; IP23 no gerador (contêiner IP13), forma B15T, refrigeração a água por radiador, detetores térmicos bimetálicos, porta Ethernet Modbus-TCP, amortecedores; Finame 04105372; valor total com desconto R$ 393.500,00 (ICMS 12 %, PIS/COFINS 9,25 %, IPI 0 % inclusos); frete CIF posto obra Palmeirante; prazo 120 dias; garantia 12 meses da entrega técnica (o item D004.01 "garantia 24 meses" consta como INCLUSO na lista de opcionais); faturamento STEMAC Itumbiara/GO, CNPJ 92.753.268/0052-62; documentos-base FD-E037-BPA-EL-005, MD-E037-BPA-EL-002, DE-1000-4300-004.</t>
  </si>
  <si>
    <t xml:space="preserve">A cotação STEMAC fecha com a crítica e com a NF 149420 (R$ 393.500,00, Finame 04105372). Divergência de cadastro: a proposta indica faturamento pela unidade de Itumbiara/GO com CNPJ 92.753.268/0052-62, enquanto a NF do RT0538 traz 92.753.269/0052-02 – conferir o CNPJ no XML da NF. A garantia é de 12 meses (o "D004.01 Garantia 24 meses" é um opcional listado como incluso, mas as condições comerciais fixam 12 meses da entrega técnica). Contexto: grupo gerador de emergência/stand-by (300 h/ano na proposta); motor Baudouin 6M21G460/6 (Weifang, China) de 510 kW e alternador WEG AG10 280M confirmam a configuração "Global Lite" da STEMAC. Para o relatório fotográfico: usar a placa STEMAC do conjunto (0057-0058) como imagem-chave, com recortes das placas do motor e do alternador; a TAG GD-3101 só existe no SAP.</t>
  </si>
  <si>
    <r>
      <rPr>
        <b val="true"/>
        <sz val="9"/>
        <color rgb="FF000000"/>
        <rFont val="Arial"/>
        <family val="0"/>
        <charset val="1"/>
      </rPr>
      <t xml:space="preserve">LINHA 1 – Grupo gerador (GD-3101) [CONJUNTO]
Crítica: </t>
    </r>
    <r>
      <rPr>
        <sz val="9"/>
        <color rgb="FF000000"/>
        <rFont val="Arial"/>
        <family val="0"/>
        <charset val="1"/>
      </rPr>
      <t xml:space="preserve">Grupo gerador diesel, linha Global Lite, montado em contêiner, potência 575/506 kVA – 460/405 kWe (emergência/principal), trifásico, FP 0,8, 440/254 Vca, 60 Hz, funcionamento singelo e automático – 1 un. × R$ 393.500,00 = R$ 393.500,00; fornecedor Stemac SA Grupos Geradores; Finame 04105372. </t>
    </r>
    <r>
      <rPr>
        <b val="true"/>
        <sz val="9"/>
        <color rgb="FFC00000"/>
        <rFont val="Arial"/>
        <family val="0"/>
        <charset val="1"/>
      </rPr>
      <t xml:space="preserve">NF: </t>
    </r>
    <r>
      <rPr>
        <sz val="9"/>
        <color rgb="FFC00000"/>
        <rFont val="Arial"/>
        <family val="0"/>
        <charset val="1"/>
      </rPr>
      <t xml:space="preserve">NF 149420 de 15/12/2023 – STEMAC S.A. Grupos Geradores (CNPJ 92.753.269/0052-02): "GMG 0575KVA 440V 60HZ", R$ 393.500,00. </t>
    </r>
    <r>
      <rPr>
        <b val="true"/>
        <sz val="9"/>
        <color rgb="FF00703C"/>
        <rFont val="Arial"/>
        <family val="0"/>
        <charset val="1"/>
      </rPr>
      <t xml:space="preserve">SAP: </t>
    </r>
    <r>
      <rPr>
        <strike val="true"/>
        <sz val="9"/>
        <color rgb="FF00703C"/>
        <rFont val="Arial"/>
        <family val="0"/>
        <charset val="1"/>
      </rPr>
      <t xml:space="preserve">GD-3101</t>
    </r>
    <r>
      <rPr>
        <sz val="9"/>
        <color rgb="FF00703C"/>
        <rFont val="Arial"/>
        <family val="0"/>
        <charset val="1"/>
      </rPr>
      <t xml:space="preserve"> GERADOR 01 – local BPAM-SELE-GER-01-01, equip. 000000123511, ABC A. 
</t>
    </r>
    <r>
      <rPr>
        <b val="true"/>
        <sz val="9"/>
        <color rgb="FFC00000"/>
        <rFont val="Arial"/>
        <family val="0"/>
        <charset val="1"/>
      </rPr>
      <t xml:space="preserve">NF (colunas K-Q): </t>
    </r>
    <r>
      <rPr>
        <sz val="9"/>
        <color rgb="FFC00000"/>
        <rFont val="Arial"/>
        <family val="0"/>
        <charset val="1"/>
      </rPr>
      <t xml:space="preserve">NF nº 149420 de 15/12/2023 – </t>
    </r>
    <r>
      <rPr>
        <strike val="true"/>
        <sz val="9"/>
        <color rgb="FFC00000"/>
        <rFont val="Arial"/>
        <family val="0"/>
        <charset val="1"/>
      </rPr>
      <t xml:space="preserve">STEMAC S.A. Grupos Geradores</t>
    </r>
    <r>
      <rPr>
        <sz val="9"/>
        <color rgb="FFC00000"/>
        <rFont val="Arial"/>
        <family val="0"/>
        <charset val="1"/>
      </rPr>
      <t xml:space="preserve"> (</t>
    </r>
    <r>
      <rPr>
        <strike val="true"/>
        <sz val="9"/>
        <color rgb="FFC00000"/>
        <rFont val="Arial"/>
        <family val="0"/>
        <charset val="1"/>
      </rPr>
      <t xml:space="preserve">92.753.269/0052-02</t>
    </r>
    <r>
      <rPr>
        <sz val="9"/>
        <color rgb="FFC00000"/>
        <rFont val="Arial"/>
        <family val="0"/>
        <charset val="1"/>
      </rPr>
      <t xml:space="preserve">) – valor comprovado R$ 393.500,00. </t>
    </r>
    <r>
      <rPr>
        <b val="true"/>
        <sz val="9"/>
        <color rgb="FF000000"/>
        <rFont val="Arial"/>
        <family val="0"/>
        <charset val="1"/>
      </rPr>
      <t xml:space="preserve">Atribuição: </t>
    </r>
    <r>
      <rPr>
        <sz val="9"/>
        <color rgb="FF000000"/>
        <rFont val="Arial"/>
        <family val="0"/>
        <charset val="1"/>
      </rPr>
      <t xml:space="preserve">exata. </t>
    </r>
    <r>
      <rPr>
        <b val="true"/>
        <sz val="9"/>
        <color rgb="FF000000"/>
        <rFont val="Arial"/>
        <family val="0"/>
        <charset val="1"/>
      </rPr>
      <t xml:space="preserve">Crítica (colunas N-P): </t>
    </r>
    <r>
      <rPr>
        <sz val="9"/>
        <color rgb="FF000000"/>
        <rFont val="Arial"/>
        <family val="0"/>
        <charset val="1"/>
      </rPr>
      <t xml:space="preserve">qtd 1, unitário R$ 393.500,00, total R$ 393.500,00. 
</t>
    </r>
    <r>
      <rPr>
        <b val="true"/>
        <sz val="9"/>
        <color rgb="FF000000"/>
        <rFont val="Arial"/>
        <family val="0"/>
        <charset val="1"/>
      </rPr>
      <t xml:space="preserve">Ficha (colunas E-J): </t>
    </r>
    <r>
      <rPr>
        <b val="true"/>
        <sz val="9"/>
        <color rgb="FF1F4E9A"/>
        <rFont val="Arial"/>
        <family val="0"/>
        <charset val="1"/>
      </rPr>
      <t xml:space="preserve">Marca: </t>
    </r>
    <r>
      <rPr>
        <sz val="9"/>
        <color rgb="FF1F4E9A"/>
        <rFont val="Arial"/>
        <family val="0"/>
        <charset val="1"/>
      </rPr>
      <t xml:space="preserve">STEMAC (Global Lite – crítica). </t>
    </r>
    <r>
      <rPr>
        <b val="true"/>
        <sz val="9"/>
        <color rgb="FF1F4E9A"/>
        <rFont val="Arial"/>
        <family val="0"/>
        <charset val="1"/>
      </rPr>
      <t xml:space="preserve">Modelo: </t>
    </r>
    <r>
      <rPr>
        <sz val="9"/>
        <color rgb="FF1F4E9A"/>
        <rFont val="Arial"/>
        <family val="0"/>
        <charset val="1"/>
      </rPr>
      <t xml:space="preserve">Motor Baudouin 6M21G460/6 + gerador WEG AG10 280MI30ZI. </t>
    </r>
    <r>
      <rPr>
        <b val="true"/>
        <sz val="9"/>
        <color rgb="FF000000"/>
        <rFont val="Arial"/>
        <family val="0"/>
        <charset val="1"/>
      </rPr>
      <t xml:space="preserve">Capacidade: </t>
    </r>
    <r>
      <rPr>
        <sz val="9"/>
        <color rgb="FF000000"/>
        <rFont val="Arial"/>
        <family val="0"/>
        <charset val="1"/>
      </rPr>
      <t xml:space="preserve">575/506 kVA – 460/405 kWe, 440/254 V, 60 Hz (crítica); placa: ...506 kVA, 440 V, 754 A, 1800 rpm, 4.730 kg. </t>
    </r>
    <r>
      <rPr>
        <b val="true"/>
        <sz val="9"/>
        <color rgb="FF1F4E9A"/>
        <rFont val="Arial"/>
        <family val="0"/>
        <charset val="1"/>
      </rPr>
      <t xml:space="preserve">Série/OP: </t>
    </r>
    <r>
      <rPr>
        <sz val="9"/>
        <color rgb="FF1F4E9A"/>
        <rFont val="Arial"/>
        <family val="0"/>
        <charset val="1"/>
      </rPr>
      <t xml:space="preserve">GMG nº 0575002423. </t>
    </r>
    <r>
      <rPr>
        <b val="true"/>
        <sz val="9"/>
        <color rgb="FF00703C"/>
        <rFont val="Arial"/>
        <family val="0"/>
        <charset val="1"/>
      </rPr>
      <t xml:space="preserve">TAG/SAP: </t>
    </r>
    <r>
      <rPr>
        <strike val="true"/>
        <sz val="9"/>
        <color rgb="FF00703C"/>
        <rFont val="Arial"/>
        <family val="0"/>
        <charset val="1"/>
      </rPr>
      <t xml:space="preserve">GD-3101</t>
    </r>
    <r>
      <rPr>
        <sz val="9"/>
        <color rgb="FF00703C"/>
        <rFont val="Arial"/>
        <family val="0"/>
        <charset val="1"/>
      </rPr>
      <t xml:space="preserve"> / 000000123511. </t>
    </r>
    <r>
      <rPr>
        <b val="true"/>
        <sz val="9"/>
        <color rgb="FF1F4E9A"/>
        <rFont val="Arial"/>
        <family val="0"/>
        <charset val="1"/>
      </rPr>
      <t xml:space="preserve">Fabricação: </t>
    </r>
    <r>
      <rPr>
        <sz val="9"/>
        <color rgb="FF1F4E9A"/>
        <rFont val="Arial"/>
        <family val="0"/>
        <charset val="1"/>
      </rPr>
      <t xml:space="preserve">DEZ/2023. 
</t>
    </r>
    <r>
      <rPr>
        <b val="true"/>
        <sz val="9"/>
        <color rgb="FF000000"/>
        <rFont val="Arial"/>
        <family val="0"/>
        <charset val="1"/>
      </rPr>
      <t xml:space="preserve">Obs. (coluna T): </t>
    </r>
    <r>
      <rPr>
        <sz val="9"/>
        <color rgb="FF000000"/>
        <rFont val="Arial"/>
        <family val="0"/>
        <charset val="1"/>
      </rPr>
      <t xml:space="preserve">Placa STEMAC (fotos 0057-0058) confirma 440 V, 754 A, 60 Hz, 1800 rpm e potência "...506 kVA" (dígitos iniciais cortados), compatível com 506 kVA principal da crítica. Fabricação 12/2023 coerente com NF de 15/12/2023. A placa do conjunto traz o motor como s/n "123S001673" e a do motor "5123S001673" (dígito inicial) – mesma unidade. TAG não pintada em campo; SAP usa </t>
    </r>
    <r>
      <rPr>
        <strike val="true"/>
        <sz val="9"/>
        <color rgb="FF000000"/>
        <rFont val="Arial"/>
        <family val="0"/>
        <charset val="1"/>
      </rPr>
      <t xml:space="preserve">GD-3101</t>
    </r>
    <r>
      <rPr>
        <sz val="9"/>
        <color rgb="FF000000"/>
        <rFont val="Arial"/>
        <family val="0"/>
        <charset val="1"/>
      </rPr>
      <t xml:space="preserve">. O catálogo do dossiê (Perkins 125 kVA) não corresponde a este bem. Sem imagem da ANP. </t>
    </r>
    <r>
      <rPr>
        <b val="true"/>
        <sz val="9"/>
        <color rgb="FF000000"/>
        <rFont val="Arial"/>
        <family val="0"/>
        <charset val="1"/>
      </rPr>
      <t xml:space="preserve">Fotos (coluna U): </t>
    </r>
    <r>
      <rPr>
        <sz val="9"/>
        <color rgb="FF000000"/>
        <rFont val="Arial"/>
        <family val="0"/>
        <charset val="1"/>
      </rPr>
      <t xml:space="preserve">0052-0060. 
</t>
    </r>
    <r>
      <rPr>
        <b val="true"/>
        <sz val="9"/>
        <color rgb="FF002060"/>
        <rFont val="Arial"/>
        <family val="0"/>
        <charset val="1"/>
      </rPr>
      <t xml:space="preserve">Cotação OPE154: </t>
    </r>
    <r>
      <rPr>
        <sz val="9"/>
        <color rgb="FF002060"/>
        <rFont val="Arial"/>
        <family val="0"/>
        <charset val="1"/>
      </rPr>
      <t xml:space="preserve">Cotação STEMAC nº 13107/2023 REV01 (FSP 973/2023), 29/08/2023, obra ID10874_PALMEIRANTE: 1 grupo gerador diesel Global Lite 575/506 kVA – 440/254 Vca, 60 Hz, em contêiner silenciado leve 85 dB(A) @ 1,5 m, com motor, gerador, quadro de comando e disjuntor; tanque de 650 L em polietileno na base; IP23 no gerador (contêiner IP13), forma B15T, refrigeração a água por radiador, detetores térmicos bimetálicos, porta Ethernet Modbus-TCP, amortecedores; Finame 04105372; valor total com desconto R$ 393.500,00 (ICMS 12 %, PIS/COFINS 9,25 %, IPI 0 % inclusos); frete CIF posto obra Palmeirante; prazo 120 dias; garantia 12 meses da entrega técnica (o item D004.01 "garantia 24 meses" consta como INCLUSO na lista de opcionais); faturamento STEMAC Itumbiara/GO, CNPJ 92.753.268/0052-62; documentos-base FD-E037-BPA-EL-005, MD-E037-BPA-EL-002, DE-1000-4300-004. 
</t>
    </r>
    <r>
      <rPr>
        <b val="true"/>
        <sz val="9"/>
        <color rgb="FF7030A0"/>
        <rFont val="Arial"/>
        <family val="0"/>
        <charset val="1"/>
      </rPr>
      <t xml:space="preserve">Novo v2 (achados / correções / proposições): </t>
    </r>
    <r>
      <rPr>
        <sz val="9"/>
        <color rgb="FF7030A0"/>
        <rFont val="Arial"/>
        <family val="0"/>
        <charset val="1"/>
      </rPr>
      <t xml:space="preserve">A cotação STEMAC fecha com a crítica e com a NF 149420 (R$ 393.500,00, Finame 04105372). Divergência de cadastro: a proposta indica faturamento pela unidade de Itumbiara/GO com CNPJ 92.753.268/0052-62, enquanto a NF do RT0538 traz 92.753.269/0052-02 – conferir o CNPJ no XML da NF. A garantia é de 12 meses (o "D004.01 Garantia 24 meses" é um opcional listado como incluso, mas as condições comerciais fixam 12 meses da entrega técnica). Contexto: grupo gerador de emergência/stand-by (300 h/ano na proposta); motor Baudouin 6M21G460/6 (Weifang, China) de 510 kW e alternador WEG AG10 280M confirmam a configuração "Global Lite" da STEMAC. Para o relatório fotográfico: usar a placa STEMAC do conjunto (0057-0058) como imagem-chave, com recortes das placas do motor e do alternador; a TAG GD-3101 só existe no SAP. 
</t>
    </r>
    <r>
      <rPr>
        <b val="true"/>
        <sz val="9"/>
        <color rgb="FF000000"/>
        <rFont val="Arial"/>
        <family val="0"/>
        <charset val="1"/>
      </rPr>
      <t xml:space="preserve">COMPONENTES (2):
• Motor diesel do GMG: </t>
    </r>
    <r>
      <rPr>
        <b val="true"/>
        <sz val="9"/>
        <color rgb="FF1F4E9A"/>
        <rFont val="Arial"/>
        <family val="0"/>
        <charset val="1"/>
      </rPr>
      <t xml:space="preserve">Placa/campo: </t>
    </r>
    <r>
      <rPr>
        <sz val="9"/>
        <color rgb="FF1F4E9A"/>
        <rFont val="Arial"/>
        <family val="0"/>
        <charset val="1"/>
      </rPr>
      <t xml:space="preserve">Moteurs Baudouin (Weifang) – modelo 6M21G460/6, s/n 5123S001673, ordem DHM21D0052*01, 683 HP / 510 kW, 1800 rpm, diesel. </t>
    </r>
    <r>
      <rPr>
        <b val="true"/>
        <sz val="9"/>
        <color rgb="FF000000"/>
        <rFont val="Arial"/>
        <family val="0"/>
        <charset val="1"/>
      </rPr>
      <t xml:space="preserve">Obs.: </t>
    </r>
    <r>
      <rPr>
        <sz val="9"/>
        <color rgb="FF000000"/>
        <rFont val="Arial"/>
        <family val="0"/>
        <charset val="1"/>
      </rPr>
      <t xml:space="preserve">510 kW de motor para 460 kWe de gerador (emergência) – relação coerente. Sem dado teórico próprio do motor (crítica/NF descrevem o conjunto). </t>
    </r>
    <r>
      <rPr>
        <b val="true"/>
        <sz val="9"/>
        <color rgb="FF000000"/>
        <rFont val="Arial"/>
        <family val="0"/>
        <charset val="1"/>
      </rPr>
      <t xml:space="preserve">Fotos: </t>
    </r>
    <r>
      <rPr>
        <sz val="9"/>
        <color rgb="FF000000"/>
        <rFont val="Arial"/>
        <family val="0"/>
        <charset val="1"/>
      </rPr>
      <t xml:space="preserve">0052-0055. </t>
    </r>
    <r>
      <rPr>
        <b val="true"/>
        <sz val="9"/>
        <color rgb="FF002060"/>
        <rFont val="Arial"/>
        <family val="0"/>
        <charset val="1"/>
      </rPr>
      <t xml:space="preserve">Cotação: </t>
    </r>
    <r>
      <rPr>
        <sz val="9"/>
        <color rgb="FF002060"/>
        <rFont val="Arial"/>
        <family val="0"/>
        <charset val="1"/>
      </rPr>
      <t xml:space="preserve">STEMAC 13107/2023 REV01: motor incluso no grupo Global Lite 575/506 kVA (marca não citada na proposta; a placa de campo identifica Baudouin 6M21G460/6). </t>
    </r>
    <r>
      <rPr>
        <b val="true"/>
        <sz val="9"/>
        <color rgb="FF7030A0"/>
        <rFont val="Arial"/>
        <family val="0"/>
        <charset val="1"/>
      </rPr>
      <t xml:space="preserve">Novo v2: </t>
    </r>
    <r>
      <rPr>
        <sz val="9"/>
        <color rgb="FF7030A0"/>
        <rFont val="Arial"/>
        <family val="0"/>
        <charset val="1"/>
      </rPr>
      <t xml:space="preserve">Contexto: Baudouin (Weifang Power) 6M21 = motor diesel 6 cilindros em linha, 21 L, da linha industrial de grupos geradores; 510 kW mecânicos para 460 kWe de emergência. 
</t>
    </r>
    <r>
      <rPr>
        <b val="true"/>
        <sz val="9"/>
        <color rgb="FF000000"/>
        <rFont val="Arial"/>
        <family val="0"/>
        <charset val="1"/>
      </rPr>
      <t xml:space="preserve">• Alternador (gerador) do GMG: </t>
    </r>
    <r>
      <rPr>
        <b val="true"/>
        <sz val="9"/>
        <color rgb="FF1F4E9A"/>
        <rFont val="Arial"/>
        <family val="0"/>
        <charset val="1"/>
      </rPr>
      <t xml:space="preserve">Placa/campo: </t>
    </r>
    <r>
      <rPr>
        <sz val="9"/>
        <color rgb="FF1F4E9A"/>
        <rFont val="Arial"/>
        <family val="0"/>
        <charset val="1"/>
      </rPr>
      <t xml:space="preserve">WEG AG10 280M(30Z) B15T, nº 1091387382, MAT 17548900, 11/2023. </t>
    </r>
    <r>
      <rPr>
        <b val="true"/>
        <sz val="9"/>
        <color rgb="FF000000"/>
        <rFont val="Arial"/>
        <family val="0"/>
        <charset val="1"/>
      </rPr>
      <t xml:space="preserve">Obs.: </t>
    </r>
    <r>
      <rPr>
        <sz val="9"/>
        <color rgb="FF000000"/>
        <rFont val="Arial"/>
        <family val="0"/>
        <charset val="1"/>
      </rPr>
      <t xml:space="preserve">Nº de série confirmado na placa STEMAC do conjunto (recorte). Sem dado teórico próprio. </t>
    </r>
    <r>
      <rPr>
        <b val="true"/>
        <sz val="9"/>
        <color rgb="FF000000"/>
        <rFont val="Arial"/>
        <family val="0"/>
        <charset val="1"/>
      </rPr>
      <t xml:space="preserve">Fotos: </t>
    </r>
    <r>
      <rPr>
        <sz val="9"/>
        <color rgb="FF000000"/>
        <rFont val="Arial"/>
        <family val="0"/>
        <charset val="1"/>
      </rPr>
      <t xml:space="preserve">0056, 0059, 0060. </t>
    </r>
    <r>
      <rPr>
        <b val="true"/>
        <sz val="9"/>
        <color rgb="FF002060"/>
        <rFont val="Arial"/>
        <family val="0"/>
        <charset val="1"/>
      </rPr>
      <t xml:space="preserve">Cotação: </t>
    </r>
    <r>
      <rPr>
        <sz val="9"/>
        <color rgb="FF002060"/>
        <rFont val="Arial"/>
        <family val="0"/>
        <charset val="1"/>
      </rPr>
      <t xml:space="preserve">STEMAC 13107/2023 REV01: gerador incluso, IP23, detetores térmicos bimetálicos no mancal e nos enrolamentos, forma construtiva B15T, regulação 0,5 % (folha de dados WEG citada nos desvios). </t>
    </r>
    <r>
      <rPr>
        <b val="true"/>
        <sz val="9"/>
        <color rgb="FF7030A0"/>
        <rFont val="Arial"/>
        <family val="0"/>
        <charset val="1"/>
      </rPr>
      <t xml:space="preserve">Novo v2: </t>
    </r>
    <r>
      <rPr>
        <sz val="9"/>
        <color rgb="FF7030A0"/>
        <rFont val="Arial"/>
        <family val="0"/>
        <charset val="1"/>
      </rPr>
      <t xml:space="preserve">Contexto: WEG AG10 280M = alternador síncrono trifásico sem escovas, carcaça 280, usado pela STEMAC na linha Global. </t>
    </r>
  </si>
  <si>
    <t xml:space="preserve">COMPONENTE</t>
  </si>
  <si>
    <t xml:space="preserve">Motor diesel do GMG</t>
  </si>
  <si>
    <r>
      <rPr>
        <b val="true"/>
        <sz val="9"/>
        <color rgb="FF1F4E9A"/>
        <rFont val="Arial"/>
        <family val="0"/>
        <charset val="1"/>
      </rPr>
      <t xml:space="preserve">Placa/campo: </t>
    </r>
    <r>
      <rPr>
        <sz val="9"/>
        <color rgb="FF1F4E9A"/>
        <rFont val="Arial"/>
        <family val="0"/>
        <charset val="1"/>
      </rPr>
      <t xml:space="preserve">Moteurs Baudouin (Weifang) – modelo 6M21G460/6, s/n 5123S001673, ordem DHM21D0052*01, 683 HP / 510 kW, 1800 rpm, diesel.</t>
    </r>
  </si>
  <si>
    <t xml:space="preserve">Baudouin (Weifang) Power</t>
  </si>
  <si>
    <t xml:space="preserve">6M21G460/6</t>
  </si>
  <si>
    <t xml:space="preserve">683 HP / 510 kW; 1800 rpm</t>
  </si>
  <si>
    <t xml:space="preserve">5123S001673 (ordem DHM21D0052*01)</t>
  </si>
  <si>
    <t xml:space="preserve">↑ GD-3101</t>
  </si>
  <si>
    <t xml:space="preserve">não lido</t>
  </si>
  <si>
    <t xml:space="preserve">510 kW de motor para 460 kWe de gerador (emergência) – relação coerente. Sem dado teórico próprio do motor (crítica/NF descrevem o conjunto).</t>
  </si>
  <si>
    <t xml:space="preserve">0052-0055</t>
  </si>
  <si>
    <t xml:space="preserve">STEMAC 13107/2023 REV01: motor incluso no grupo Global Lite 575/506 kVA (marca não citada na proposta; a placa de campo identifica Baudouin 6M21G460/6).</t>
  </si>
  <si>
    <t xml:space="preserve">Contexto: Baudouin (Weifang Power) 6M21 = motor diesel 6 cilindros em linha, 21 L, da linha industrial de grupos geradores; 510 kW mecânicos para 460 kWe de emergência.</t>
  </si>
  <si>
    <t xml:space="preserve">Alternador (gerador) do GMG</t>
  </si>
  <si>
    <r>
      <rPr>
        <b val="true"/>
        <sz val="9"/>
        <color rgb="FF1F4E9A"/>
        <rFont val="Arial"/>
        <family val="0"/>
        <charset val="1"/>
      </rPr>
      <t xml:space="preserve">Placa/campo: </t>
    </r>
    <r>
      <rPr>
        <sz val="9"/>
        <color rgb="FF1F4E9A"/>
        <rFont val="Arial"/>
        <family val="0"/>
        <charset val="1"/>
      </rPr>
      <t xml:space="preserve">WEG AG10 280M(30Z) B15T, nº 1091387382, MAT 17548900, 11/2023.</t>
    </r>
  </si>
  <si>
    <t xml:space="preserve">WEG</t>
  </si>
  <si>
    <t xml:space="preserve">AG10280M(30Z) B15T</t>
  </si>
  <si>
    <t xml:space="preserve">não lido na placa do alternador (ver conjunto: 506 kVA)</t>
  </si>
  <si>
    <t xml:space="preserve">1091387382</t>
  </si>
  <si>
    <t xml:space="preserve">11/2023</t>
  </si>
  <si>
    <t xml:space="preserve">Nº de série confirmado na placa STEMAC do conjunto (recorte). Sem dado teórico próprio.</t>
  </si>
  <si>
    <t xml:space="preserve">0056, 0059, 0060</t>
  </si>
  <si>
    <t xml:space="preserve">STEMAC 13107/2023 REV01: gerador incluso, IP23, detetores térmicos bimetálicos no mancal e nos enrolamentos, forma construtiva B15T, regulação 0,5 % (folha de dados WEG citada nos desvios).</t>
  </si>
  <si>
    <t xml:space="preserve">Contexto: WEG AG10 280M = alternador síncrono trifásico sem escovas, carcaça 280, usado pela STEMAC na linha Global.</t>
  </si>
  <si>
    <t xml:space="preserve">2</t>
  </si>
  <si>
    <t xml:space="preserve">Bombas SCI B-3101 A e B-3101 B</t>
  </si>
  <si>
    <r>
      <rPr>
        <b val="true"/>
        <sz val="9"/>
        <color rgb="FF000000"/>
        <rFont val="Arial"/>
        <family val="0"/>
        <charset val="1"/>
      </rPr>
      <t xml:space="preserve">Crítica: </t>
    </r>
    <r>
      <rPr>
        <sz val="9"/>
        <color rgb="FF000000"/>
        <rFont val="Arial"/>
        <family val="0"/>
        <charset val="1"/>
      </rPr>
      <t xml:space="preserve">Bomba SCI – KSB megacpk 250-200-500 – 2 un. × R$ 407.600,52 = R$ 815.201,04; fornecedor KSB Brasil Ltda; Finame 03279333.NF: NF 526572 de 05/04/2024 – KSB Brasil Ltda (CNPJ 60.680.873/0001-14): "Conjunto bomba KSB", R$ 850.000,00 – cobre as linhas 2 e 3 (815.201,04 + 34.798,96 = 850.000,00).SAP: B-3101A e B-3101B BOMBA CENTRIFUGA (BPAM-SSCI-RDA-01-01 e -04-01; equip. 000000123885 e 000000123899; ABC B).Projeto: LI-3100-7700-001: B-3101 A/B bomba centrífuga, bomba principal do sistema de combate a incêndio, cód. Ultracargo 8000012941, casa de bombas (CBI), FD-3100-2500-021 / RM-3100-2500-005; LI-3100-6105: sucção 14" do TQ-3120 (água), recalque 12"; tanques de diesel TQ-3122/TQ-3123 (linhas 0201-0204).</t>
    </r>
  </si>
  <si>
    <t xml:space="preserve">KSB (bomba) / REVIMAQ (montagem do conjunto)</t>
  </si>
  <si>
    <t xml:space="preserve">MCPK 250-200-500 GG</t>
  </si>
  <si>
    <t xml:space="preserve">Q 650,12 m³/h; H 100,04 mca; 1800 rpm (ANP Fig. 184)</t>
  </si>
  <si>
    <t xml:space="preserve">OP M482301143 (A) / M482301144 (B)</t>
  </si>
  <si>
    <t xml:space="preserve">B-3101A / 000000123885; B-3101B / 000000123899</t>
  </si>
  <si>
    <t xml:space="preserve">2024 (B); placa da A: 07/02/2025</t>
  </si>
  <si>
    <t xml:space="preserve">526572</t>
  </si>
  <si>
    <t xml:space="preserve">05/04/2024</t>
  </si>
  <si>
    <t xml:space="preserve">KSB Brasil Ltda (60.680.873/0001-14)</t>
  </si>
  <si>
    <t xml:space="preserve">NF 526572 = linhas 2 + 3 (850.000,00 exatos); parcela da linha pelo valor da crítica</t>
  </si>
  <si>
    <t xml:space="preserve">Modelo 250-200-500 confirmado pela placa KSB (ANP Fig. 184). Em campo só foram lidas as plaquetas REVIMAQ do conjunto (03/2024) – as placas KSB e dos motores diesel não foram fotografadas legíveis (foto 0018 "motor MWM?" ilegível). ATENÇÃO: a placa KSB da B-3101 A traz "Ano 07/02/2025", "RC30376" e rotor Ø465 mm – data posterior à NF (05/04/2024); indica placa refeita ou intervenção (reparo/rebaixamento de rotor). Pedir explicação. Tanques de diesel de 1.000 L com etiquetas B-3101 A/B = TQ-3122/TQ-3123 do projeto.</t>
  </si>
  <si>
    <t xml:space="preserve">0041-0043, 1003-1010 | ANP Fig. 183, 184, 199</t>
  </si>
  <si>
    <t xml:space="preserve">Cotação KSB RAS0045265 Rev. 7, 19/09/2023, "Bombas SCI da Base de Palmeirante/TO": item 1 – TAG B-3101A/B, KSB MEGACPK 250-200-500, 2 un., Finame 03279333, R$ 407.600,52/un. com impostos (ICMS 5,1394 %, PIS/COFINS 9,25 %, IPI 0 %) = R$ 815.201,04; bomba centrífuga horizontal back-pull-out acoplada a motor diesel estacionário MWM 6.12TCE, 275 kW, 1800 rpm, conforme NFPA 20 / NBR 16.704; gaxetas; mancal "medium duty" apto a 25.000 h; válvula de alívio da carcaça; manômetros com certificado RBC; base em aço estrutural; luva elástica VICFLEX; contraflanges ANSI B16.5 300#; 2 baterias 150 Ah; tanque de combustível em aço carbono de 1.000 L com visor e chave de nível (autonomia 12 h + 10 %, fornecido fora da base); painel de partida automática NFPA 20 (220 V mono) e painel local de instrumentos; resistências de aquecimento; válvula de alívio principal 6" 150# e waste cone 6×10" (1 por bomba); pintura vermelho segurança Munsell 5R4/14; documentos-base FD-E037-BPA-SG-001_01 e RM-E037-BPA-SG-001_02; prazo 150 dias; frete CIF Palmeirante sem descarga; garantia 8.000 h / 12 meses da partida / 18 meses do faturamento. Total da proposta (itens 1 + 2) R$ 850.000,00.</t>
  </si>
  <si>
    <t xml:space="preserve">A cotação KSB RAS0045265 explica o que a vistoria não leu: o motor diesel é MWM 6.12TCE de 275 kW / 1800 rpm (foto 0018 "motor MWM?" fica confirmada como MWM) e os tanques de 1.000 L em aço carbono com visor e chave de nível (TQ-3122/3123) fazem parte do fornecimento KSB – coerente com o adesivo KSB visto em campo. NF 526572 = cotação (R$ 850.000,00 para as linhas 2 + 3) – atribuição agora documentada. A placa KSB da B-3101 A com "ano 07/02/2025" continua sem explicação (cotação em 09/2023, prazo 150 dias, NF 04/2024): pedir à KSB/Ultracargo se houve troca de rotor (Ø465 mm) ou substituição da bomba. Contexto: MEGACPK 250-200-500 = bomba centrífuga horizontal back-pull-out (padrão ISO 2858/5199) de 650 m³/h a 100 mca, acionada a diesel conforme NFPA 20, com mancal apto a 25.000 h.</t>
  </si>
  <si>
    <r>
      <rPr>
        <b val="true"/>
        <sz val="9"/>
        <color rgb="FF000000"/>
        <rFont val="Arial"/>
        <family val="0"/>
        <charset val="1"/>
      </rPr>
      <t xml:space="preserve">LINHA 2 – Bombas SCI B-3101 A e B-3101 B [CONJUNTO]
Crítica: </t>
    </r>
    <r>
      <rPr>
        <sz val="9"/>
        <color rgb="FF000000"/>
        <rFont val="Arial"/>
        <family val="0"/>
        <charset val="1"/>
      </rPr>
      <t xml:space="preserve">Bomba SCI – KSB megacpk 250-200-500 – 2 un. × R$ 407.600,52 = R$ 815.201,04; fornecedor KSB Brasil Ltda; Finame 03279333. </t>
    </r>
    <r>
      <rPr>
        <b val="true"/>
        <sz val="9"/>
        <color rgb="FFC00000"/>
        <rFont val="Arial"/>
        <family val="0"/>
        <charset val="1"/>
      </rPr>
      <t xml:space="preserve">NF: </t>
    </r>
    <r>
      <rPr>
        <sz val="9"/>
        <color rgb="FFC00000"/>
        <rFont val="Arial"/>
        <family val="0"/>
        <charset val="1"/>
      </rPr>
      <t xml:space="preserve">NF 526572 de 05/04/2024 – </t>
    </r>
    <r>
      <rPr>
        <strike val="true"/>
        <sz val="9"/>
        <color rgb="FFC00000"/>
        <rFont val="Arial"/>
        <family val="0"/>
        <charset val="1"/>
      </rPr>
      <t xml:space="preserve">KSB Brasil Ltda</t>
    </r>
    <r>
      <rPr>
        <sz val="9"/>
        <color rgb="FFC00000"/>
        <rFont val="Arial"/>
        <family val="0"/>
        <charset val="1"/>
      </rPr>
      <t xml:space="preserve"> (CNPJ 60.680.873/0001-14): "Conjunto bomba KSB", R$ 850.000,00 – cobre as linhas 2 e 3 (815.201,04 + 34.798,96 = 850.000,00). </t>
    </r>
    <r>
      <rPr>
        <b val="true"/>
        <sz val="9"/>
        <color rgb="FF00703C"/>
        <rFont val="Arial"/>
        <family val="0"/>
        <charset val="1"/>
      </rPr>
      <t xml:space="preserve">SAP: </t>
    </r>
    <r>
      <rPr>
        <strike val="true"/>
        <sz val="9"/>
        <color rgb="FF00703C"/>
        <rFont val="Arial"/>
        <family val="0"/>
        <charset val="1"/>
      </rPr>
      <t xml:space="preserve">B-3101A</t>
    </r>
    <r>
      <rPr>
        <sz val="9"/>
        <color rgb="FF00703C"/>
        <rFont val="Arial"/>
        <family val="0"/>
        <charset val="1"/>
      </rPr>
      <t xml:space="preserve"> e </t>
    </r>
    <r>
      <rPr>
        <strike val="true"/>
        <sz val="9"/>
        <color rgb="FF00703C"/>
        <rFont val="Arial"/>
        <family val="0"/>
        <charset val="1"/>
      </rPr>
      <t xml:space="preserve">B-3101B</t>
    </r>
    <r>
      <rPr>
        <sz val="9"/>
        <color rgb="FF00703C"/>
        <rFont val="Arial"/>
        <family val="0"/>
        <charset val="1"/>
      </rPr>
      <t xml:space="preserve"> BOMBA CENTRIFUGA (BPAM-SSCI-RDA-01-01 e -04-01; equip. 000000123885 e 000000123899; ABC B). </t>
    </r>
    <r>
      <rPr>
        <b val="true"/>
        <sz val="9"/>
        <color rgb="FFB38600"/>
        <rFont val="Arial"/>
        <family val="0"/>
        <charset val="1"/>
      </rPr>
      <t xml:space="preserve">Projeto: </t>
    </r>
    <r>
      <rPr>
        <sz val="9"/>
        <color rgb="FFB38600"/>
        <rFont val="Arial"/>
        <family val="0"/>
        <charset val="1"/>
      </rPr>
      <t xml:space="preserve">LI-3100-7700-001: </t>
    </r>
    <r>
      <rPr>
        <strike val="true"/>
        <sz val="9"/>
        <color rgb="FFB38600"/>
        <rFont val="Arial"/>
        <family val="0"/>
        <charset val="1"/>
      </rPr>
      <t xml:space="preserve">B-3101 A</t>
    </r>
    <r>
      <rPr>
        <sz val="9"/>
        <color rgb="FFB38600"/>
        <rFont val="Arial"/>
        <family val="0"/>
        <charset val="1"/>
      </rPr>
      <t xml:space="preserve">/B bomba centrífuga, bomba principal do sistema de combate a incêndio, cód. Ultracargo 8000012941, casa de bombas (CBI), FD-3100-2500-021 / RM-3100-2500-005; LI-3100-6105: sucção 14" do TQ-3120 (água), recalque 12"; tanques de diesel TQ-3122/TQ-3123 (linhas 0201-0204). 
</t>
    </r>
    <r>
      <rPr>
        <b val="true"/>
        <sz val="9"/>
        <color rgb="FFC00000"/>
        <rFont val="Arial"/>
        <family val="0"/>
        <charset val="1"/>
      </rPr>
      <t xml:space="preserve">NF (colunas K-Q): </t>
    </r>
    <r>
      <rPr>
        <sz val="9"/>
        <color rgb="FFC00000"/>
        <rFont val="Arial"/>
        <family val="0"/>
        <charset val="1"/>
      </rPr>
      <t xml:space="preserve">NF nº 526572 de 05/04/2024 – </t>
    </r>
    <r>
      <rPr>
        <strike val="true"/>
        <sz val="9"/>
        <color rgb="FFC00000"/>
        <rFont val="Arial"/>
        <family val="0"/>
        <charset val="1"/>
      </rPr>
      <t xml:space="preserve">KSB Brasil Ltda</t>
    </r>
    <r>
      <rPr>
        <sz val="9"/>
        <color rgb="FFC00000"/>
        <rFont val="Arial"/>
        <family val="0"/>
        <charset val="1"/>
      </rPr>
      <t xml:space="preserve"> (</t>
    </r>
    <r>
      <rPr>
        <strike val="true"/>
        <sz val="9"/>
        <color rgb="FFC00000"/>
        <rFont val="Arial"/>
        <family val="0"/>
        <charset val="1"/>
      </rPr>
      <t xml:space="preserve">60.680.873/0001-14</t>
    </r>
    <r>
      <rPr>
        <sz val="9"/>
        <color rgb="FFC00000"/>
        <rFont val="Arial"/>
        <family val="0"/>
        <charset val="1"/>
      </rPr>
      <t xml:space="preserve">) – valor comprovado R$ 815.201,04. </t>
    </r>
    <r>
      <rPr>
        <b val="true"/>
        <sz val="9"/>
        <color rgb="FF000000"/>
        <rFont val="Arial"/>
        <family val="0"/>
        <charset val="1"/>
      </rPr>
      <t xml:space="preserve">Atribuição: </t>
    </r>
    <r>
      <rPr>
        <sz val="9"/>
        <color rgb="FF000000"/>
        <rFont val="Arial"/>
        <family val="0"/>
        <charset val="1"/>
      </rPr>
      <t xml:space="preserve">NF 526572 = linhas 2 + 3 (850.000,00 exatos); parcela da linha pelo valor da crítica. </t>
    </r>
    <r>
      <rPr>
        <b val="true"/>
        <sz val="9"/>
        <color rgb="FF000000"/>
        <rFont val="Arial"/>
        <family val="0"/>
        <charset val="1"/>
      </rPr>
      <t xml:space="preserve">Crítica (colunas N-P): </t>
    </r>
    <r>
      <rPr>
        <sz val="9"/>
        <color rgb="FF000000"/>
        <rFont val="Arial"/>
        <family val="0"/>
        <charset val="1"/>
      </rPr>
      <t xml:space="preserve">qtd 2, unitário R$ 407.600,52, total R$ 815.201,04. 
</t>
    </r>
    <r>
      <rPr>
        <b val="true"/>
        <sz val="9"/>
        <color rgb="FF000000"/>
        <rFont val="Arial"/>
        <family val="0"/>
        <charset val="1"/>
      </rPr>
      <t xml:space="preserve">Ficha (colunas E-J): </t>
    </r>
    <r>
      <rPr>
        <b val="true"/>
        <sz val="9"/>
        <color rgb="FF1F4E9A"/>
        <rFont val="Arial"/>
        <family val="0"/>
        <charset val="1"/>
      </rPr>
      <t xml:space="preserve">Marca: </t>
    </r>
    <r>
      <rPr>
        <sz val="9"/>
        <color rgb="FF1F4E9A"/>
        <rFont val="Arial"/>
        <family val="0"/>
        <charset val="1"/>
      </rPr>
      <t xml:space="preserve">KSB (bomba) / REVIMAQ (montagem do conjunto). </t>
    </r>
    <r>
      <rPr>
        <b val="true"/>
        <sz val="9"/>
        <color rgb="FF1F4E9A"/>
        <rFont val="Arial"/>
        <family val="0"/>
        <charset val="1"/>
      </rPr>
      <t xml:space="preserve">Modelo: </t>
    </r>
    <r>
      <rPr>
        <sz val="9"/>
        <color rgb="FF1F4E9A"/>
        <rFont val="Arial"/>
        <family val="0"/>
        <charset val="1"/>
      </rPr>
      <t xml:space="preserve">MCPK 250-200-500 GG. </t>
    </r>
    <r>
      <rPr>
        <b val="true"/>
        <sz val="9"/>
        <color rgb="FF1F4E9A"/>
        <rFont val="Arial"/>
        <family val="0"/>
        <charset val="1"/>
      </rPr>
      <t xml:space="preserve">Capacidade: </t>
    </r>
    <r>
      <rPr>
        <sz val="9"/>
        <color rgb="FF1F4E9A"/>
        <rFont val="Arial"/>
        <family val="0"/>
        <charset val="1"/>
      </rPr>
      <t xml:space="preserve">Q 650,12 m³/h; H 100,04 mca; 1800 rpm (ANP Fig. 184). </t>
    </r>
    <r>
      <rPr>
        <b val="true"/>
        <sz val="9"/>
        <color rgb="FF1F4E9A"/>
        <rFont val="Arial"/>
        <family val="0"/>
        <charset val="1"/>
      </rPr>
      <t xml:space="preserve">Série/OP: </t>
    </r>
    <r>
      <rPr>
        <sz val="9"/>
        <color rgb="FF1F4E9A"/>
        <rFont val="Arial"/>
        <family val="0"/>
        <charset val="1"/>
      </rPr>
      <t xml:space="preserve">OP M482301143 (A) / M482301144 (B). </t>
    </r>
    <r>
      <rPr>
        <b val="true"/>
        <sz val="9"/>
        <color rgb="FF00703C"/>
        <rFont val="Arial"/>
        <family val="0"/>
        <charset val="1"/>
      </rPr>
      <t xml:space="preserve">TAG/SAP: </t>
    </r>
    <r>
      <rPr>
        <strike val="true"/>
        <sz val="9"/>
        <color rgb="FF00703C"/>
        <rFont val="Arial"/>
        <family val="0"/>
        <charset val="1"/>
      </rPr>
      <t xml:space="preserve">B-3101A</t>
    </r>
    <r>
      <rPr>
        <sz val="9"/>
        <color rgb="FF00703C"/>
        <rFont val="Arial"/>
        <family val="0"/>
        <charset val="1"/>
      </rPr>
      <t xml:space="preserve"> / 000000123885; </t>
    </r>
    <r>
      <rPr>
        <strike val="true"/>
        <sz val="9"/>
        <color rgb="FF00703C"/>
        <rFont val="Arial"/>
        <family val="0"/>
        <charset val="1"/>
      </rPr>
      <t xml:space="preserve">B-3101B</t>
    </r>
    <r>
      <rPr>
        <sz val="9"/>
        <color rgb="FF00703C"/>
        <rFont val="Arial"/>
        <family val="0"/>
        <charset val="1"/>
      </rPr>
      <t xml:space="preserve"> / 000000123899. </t>
    </r>
    <r>
      <rPr>
        <b val="true"/>
        <sz val="9"/>
        <color rgb="FF1F4E9A"/>
        <rFont val="Arial"/>
        <family val="0"/>
        <charset val="1"/>
      </rPr>
      <t xml:space="preserve">Fabricação: </t>
    </r>
    <r>
      <rPr>
        <sz val="9"/>
        <color rgb="FF1F4E9A"/>
        <rFont val="Arial"/>
        <family val="0"/>
        <charset val="1"/>
      </rPr>
      <t xml:space="preserve">2024 (B); placa da A: 07/02/2025. 
</t>
    </r>
    <r>
      <rPr>
        <b val="true"/>
        <sz val="9"/>
        <color rgb="FF000000"/>
        <rFont val="Arial"/>
        <family val="0"/>
        <charset val="1"/>
      </rPr>
      <t xml:space="preserve">Obs. (coluna T): </t>
    </r>
    <r>
      <rPr>
        <sz val="9"/>
        <color rgb="FF000000"/>
        <rFont val="Arial"/>
        <family val="0"/>
        <charset val="1"/>
      </rPr>
      <t xml:space="preserve">Modelo 250-200-500 confirmado pela placa KSB (</t>
    </r>
    <r>
      <rPr>
        <strike val="true"/>
        <sz val="9"/>
        <color rgb="FF000000"/>
        <rFont val="Arial"/>
        <family val="0"/>
        <charset val="1"/>
      </rPr>
      <t xml:space="preserve">ANP Fig. 184</t>
    </r>
    <r>
      <rPr>
        <sz val="9"/>
        <color rgb="FF000000"/>
        <rFont val="Arial"/>
        <family val="0"/>
        <charset val="1"/>
      </rPr>
      <t xml:space="preserve">). Em campo só foram lidas as plaquetas REVIMAQ do conjunto (03/2024) – as placas KSB e dos motores diesel não foram fotografadas legíveis (foto 0018 "motor MWM?" ilegível). ATENÇÃO: a placa KSB da </t>
    </r>
    <r>
      <rPr>
        <strike val="true"/>
        <sz val="9"/>
        <color rgb="FF000000"/>
        <rFont val="Arial"/>
        <family val="0"/>
        <charset val="1"/>
      </rPr>
      <t xml:space="preserve">B-3101 A</t>
    </r>
    <r>
      <rPr>
        <sz val="9"/>
        <color rgb="FF000000"/>
        <rFont val="Arial"/>
        <family val="0"/>
        <charset val="1"/>
      </rPr>
      <t xml:space="preserve"> traz "Ano 07/02/2025", "RC30376" e rotor Ø465 mm – data posterior à NF (05/04/2024); indica placa refeita ou intervenção (reparo/rebaixamento de rotor). Pedir explicação. Tanques de diesel de 1.000 L com etiquetas </t>
    </r>
    <r>
      <rPr>
        <strike val="true"/>
        <sz val="9"/>
        <color rgb="FF000000"/>
        <rFont val="Arial"/>
        <family val="0"/>
        <charset val="1"/>
      </rPr>
      <t xml:space="preserve">B-3101 A</t>
    </r>
    <r>
      <rPr>
        <sz val="9"/>
        <color rgb="FF000000"/>
        <rFont val="Arial"/>
        <family val="0"/>
        <charset val="1"/>
      </rPr>
      <t xml:space="preserve">/B = </t>
    </r>
    <r>
      <rPr>
        <strike val="true"/>
        <sz val="9"/>
        <color rgb="FF000000"/>
        <rFont val="Arial"/>
        <family val="0"/>
        <charset val="1"/>
      </rPr>
      <t xml:space="preserve">TQ-3122</t>
    </r>
    <r>
      <rPr>
        <sz val="9"/>
        <color rgb="FF000000"/>
        <rFont val="Arial"/>
        <family val="0"/>
        <charset val="1"/>
      </rPr>
      <t xml:space="preserve">/</t>
    </r>
    <r>
      <rPr>
        <strike val="true"/>
        <sz val="9"/>
        <color rgb="FF000000"/>
        <rFont val="Arial"/>
        <family val="0"/>
        <charset val="1"/>
      </rPr>
      <t xml:space="preserve">TQ-3123</t>
    </r>
    <r>
      <rPr>
        <sz val="9"/>
        <color rgb="FF000000"/>
        <rFont val="Arial"/>
        <family val="0"/>
        <charset val="1"/>
      </rPr>
      <t xml:space="preserve"> do projeto. </t>
    </r>
    <r>
      <rPr>
        <b val="true"/>
        <sz val="9"/>
        <color rgb="FF000000"/>
        <rFont val="Arial"/>
        <family val="0"/>
        <charset val="1"/>
      </rPr>
      <t xml:space="preserve">Fotos (coluna U): </t>
    </r>
    <r>
      <rPr>
        <sz val="9"/>
        <color rgb="FF000000"/>
        <rFont val="Arial"/>
        <family val="0"/>
        <charset val="1"/>
      </rPr>
      <t xml:space="preserve">0041-0043, 1003-1010 | ANP Fig. 183, 184, 199. 
</t>
    </r>
    <r>
      <rPr>
        <b val="true"/>
        <sz val="9"/>
        <color rgb="FF002060"/>
        <rFont val="Arial"/>
        <family val="0"/>
        <charset val="1"/>
      </rPr>
      <t xml:space="preserve">Cotação OPE154: </t>
    </r>
    <r>
      <rPr>
        <sz val="9"/>
        <color rgb="FF002060"/>
        <rFont val="Arial"/>
        <family val="0"/>
        <charset val="1"/>
      </rPr>
      <t xml:space="preserve">Cotação KSB RAS0045265 Rev. 7, 19/09/2023, "Bombas SCI da Base de Palmeirante/TO": item 1 – TAG B-3101A/B, KSB MEGACPK 250-200-500, 2 un., Finame 03279333, R$ 407.600,52/un. com impostos (ICMS 5,1394 %, PIS/COFINS 9,25 %, IPI 0 %) = R$ 815.201,04; bomba centrífuga horizontal back-pull-out acoplada a motor diesel estacionário MWM 6.12TCE, 275 kW, 1800 rpm, conforme NFPA 20 / NBR 16.704; gaxetas; mancal "medium duty" apto a 25.000 h; válvula de alívio da carcaça; manômetros com certificado RBC; base em aço estrutural; luva elástica VICFLEX; contraflanges ANSI B16.5 300#; 2 baterias 150 Ah; tanque de combustível em aço carbono de 1.000 L com visor e chave de nível (autonomia 12 h + 10 %, fornecido fora da base); painel de partida automática NFPA 20 (220 V mono) e painel local de instrumentos; resistências de aquecimento; válvula de alívio principal 6" 150# e waste cone 6×10" (1 por bomba); pintura vermelho segurança Munsell 5R4/14; documentos-base FD-E037-BPA-SG-001_01 e RM-E037-BPA-SG-001_02; prazo 150 dias; frete CIF Palmeirante sem descarga; garantia 8.000 h / 12 meses da partida / 18 meses do faturamento. Total da proposta (itens 1 + 2) R$ 850.000,00. 
</t>
    </r>
    <r>
      <rPr>
        <b val="true"/>
        <sz val="9"/>
        <color rgb="FF7030A0"/>
        <rFont val="Arial"/>
        <family val="0"/>
        <charset val="1"/>
      </rPr>
      <t xml:space="preserve">Novo v2 (achados / correções / proposições): </t>
    </r>
    <r>
      <rPr>
        <sz val="9"/>
        <color rgb="FF7030A0"/>
        <rFont val="Arial"/>
        <family val="0"/>
        <charset val="1"/>
      </rPr>
      <t xml:space="preserve">A cotação KSB RAS0045265 explica o que a vistoria não leu: o motor diesel é MWM 6.12TCE de 275 kW / 1800 rpm (foto 0018 "motor MWM?" fica confirmada como MWM) e os tanques de 1.000 L em aço carbono com visor e chave de nível (TQ-3122/3123) fazem parte do fornecimento KSB – coerente com o adesivo KSB visto em campo. NF 526572 = cotação (R$ 850.000,00 para as linhas 2 + 3) – atribuição agora documentada. A placa KSB da B-3101 A com "ano 07/02/2025" continua sem explicação (cotação em 09/2023, prazo 150 dias, NF 04/2024): pedir à KSB/Ultracargo se houve troca de rotor (Ø465 mm) ou substituição da bomba. Contexto: MEGACPK 250-200-500 = bomba centrífuga horizontal back-pull-out (padrão ISO 2858/5199) de 650 m³/h a 100 mca, acionada a diesel conforme NFPA 20, com mancal apto a 25.000 h. 
</t>
    </r>
    <r>
      <rPr>
        <b val="true"/>
        <sz val="9"/>
        <color rgb="FF000000"/>
        <rFont val="Arial"/>
        <family val="0"/>
        <charset val="1"/>
      </rPr>
      <t xml:space="preserve">COMPONENTES (3):
• B-3101A: </t>
    </r>
    <r>
      <rPr>
        <b val="true"/>
        <sz val="9"/>
        <color rgb="FF00703C"/>
        <rFont val="Arial"/>
        <family val="0"/>
        <charset val="1"/>
      </rPr>
      <t xml:space="preserve">SAP: </t>
    </r>
    <r>
      <rPr>
        <strike val="true"/>
        <sz val="9"/>
        <color rgb="FF00703C"/>
        <rFont val="Arial"/>
        <family val="0"/>
        <charset val="1"/>
      </rPr>
      <t xml:space="preserve">B-3101A</t>
    </r>
    <r>
      <rPr>
        <sz val="9"/>
        <color rgb="FF00703C"/>
        <rFont val="Arial"/>
        <family val="0"/>
        <charset val="1"/>
      </rPr>
      <t xml:space="preserve"> </t>
    </r>
    <r>
      <rPr>
        <strike val="true"/>
        <sz val="9"/>
        <color rgb="FF00703C"/>
        <rFont val="Arial"/>
        <family val="0"/>
        <charset val="1"/>
      </rPr>
      <t xml:space="preserve">BOMBA CENTRIFUGA</t>
    </r>
    <r>
      <rPr>
        <sz val="9"/>
        <color rgb="FF00703C"/>
        <rFont val="Arial"/>
        <family val="0"/>
        <charset val="1"/>
      </rPr>
      <t xml:space="preserve"> – local BPAM-SSCI-RDA-01-01, equip. 000000123885, </t>
    </r>
    <r>
      <rPr>
        <strike val="true"/>
        <sz val="9"/>
        <color rgb="FF00703C"/>
        <rFont val="Arial"/>
        <family val="0"/>
        <charset val="1"/>
      </rPr>
      <t xml:space="preserve">ABC B</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REVIMAQ ORC 77532 / OS 63419 / OV 9975318361-000100, 03/2024, 220 VCA / 12 VCC; </t>
    </r>
    <r>
      <rPr>
        <strike val="true"/>
        <sz val="9"/>
        <color rgb="FF1F4E9A"/>
        <rFont val="Arial"/>
        <family val="0"/>
        <charset val="1"/>
      </rPr>
      <t xml:space="preserve">ANP Fig. 184</t>
    </r>
    <r>
      <rPr>
        <sz val="9"/>
        <color rgb="FF1F4E9A"/>
        <rFont val="Arial"/>
        <family val="0"/>
        <charset val="1"/>
      </rPr>
      <t xml:space="preserve">: KSB </t>
    </r>
    <r>
      <rPr>
        <strike val="true"/>
        <sz val="9"/>
        <color rgb="FF1F4E9A"/>
        <rFont val="Arial"/>
        <family val="0"/>
        <charset val="1"/>
      </rPr>
      <t xml:space="preserve">MCPK 250-200-500 GG</t>
    </r>
    <r>
      <rPr>
        <sz val="9"/>
        <color rgb="FF1F4E9A"/>
        <rFont val="Arial"/>
        <family val="0"/>
        <charset val="1"/>
      </rPr>
      <t xml:space="preserve">, OP M482301143, Q 650,12 m³/h, H 100,04 mca, 1800 rpm, Ø465 mm, RC30376, ano 07/02/2025. </t>
    </r>
    <r>
      <rPr>
        <b val="true"/>
        <sz val="9"/>
        <color rgb="FF000000"/>
        <rFont val="Arial"/>
        <family val="0"/>
        <charset val="1"/>
      </rPr>
      <t xml:space="preserve">Obs.: </t>
    </r>
    <r>
      <rPr>
        <sz val="9"/>
        <color rgb="FF000000"/>
        <rFont val="Arial"/>
        <family val="0"/>
        <charset val="1"/>
      </rPr>
      <t xml:space="preserve">Campo: "bomba principal de incêndio". Projeto e SAP: bomba principal do SCI. Dados KSB só na ANP; motor diesel sem placa lida. Placa KSB com data 07/02/2025 posterior à NF. </t>
    </r>
    <r>
      <rPr>
        <b val="true"/>
        <sz val="9"/>
        <color rgb="FF000000"/>
        <rFont val="Arial"/>
        <family val="0"/>
        <charset val="1"/>
      </rPr>
      <t xml:space="preserve">Fotos: </t>
    </r>
    <r>
      <rPr>
        <sz val="9"/>
        <color rgb="FF000000"/>
        <rFont val="Arial"/>
        <family val="0"/>
        <charset val="1"/>
      </rPr>
      <t xml:space="preserve">0042 | </t>
    </r>
    <r>
      <rPr>
        <strike val="true"/>
        <sz val="9"/>
        <color rgb="FF000000"/>
        <rFont val="Arial"/>
        <family val="0"/>
        <charset val="1"/>
      </rPr>
      <t xml:space="preserve">ANP Fig. 184</t>
    </r>
    <r>
      <rPr>
        <sz val="9"/>
        <color rgb="FF000000"/>
        <rFont val="Arial"/>
        <family val="0"/>
        <charset val="1"/>
      </rPr>
      <t xml:space="preserve">. </t>
    </r>
    <r>
      <rPr>
        <b val="true"/>
        <sz val="9"/>
        <color rgb="FF002060"/>
        <rFont val="Arial"/>
        <family val="0"/>
        <charset val="1"/>
      </rPr>
      <t xml:space="preserve">Cotação: </t>
    </r>
    <r>
      <rPr>
        <sz val="9"/>
        <color rgb="FF002060"/>
        <rFont val="Arial"/>
        <family val="0"/>
        <charset val="1"/>
      </rPr>
      <t xml:space="preserve">KSB RAS0045265 Rev. 7 (19/09/2023), item 1: TAG B-3101A/B, MEGACPK 250-200-500 com motor diesel MWM 6.12TCE 275 kW 1800 rpm, tanque 1.000 L, painel NFPA 20; R$ 407.600,52/un. com impostos; Finame 03279333. </t>
    </r>
    <r>
      <rPr>
        <b val="true"/>
        <sz val="9"/>
        <color rgb="FF7030A0"/>
        <rFont val="Arial"/>
        <family val="0"/>
        <charset val="1"/>
      </rPr>
      <t xml:space="preserve">Novo v2: </t>
    </r>
    <r>
      <rPr>
        <sz val="9"/>
        <color rgb="FF7030A0"/>
        <rFont val="Arial"/>
        <family val="0"/>
        <charset val="1"/>
      </rPr>
      <t xml:space="preserve">Motor diesel = MWM 6.12TCE 275 kW 1800 rpm (cotação KSB). Placa KSB com ano 07/02/2025 posterior à NF – pedir explicação (troca de rotor Ø465 mm?). 
</t>
    </r>
    <r>
      <rPr>
        <b val="true"/>
        <sz val="9"/>
        <color rgb="FF000000"/>
        <rFont val="Arial"/>
        <family val="0"/>
        <charset val="1"/>
      </rPr>
      <t xml:space="preserve">• B-3101B: </t>
    </r>
    <r>
      <rPr>
        <b val="true"/>
        <sz val="9"/>
        <color rgb="FF00703C"/>
        <rFont val="Arial"/>
        <family val="0"/>
        <charset val="1"/>
      </rPr>
      <t xml:space="preserve">SAP: </t>
    </r>
    <r>
      <rPr>
        <strike val="true"/>
        <sz val="9"/>
        <color rgb="FF00703C"/>
        <rFont val="Arial"/>
        <family val="0"/>
        <charset val="1"/>
      </rPr>
      <t xml:space="preserve">B-3101B</t>
    </r>
    <r>
      <rPr>
        <sz val="9"/>
        <color rgb="FF00703C"/>
        <rFont val="Arial"/>
        <family val="0"/>
        <charset val="1"/>
      </rPr>
      <t xml:space="preserve"> </t>
    </r>
    <r>
      <rPr>
        <strike val="true"/>
        <sz val="9"/>
        <color rgb="FF00703C"/>
        <rFont val="Arial"/>
        <family val="0"/>
        <charset val="1"/>
      </rPr>
      <t xml:space="preserve">BOMBA CENTRIFUGA</t>
    </r>
    <r>
      <rPr>
        <sz val="9"/>
        <color rgb="FF00703C"/>
        <rFont val="Arial"/>
        <family val="0"/>
        <charset val="1"/>
      </rPr>
      <t xml:space="preserve"> – local BPAM-SSCI-RDA-04-01, equip. 000000123899, </t>
    </r>
    <r>
      <rPr>
        <strike val="true"/>
        <sz val="9"/>
        <color rgb="FF00703C"/>
        <rFont val="Arial"/>
        <family val="0"/>
        <charset val="1"/>
      </rPr>
      <t xml:space="preserve">ABC B</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REVIMAQ ORC 77533 / OS 63420 / OV 9975318361-100, 03/2024, 220 VCA / 12 VCC; </t>
    </r>
    <r>
      <rPr>
        <strike val="true"/>
        <sz val="9"/>
        <color rgb="FF1F4E9A"/>
        <rFont val="Arial"/>
        <family val="0"/>
        <charset val="1"/>
      </rPr>
      <t xml:space="preserve">ANP Fig. 184</t>
    </r>
    <r>
      <rPr>
        <sz val="9"/>
        <color rgb="FF1F4E9A"/>
        <rFont val="Arial"/>
        <family val="0"/>
        <charset val="1"/>
      </rPr>
      <t xml:space="preserve">: </t>
    </r>
    <r>
      <rPr>
        <strike val="true"/>
        <sz val="9"/>
        <color rgb="FF1F4E9A"/>
        <rFont val="Arial"/>
        <family val="0"/>
        <charset val="1"/>
      </rPr>
      <t xml:space="preserve">KSB MCPK 250-200-500 GG</t>
    </r>
    <r>
      <rPr>
        <sz val="9"/>
        <color rgb="FF1F4E9A"/>
        <rFont val="Arial"/>
        <family val="0"/>
        <charset val="1"/>
      </rPr>
      <t xml:space="preserve">, OP M482301144, Q 650,12 m³/h, H 100,04 mca, 1800 rpm, 470 kg, 2024. </t>
    </r>
    <r>
      <rPr>
        <b val="true"/>
        <sz val="9"/>
        <color rgb="FF000000"/>
        <rFont val="Arial"/>
        <family val="0"/>
        <charset val="1"/>
      </rPr>
      <t xml:space="preserve">Obs.: </t>
    </r>
    <r>
      <rPr>
        <sz val="9"/>
        <color rgb="FF000000"/>
        <rFont val="Arial"/>
        <family val="0"/>
        <charset val="1"/>
      </rPr>
      <t xml:space="preserve">Campo: "bomba de incêndio (diesel)". </t>
    </r>
    <r>
      <rPr>
        <strike val="true"/>
        <sz val="9"/>
        <color rgb="FF000000"/>
        <rFont val="Arial"/>
        <family val="0"/>
        <charset val="1"/>
      </rPr>
      <t xml:space="preserve">Projeto e SAP: bomba principal do SCI.</t>
    </r>
    <r>
      <rPr>
        <sz val="9"/>
        <color rgb="FF000000"/>
        <rFont val="Arial"/>
        <family val="0"/>
        <charset val="1"/>
      </rPr>
      <t xml:space="preserve"> </t>
    </r>
    <r>
      <rPr>
        <strike val="true"/>
        <sz val="9"/>
        <color rgb="FF000000"/>
        <rFont val="Arial"/>
        <family val="0"/>
        <charset val="1"/>
      </rPr>
      <t xml:space="preserve">Dados KSB só na ANP; motor diesel sem placa lida.</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0043 | </t>
    </r>
    <r>
      <rPr>
        <strike val="true"/>
        <sz val="9"/>
        <color rgb="FF000000"/>
        <rFont val="Arial"/>
        <family val="0"/>
        <charset val="1"/>
      </rPr>
      <t xml:space="preserve">ANP Fig. 184</t>
    </r>
    <r>
      <rPr>
        <sz val="9"/>
        <color rgb="FF000000"/>
        <rFont val="Arial"/>
        <family val="0"/>
        <charset val="1"/>
      </rPr>
      <t xml:space="preserve">. </t>
    </r>
    <r>
      <rPr>
        <b val="true"/>
        <sz val="9"/>
        <color rgb="FF002060"/>
        <rFont val="Arial"/>
        <family val="0"/>
        <charset val="1"/>
      </rPr>
      <t xml:space="preserve">Cotação: </t>
    </r>
    <r>
      <rPr>
        <sz val="9"/>
        <color rgb="FF002060"/>
        <rFont val="Arial"/>
        <family val="0"/>
        <charset val="1"/>
      </rPr>
      <t xml:space="preserve">KSB RAS0045265 Rev. 7 (19/09/2023), item 1: TAG B-3101A/B, MEGACPK 250-200-500 com motor diesel MWM 6.12TCE 275 kW 1800 rpm, tanque 1.000 L, painel NFPA 20; R$ 407.600,52/un. com impostos; Finame 03279333. </t>
    </r>
    <r>
      <rPr>
        <b val="true"/>
        <sz val="9"/>
        <color rgb="FF7030A0"/>
        <rFont val="Arial"/>
        <family val="0"/>
        <charset val="1"/>
      </rPr>
      <t xml:space="preserve">Novo v2: </t>
    </r>
    <r>
      <rPr>
        <sz val="9"/>
        <color rgb="FF7030A0"/>
        <rFont val="Arial"/>
        <family val="0"/>
        <charset val="1"/>
      </rPr>
      <t xml:space="preserve">Motor diesel = MWM 6.12TCE 275 kW 1800 rpm (cotação KSB). 
</t>
    </r>
    <r>
      <rPr>
        <b val="true"/>
        <sz val="9"/>
        <color rgb="FF000000"/>
        <rFont val="Arial"/>
        <family val="0"/>
        <charset val="1"/>
      </rPr>
      <t xml:space="preserve">• TQ-3122 / TQ-3123 (tanques diesel das motobombas): </t>
    </r>
    <r>
      <rPr>
        <b val="true"/>
        <sz val="9"/>
        <color rgb="FFB38600"/>
        <rFont val="Arial"/>
        <family val="0"/>
        <charset val="1"/>
      </rPr>
      <t xml:space="preserve">Projeto: </t>
    </r>
    <r>
      <rPr>
        <strike val="true"/>
        <sz val="9"/>
        <color rgb="FFB38600"/>
        <rFont val="Arial"/>
        <family val="0"/>
        <charset val="1"/>
      </rPr>
      <t xml:space="preserve">LI-3100-6105</t>
    </r>
    <r>
      <rPr>
        <sz val="9"/>
        <color rgb="FFB38600"/>
        <rFont val="Arial"/>
        <family val="0"/>
        <charset val="1"/>
      </rPr>
      <t xml:space="preserve">: linhas 0201-0204 de 3/4" ligando </t>
    </r>
    <r>
      <rPr>
        <strike val="true"/>
        <sz val="9"/>
        <color rgb="FFB38600"/>
        <rFont val="Arial"/>
        <family val="0"/>
        <charset val="1"/>
      </rPr>
      <t xml:space="preserve">TQ-3123</t>
    </r>
    <r>
      <rPr>
        <sz val="9"/>
        <color rgb="FFB38600"/>
        <rFont val="Arial"/>
        <family val="0"/>
        <charset val="1"/>
      </rPr>
      <t xml:space="preserve"> ↔ </t>
    </r>
    <r>
      <rPr>
        <strike val="true"/>
        <sz val="9"/>
        <color rgb="FFB38600"/>
        <rFont val="Arial"/>
        <family val="0"/>
        <charset val="1"/>
      </rPr>
      <t xml:space="preserve">B-3101A</t>
    </r>
    <r>
      <rPr>
        <sz val="9"/>
        <color rgb="FFB38600"/>
        <rFont val="Arial"/>
        <family val="0"/>
        <charset val="1"/>
      </rPr>
      <t xml:space="preserve"> e </t>
    </r>
    <r>
      <rPr>
        <strike val="true"/>
        <sz val="9"/>
        <color rgb="FFB38600"/>
        <rFont val="Arial"/>
        <family val="0"/>
        <charset val="1"/>
      </rPr>
      <t xml:space="preserve">TQ-3122</t>
    </r>
    <r>
      <rPr>
        <sz val="9"/>
        <color rgb="FFB38600"/>
        <rFont val="Arial"/>
        <family val="0"/>
        <charset val="1"/>
      </rPr>
      <t xml:space="preserve"> ↔ </t>
    </r>
    <r>
      <rPr>
        <strike val="true"/>
        <sz val="9"/>
        <color rgb="FFB38600"/>
        <rFont val="Arial"/>
        <family val="0"/>
        <charset val="1"/>
      </rPr>
      <t xml:space="preserve">B-3101B</t>
    </r>
    <r>
      <rPr>
        <sz val="9"/>
        <color rgb="FFB38600"/>
        <rFont val="Arial"/>
        <family val="0"/>
        <charset val="1"/>
      </rPr>
      <t xml:space="preserve"> (óleo diesel). </t>
    </r>
    <r>
      <rPr>
        <b val="true"/>
        <sz val="9"/>
        <color rgb="FF1F4E9A"/>
        <rFont val="Arial"/>
        <family val="0"/>
        <charset val="1"/>
      </rPr>
      <t xml:space="preserve">Placa/campo: </t>
    </r>
    <r>
      <rPr>
        <sz val="9"/>
        <color rgb="FF1F4E9A"/>
        <rFont val="Arial"/>
        <family val="0"/>
        <charset val="1"/>
      </rPr>
      <t xml:space="preserve">tanques de </t>
    </r>
    <r>
      <rPr>
        <strike val="true"/>
        <sz val="9"/>
        <color rgb="FF1F4E9A"/>
        <rFont val="Arial"/>
        <family val="0"/>
        <charset val="1"/>
      </rPr>
      <t xml:space="preserve">1.000 L</t>
    </r>
    <r>
      <rPr>
        <sz val="9"/>
        <color rgb="FF1F4E9A"/>
        <rFont val="Arial"/>
        <family val="0"/>
        <charset val="1"/>
      </rPr>
      <t xml:space="preserve"> com adesivo KSB e etiquetas </t>
    </r>
    <r>
      <rPr>
        <strike val="true"/>
        <sz val="9"/>
        <color rgb="FF1F4E9A"/>
        <rFont val="Arial"/>
        <family val="0"/>
        <charset val="1"/>
      </rPr>
      <t xml:space="preserve">B-3101 A</t>
    </r>
    <r>
      <rPr>
        <sz val="9"/>
        <color rgb="FF1F4E9A"/>
        <rFont val="Arial"/>
        <family val="0"/>
        <charset val="1"/>
      </rPr>
      <t xml:space="preserve"> / </t>
    </r>
    <r>
      <rPr>
        <strike val="true"/>
        <sz val="9"/>
        <color rgb="FF1F4E9A"/>
        <rFont val="Arial"/>
        <family val="0"/>
        <charset val="1"/>
      </rPr>
      <t xml:space="preserve">B-3101 B</t>
    </r>
    <r>
      <rPr>
        <sz val="9"/>
        <color rgb="FF1F4E9A"/>
        <rFont val="Arial"/>
        <family val="0"/>
        <charset val="1"/>
      </rPr>
      <t xml:space="preserve"> (lote 3). </t>
    </r>
    <r>
      <rPr>
        <b val="true"/>
        <sz val="9"/>
        <color rgb="FF000000"/>
        <rFont val="Arial"/>
        <family val="0"/>
        <charset val="1"/>
      </rPr>
      <t xml:space="preserve">Obs.: </t>
    </r>
    <r>
      <rPr>
        <sz val="9"/>
        <color rgb="FF000000"/>
        <rFont val="Arial"/>
        <family val="0"/>
        <charset val="1"/>
      </rPr>
      <t xml:space="preserve">Acessório do conjunto motobomba (combustível). Coerente com o projeto. ANP Fig. 199. </t>
    </r>
    <r>
      <rPr>
        <b val="true"/>
        <sz val="9"/>
        <color rgb="FF000000"/>
        <rFont val="Arial"/>
        <family val="0"/>
        <charset val="1"/>
      </rPr>
      <t xml:space="preserve">Fotos: </t>
    </r>
    <r>
      <rPr>
        <sz val="9"/>
        <color rgb="FF000000"/>
        <rFont val="Arial"/>
        <family val="0"/>
        <charset val="1"/>
      </rPr>
      <t xml:space="preserve">1003-1010 | </t>
    </r>
    <r>
      <rPr>
        <strike val="true"/>
        <sz val="9"/>
        <color rgb="FF000000"/>
        <rFont val="Arial"/>
        <family val="0"/>
        <charset val="1"/>
      </rPr>
      <t xml:space="preserve">ANP Fig. 199</t>
    </r>
    <r>
      <rPr>
        <sz val="9"/>
        <color rgb="FF000000"/>
        <rFont val="Arial"/>
        <family val="0"/>
        <charset val="1"/>
      </rPr>
      <t xml:space="preserve">. </t>
    </r>
    <r>
      <rPr>
        <b val="true"/>
        <sz val="9"/>
        <color rgb="FF002060"/>
        <rFont val="Arial"/>
        <family val="0"/>
        <charset val="1"/>
      </rPr>
      <t xml:space="preserve">Cotação: </t>
    </r>
    <r>
      <rPr>
        <sz val="9"/>
        <color rgb="FF002060"/>
        <rFont val="Arial"/>
        <family val="0"/>
        <charset val="1"/>
      </rPr>
      <t xml:space="preserve">KSB RAS0045265 Rev. 7: tanque de combustível em aço carbono de 1.000 L com visor de nível e chave de nível, conexões de entrada, saída e respiro corta-chamas, fornecido fora da base, tubulação de alimentação/retorno limitada a 10 m – incluso no preço das B-3101A/B. </t>
    </r>
    <r>
      <rPr>
        <b val="true"/>
        <sz val="9"/>
        <color rgb="FF7030A0"/>
        <rFont val="Arial"/>
        <family val="0"/>
        <charset val="1"/>
      </rPr>
      <t xml:space="preserve">Novo v2: </t>
    </r>
    <r>
      <rPr>
        <sz val="9"/>
        <color rgb="FF7030A0"/>
        <rFont val="Arial"/>
        <family val="0"/>
        <charset val="1"/>
      </rPr>
      <t xml:space="preserve">Tanques fornecidos pela KSB dentro do preço das B-3101A/B (cotação): não são bem à parte. </t>
    </r>
  </si>
  <si>
    <t xml:space="preserve">B-3101A</t>
  </si>
  <si>
    <r>
      <rPr>
        <b val="true"/>
        <sz val="9"/>
        <color rgb="FF00703C"/>
        <rFont val="Arial"/>
        <family val="0"/>
        <charset val="1"/>
      </rPr>
      <t xml:space="preserve">SAP: </t>
    </r>
    <r>
      <rPr>
        <sz val="9"/>
        <color rgb="FF00703C"/>
        <rFont val="Arial"/>
        <family val="0"/>
        <charset val="1"/>
      </rPr>
      <t xml:space="preserve">B-3101A BOMBA CENTRIFUGA – local BPAM-SSCI-RDA-01-01, equip. 000000123885, ABC B.Placa/campo: REVIMAQ ORC 77532 / OS 63419 / OV 9975318361-000100, 03/2024, 220 VCA / 12 VCC; ANP Fig. 184: KSB MCPK 250-200-500 GG, OP M482301143, Q 650,12 m³/h, H 100,04 mca, 1800 rpm, Ø465 mm, RC30376, ano 07/02/2025.</t>
    </r>
  </si>
  <si>
    <t xml:space="preserve">KSB / REVIMAQ</t>
  </si>
  <si>
    <t xml:space="preserve">Q 650,12 m³/h; H 100,04 mca; 1800 rpm</t>
  </si>
  <si>
    <t xml:space="preserve">OP M482301143</t>
  </si>
  <si>
    <t xml:space="preserve">B-3101A / 000000123885</t>
  </si>
  <si>
    <t xml:space="preserve">07/02/2025 (placa KSB) / 03/2024 (REVIMAQ)</t>
  </si>
  <si>
    <t xml:space="preserve">Campo: "bomba principal de incêndio". Projeto e SAP: bomba principal do SCI. Dados KSB só na ANP; motor diesel sem placa lida. Placa KSB com data 07/02/2025 posterior à NF.</t>
  </si>
  <si>
    <t xml:space="preserve">0042 | ANP Fig. 184</t>
  </si>
  <si>
    <t xml:space="preserve">KSB RAS0045265 Rev. 7 (19/09/2023), item 1: TAG B-3101A/B, MEGACPK 250-200-500 com motor diesel MWM 6.12TCE 275 kW 1800 rpm, tanque 1.000 L, painel NFPA 20; R$ 407.600,52/un. com impostos; Finame 03279333.</t>
  </si>
  <si>
    <t xml:space="preserve">Motor diesel = MWM 6.12TCE 275 kW 1800 rpm (cotação KSB). Placa KSB com ano 07/02/2025 posterior à NF – pedir explicação (troca de rotor Ø465 mm?).</t>
  </si>
  <si>
    <t xml:space="preserve">B-3101B</t>
  </si>
  <si>
    <r>
      <rPr>
        <b val="true"/>
        <sz val="9"/>
        <color rgb="FF00703C"/>
        <rFont val="Arial"/>
        <family val="0"/>
        <charset val="1"/>
      </rPr>
      <t xml:space="preserve">SAP: </t>
    </r>
    <r>
      <rPr>
        <sz val="9"/>
        <color rgb="FF00703C"/>
        <rFont val="Arial"/>
        <family val="0"/>
        <charset val="1"/>
      </rPr>
      <t xml:space="preserve">B-3101B BOMBA CENTRIFUGA – local BPAM-SSCI-RDA-04-01, equip. 000000123899, ABC B.Placa/campo: REVIMAQ ORC 77533 / OS 63420 / OV 9975318361-100, 03/2024, 220 VCA / 12 VCC; ANP Fig. 184: KSB MCPK 250-200-500 GG, OP M482301144, Q 650,12 m³/h, H 100,04 mca, 1800 rpm, 470 kg, 2024.</t>
    </r>
  </si>
  <si>
    <t xml:space="preserve">OP M482301144</t>
  </si>
  <si>
    <t xml:space="preserve">B-3101B / 000000123899</t>
  </si>
  <si>
    <t xml:space="preserve">2024 (KSB) / 03/2024 (REVIMAQ)</t>
  </si>
  <si>
    <t xml:space="preserve">Campo: "bomba de incêndio (diesel)". Projeto e SAP: bomba principal do SCI. Dados KSB só na ANP; motor diesel sem placa lida.</t>
  </si>
  <si>
    <t xml:space="preserve">0043 | ANP Fig. 184</t>
  </si>
  <si>
    <t xml:space="preserve">Motor diesel = MWM 6.12TCE 275 kW 1800 rpm (cotação KSB).</t>
  </si>
  <si>
    <t xml:space="preserve">TQ-3122 / TQ-3123 (tanques diesel das motobombas)</t>
  </si>
  <si>
    <r>
      <rPr>
        <b val="true"/>
        <sz val="9"/>
        <color rgb="FFB38600"/>
        <rFont val="Arial"/>
        <family val="0"/>
        <charset val="1"/>
      </rPr>
      <t xml:space="preserve">Projeto: </t>
    </r>
    <r>
      <rPr>
        <sz val="9"/>
        <color rgb="FFB38600"/>
        <rFont val="Arial"/>
        <family val="0"/>
        <charset val="1"/>
      </rPr>
      <t xml:space="preserve">LI-3100-6105: linhas 0201-0204 de 3/4" ligando TQ-3123 ↔ B-3101A e TQ-3122 ↔ B-3101B (óleo diesel).Placa/campo: tanques de 1.000 L com adesivo KSB e etiquetas B-3101 A / B-3101 B (lote 3).</t>
    </r>
  </si>
  <si>
    <t xml:space="preserve">KSB (adesivo)</t>
  </si>
  <si>
    <t xml:space="preserve">-</t>
  </si>
  <si>
    <t xml:space="preserve">1.000 L cada</t>
  </si>
  <si>
    <t xml:space="preserve">sem plaqueta</t>
  </si>
  <si>
    <t xml:space="preserve">não consta na base SAP (seleção)</t>
  </si>
  <si>
    <t xml:space="preserve">Acessório do conjunto motobomba (combustível). Coerente com o projeto. ANP Fig. 199.</t>
  </si>
  <si>
    <t xml:space="preserve">1003-1010 | ANP Fig. 199</t>
  </si>
  <si>
    <t xml:space="preserve">KSB RAS0045265 Rev. 7: tanque de combustível em aço carbono de 1.000 L com visor de nível e chave de nível, conexões de entrada, saída e respiro corta-chamas, fornecido fora da base, tubulação de alimentação/retorno limitada a 10 m – incluso no preço das B-3101A/B.</t>
  </si>
  <si>
    <t xml:space="preserve">Tanques fornecidos pela KSB dentro do preço das B-3101A/B (cotação): não são bem à parte.</t>
  </si>
  <si>
    <t xml:space="preserve">3</t>
  </si>
  <si>
    <t xml:space="preserve">Bomba jockey B-3102</t>
  </si>
  <si>
    <r>
      <rPr>
        <b val="true"/>
        <sz val="9"/>
        <color rgb="FF000000"/>
        <rFont val="Arial"/>
        <family val="0"/>
        <charset val="1"/>
      </rPr>
      <t xml:space="preserve">Crítica: </t>
    </r>
    <r>
      <rPr>
        <sz val="9"/>
        <color rgb="FF000000"/>
        <rFont val="Arial"/>
        <family val="0"/>
        <charset val="1"/>
      </rPr>
      <t xml:space="preserve">Bomba – KSB Hydrobloc M A 604 – 1 un. × R$ 34.798,96 = R$ 34.798,96; fornecedor KSB Brasil Ltda; Finame 02171421.NF: NF 526572 de 05/04/2024 – KSB Brasil Ltda (CNPJ 60.680.873/0001-14): "Conjunto bomba KSB", R$ 850.000,00 – mesma NF da linha 2.SAP: B-3102 BOMBA JOCKEY – local BPAM-SSCI-RDA-07-01, equip. 000000123913, ABC B.Projeto: LI-3100-7700-001: B-3102 bomba centrífuga, bomba do sistema de pressurização da rede de água de combate a incêndio, cód. Ultracargo 8000012940, CBI, FD-3100-2500-022 / RM-3100-2500-006; LI-3100-6105: sucção 2½", recalque 2".Placa/campo: REVIMAQ ORC 77426 / OS 63336 / OV 9975318361-000200, 03/2024, 440/220 VCA / 24 VCC.</t>
    </r>
  </si>
  <si>
    <t xml:space="preserve">KSB (crítica) / REVIMAQ (montagem)</t>
  </si>
  <si>
    <t xml:space="preserve">Hydrobloc M A 604 (crítica – não lido em placa)</t>
  </si>
  <si>
    <t xml:space="preserve">não lido (vazão, altura e potência ilegíveis)</t>
  </si>
  <si>
    <t xml:space="preserve">REVIMAQ ORC 77426 / OS 63336 / OV 9975318361-000200</t>
  </si>
  <si>
    <t xml:space="preserve">B-3102 / 000000123913</t>
  </si>
  <si>
    <t xml:space="preserve">03/2024</t>
  </si>
  <si>
    <t xml:space="preserve">Só a plaqueta REVIMAQ do conjunto foi lida; a placa KSB do modelo Hydrobloc não foi fotografada. Projeto, SAP e crítica concordam na função (jockey/pressurização do SCI).</t>
  </si>
  <si>
    <t xml:space="preserve">0041</t>
  </si>
  <si>
    <t xml:space="preserve">Cotação KSB RAS0045265 Rev. 7, 19/09/2023, item 2 – TAG grafada "B-1002" na planilha de preços (B-3102 no texto), KSB HYDROBLOC M A 604, 1 un., Finame 02171421, R$ 33.703,60 sem IPI + IPI 3,25 % = R$ 34.798,96; bomba centrífuga horizontal monobloco, selo mecânico, conexões rosqueadas (versão flangeada indisponível), motor elétrico WEG 220/380/440 V IP55 isolação F; painel de partida automática NFPA 20 440 V trifásico partida direta; sem base, acoplamento, manômetros e pressostato (fora do escopo).</t>
  </si>
  <si>
    <t xml:space="preserve">A cotação confirma o modelo Hydrobloc M A 604 (monobloco, selo mecânico, conexões rosqueadas) que não foi lido em placa. A TAG "B-1002" na planilha de preços é erro de digitação da KSB (B-3102 no escopo). Finame 02171421 = crítica. Proposição: fotografar a placa KSB do Hydrobloc (vazão/altura/potência) e a placa do motor WEG na próxima visita; a plaqueta REVIMAQ atual só prova a montagem.</t>
  </si>
  <si>
    <r>
      <rPr>
        <b val="true"/>
        <sz val="9"/>
        <color rgb="FF000000"/>
        <rFont val="Arial"/>
        <family val="0"/>
        <charset val="1"/>
      </rPr>
      <t xml:space="preserve">LINHA 3 – Bomba jockey B-3102 [CONJUNTO]
Crítica: </t>
    </r>
    <r>
      <rPr>
        <sz val="9"/>
        <color rgb="FF000000"/>
        <rFont val="Arial"/>
        <family val="0"/>
        <charset val="1"/>
      </rPr>
      <t xml:space="preserve">Bomba – KSB Hydrobloc M A 604 – 1 un. × R$ 34.798,96 = R$ 34.798,96; fornecedor KSB Brasil Ltda; Finame 02171421. </t>
    </r>
    <r>
      <rPr>
        <b val="true"/>
        <sz val="9"/>
        <color rgb="FFC00000"/>
        <rFont val="Arial"/>
        <family val="0"/>
        <charset val="1"/>
      </rPr>
      <t xml:space="preserve">NF: </t>
    </r>
    <r>
      <rPr>
        <sz val="9"/>
        <color rgb="FFC00000"/>
        <rFont val="Arial"/>
        <family val="0"/>
        <charset val="1"/>
      </rPr>
      <t xml:space="preserve">NF 526572 de 05/04/2024 – </t>
    </r>
    <r>
      <rPr>
        <strike val="true"/>
        <sz val="9"/>
        <color rgb="FFC00000"/>
        <rFont val="Arial"/>
        <family val="0"/>
        <charset val="1"/>
      </rPr>
      <t xml:space="preserve">KSB Brasil Ltda</t>
    </r>
    <r>
      <rPr>
        <sz val="9"/>
        <color rgb="FFC00000"/>
        <rFont val="Arial"/>
        <family val="0"/>
        <charset val="1"/>
      </rPr>
      <t xml:space="preserve"> (CNPJ 60.680.873/0001-14): "Conjunto bomba KSB", R$ 850.000,00 – mesma NF da linha 2. </t>
    </r>
    <r>
      <rPr>
        <b val="true"/>
        <sz val="9"/>
        <color rgb="FF00703C"/>
        <rFont val="Arial"/>
        <family val="0"/>
        <charset val="1"/>
      </rPr>
      <t xml:space="preserve">SAP: </t>
    </r>
    <r>
      <rPr>
        <strike val="true"/>
        <sz val="9"/>
        <color rgb="FF00703C"/>
        <rFont val="Arial"/>
        <family val="0"/>
        <charset val="1"/>
      </rPr>
      <t xml:space="preserve">B-3102</t>
    </r>
    <r>
      <rPr>
        <sz val="9"/>
        <color rgb="FF00703C"/>
        <rFont val="Arial"/>
        <family val="0"/>
        <charset val="1"/>
      </rPr>
      <t xml:space="preserve"> BOMBA JOCKEY – local BPAM-SSCI-RDA-07-01, equip. 000000123913, ABC B. </t>
    </r>
    <r>
      <rPr>
        <b val="true"/>
        <sz val="9"/>
        <color rgb="FFB38600"/>
        <rFont val="Arial"/>
        <family val="0"/>
        <charset val="1"/>
      </rPr>
      <t xml:space="preserve">Projeto: </t>
    </r>
    <r>
      <rPr>
        <sz val="9"/>
        <color rgb="FFB38600"/>
        <rFont val="Arial"/>
        <family val="0"/>
        <charset val="1"/>
      </rPr>
      <t xml:space="preserve">LI-3100-7700-001: </t>
    </r>
    <r>
      <rPr>
        <strike val="true"/>
        <sz val="9"/>
        <color rgb="FFB38600"/>
        <rFont val="Arial"/>
        <family val="0"/>
        <charset val="1"/>
      </rPr>
      <t xml:space="preserve">B-3102</t>
    </r>
    <r>
      <rPr>
        <sz val="9"/>
        <color rgb="FFB38600"/>
        <rFont val="Arial"/>
        <family val="0"/>
        <charset val="1"/>
      </rPr>
      <t xml:space="preserve"> bomba centrífuga, bomba do sistema de pressurização da rede de água de combate a incêndio, cód. Ultracargo 8000012940, CBI, FD-3100-2500-022 / RM-3100-2500-006; LI-3100-6105: sucção 2½", recalque 2". </t>
    </r>
    <r>
      <rPr>
        <b val="true"/>
        <sz val="9"/>
        <color rgb="FF1F4E9A"/>
        <rFont val="Arial"/>
        <family val="0"/>
        <charset val="1"/>
      </rPr>
      <t xml:space="preserve">Placa/campo: </t>
    </r>
    <r>
      <rPr>
        <sz val="9"/>
        <color rgb="FF1F4E9A"/>
        <rFont val="Arial"/>
        <family val="0"/>
        <charset val="1"/>
      </rPr>
      <t xml:space="preserve">REVIMAQ ORC 77426 / OS 63336 / OV 9975318361-000200, 03/2024, 440/220 VCA / 24 VCC. 
</t>
    </r>
    <r>
      <rPr>
        <b val="true"/>
        <sz val="9"/>
        <color rgb="FFC00000"/>
        <rFont val="Arial"/>
        <family val="0"/>
        <charset val="1"/>
      </rPr>
      <t xml:space="preserve">NF (colunas K-Q): </t>
    </r>
    <r>
      <rPr>
        <sz val="9"/>
        <color rgb="FFC00000"/>
        <rFont val="Arial"/>
        <family val="0"/>
        <charset val="1"/>
      </rPr>
      <t xml:space="preserve">NF nº 526572 de 05/04/2024 – </t>
    </r>
    <r>
      <rPr>
        <strike val="true"/>
        <sz val="9"/>
        <color rgb="FFC00000"/>
        <rFont val="Arial"/>
        <family val="0"/>
        <charset val="1"/>
      </rPr>
      <t xml:space="preserve">KSB Brasil Ltda</t>
    </r>
    <r>
      <rPr>
        <sz val="9"/>
        <color rgb="FFC00000"/>
        <rFont val="Arial"/>
        <family val="0"/>
        <charset val="1"/>
      </rPr>
      <t xml:space="preserve"> (</t>
    </r>
    <r>
      <rPr>
        <strike val="true"/>
        <sz val="9"/>
        <color rgb="FFC00000"/>
        <rFont val="Arial"/>
        <family val="0"/>
        <charset val="1"/>
      </rPr>
      <t xml:space="preserve">60.680.873/0001-14</t>
    </r>
    <r>
      <rPr>
        <sz val="9"/>
        <color rgb="FFC00000"/>
        <rFont val="Arial"/>
        <family val="0"/>
        <charset val="1"/>
      </rPr>
      <t xml:space="preserve">) – valor comprovado R$ 34.798,96. </t>
    </r>
    <r>
      <rPr>
        <b val="true"/>
        <sz val="9"/>
        <color rgb="FF000000"/>
        <rFont val="Arial"/>
        <family val="0"/>
        <charset val="1"/>
      </rPr>
      <t xml:space="preserve">Crítica (colunas N-P): </t>
    </r>
    <r>
      <rPr>
        <sz val="9"/>
        <color rgb="FF000000"/>
        <rFont val="Arial"/>
        <family val="0"/>
        <charset val="1"/>
      </rPr>
      <t xml:space="preserve">qtd 1, unitário R$ 34.798,96, total R$ 34.798,96. 
</t>
    </r>
    <r>
      <rPr>
        <b val="true"/>
        <sz val="9"/>
        <color rgb="FF000000"/>
        <rFont val="Arial"/>
        <family val="0"/>
        <charset val="1"/>
      </rPr>
      <t xml:space="preserve">Ficha (colunas E-J): </t>
    </r>
    <r>
      <rPr>
        <b val="true"/>
        <sz val="9"/>
        <color rgb="FF1F4E9A"/>
        <rFont val="Arial"/>
        <family val="0"/>
        <charset val="1"/>
      </rPr>
      <t xml:space="preserve">Marca: </t>
    </r>
    <r>
      <rPr>
        <sz val="9"/>
        <color rgb="FF1F4E9A"/>
        <rFont val="Arial"/>
        <family val="0"/>
        <charset val="1"/>
      </rPr>
      <t xml:space="preserve">KSB (crítica) / REVIMAQ (montagem). </t>
    </r>
    <r>
      <rPr>
        <b val="true"/>
        <sz val="9"/>
        <color rgb="FF000000"/>
        <rFont val="Arial"/>
        <family val="0"/>
        <charset val="1"/>
      </rPr>
      <t xml:space="preserve">Modelo: </t>
    </r>
    <r>
      <rPr>
        <sz val="9"/>
        <color rgb="FF000000"/>
        <rFont val="Arial"/>
        <family val="0"/>
        <charset val="1"/>
      </rPr>
      <t xml:space="preserve">Hydrobloc M A 604 (crítica – não lido em placa). </t>
    </r>
    <r>
      <rPr>
        <b val="true"/>
        <sz val="9"/>
        <color rgb="FF1F4E9A"/>
        <rFont val="Arial"/>
        <family val="0"/>
        <charset val="1"/>
      </rPr>
      <t xml:space="preserve">Capacidade: </t>
    </r>
    <r>
      <rPr>
        <strike val="true"/>
        <sz val="9"/>
        <color rgb="FF1F4E9A"/>
        <rFont val="Arial"/>
        <family val="0"/>
        <charset val="1"/>
      </rPr>
      <t xml:space="preserve">não lido</t>
    </r>
    <r>
      <rPr>
        <sz val="9"/>
        <color rgb="FF1F4E9A"/>
        <rFont val="Arial"/>
        <family val="0"/>
        <charset val="1"/>
      </rPr>
      <t xml:space="preserve"> (vazão, altura e potência ilegíveis). </t>
    </r>
    <r>
      <rPr>
        <b val="true"/>
        <sz val="9"/>
        <color rgb="FF1F4E9A"/>
        <rFont val="Arial"/>
        <family val="0"/>
        <charset val="1"/>
      </rPr>
      <t xml:space="preserve">Série/OP: </t>
    </r>
    <r>
      <rPr>
        <sz val="9"/>
        <color rgb="FF1F4E9A"/>
        <rFont val="Arial"/>
        <family val="0"/>
        <charset val="1"/>
      </rPr>
      <t xml:space="preserve">REVIMAQ ORC 77426 / OS 63336 / OV 9975318361-000200. </t>
    </r>
    <r>
      <rPr>
        <b val="true"/>
        <sz val="9"/>
        <color rgb="FF00703C"/>
        <rFont val="Arial"/>
        <family val="0"/>
        <charset val="1"/>
      </rPr>
      <t xml:space="preserve">TAG/SAP: </t>
    </r>
    <r>
      <rPr>
        <strike val="true"/>
        <sz val="9"/>
        <color rgb="FF00703C"/>
        <rFont val="Arial"/>
        <family val="0"/>
        <charset val="1"/>
      </rPr>
      <t xml:space="preserve">B-3102</t>
    </r>
    <r>
      <rPr>
        <sz val="9"/>
        <color rgb="FF00703C"/>
        <rFont val="Arial"/>
        <family val="0"/>
        <charset val="1"/>
      </rPr>
      <t xml:space="preserve"> / 000000123913. </t>
    </r>
    <r>
      <rPr>
        <b val="true"/>
        <sz val="9"/>
        <color rgb="FF1F4E9A"/>
        <rFont val="Arial"/>
        <family val="0"/>
        <charset val="1"/>
      </rPr>
      <t xml:space="preserve">Fabricação: </t>
    </r>
    <r>
      <rPr>
        <sz val="9"/>
        <color rgb="FF1F4E9A"/>
        <rFont val="Arial"/>
        <family val="0"/>
        <charset val="1"/>
      </rPr>
      <t xml:space="preserve">03/2024. 
</t>
    </r>
    <r>
      <rPr>
        <b val="true"/>
        <sz val="9"/>
        <color rgb="FF000000"/>
        <rFont val="Arial"/>
        <family val="0"/>
        <charset val="1"/>
      </rPr>
      <t xml:space="preserve">Obs. (coluna T): </t>
    </r>
    <r>
      <rPr>
        <sz val="9"/>
        <color rgb="FF000000"/>
        <rFont val="Arial"/>
        <family val="0"/>
        <charset val="1"/>
      </rPr>
      <t xml:space="preserve">Só a plaqueta REVIMAQ do conjunto foi lida; a placa KSB do modelo Hydrobloc não foi fotografada. Projeto, SAP e crítica concordam na função (jockey/pressurização do SCI). </t>
    </r>
    <r>
      <rPr>
        <b val="true"/>
        <sz val="9"/>
        <color rgb="FF000000"/>
        <rFont val="Arial"/>
        <family val="0"/>
        <charset val="1"/>
      </rPr>
      <t xml:space="preserve">Fotos (coluna U): </t>
    </r>
    <r>
      <rPr>
        <sz val="9"/>
        <color rgb="FF000000"/>
        <rFont val="Arial"/>
        <family val="0"/>
        <charset val="1"/>
      </rPr>
      <t xml:space="preserve">0041. 
</t>
    </r>
    <r>
      <rPr>
        <b val="true"/>
        <sz val="9"/>
        <color rgb="FF002060"/>
        <rFont val="Arial"/>
        <family val="0"/>
        <charset val="1"/>
      </rPr>
      <t xml:space="preserve">Cotação OPE154: </t>
    </r>
    <r>
      <rPr>
        <sz val="9"/>
        <color rgb="FF002060"/>
        <rFont val="Arial"/>
        <family val="0"/>
        <charset val="1"/>
      </rPr>
      <t xml:space="preserve">Cotação KSB RAS0045265 Rev. 7, 19/09/2023, item 2 – TAG grafada "B-1002" na planilha de preços (B-3102 no texto), KSB HYDROBLOC M A 604, 1 un., Finame 02171421, R$ 33.703,60 sem IPI + IPI 3,25 % = R$ 34.798,96; bomba centrífuga horizontal monobloco, selo mecânico, conexões rosqueadas (versão flangeada indisponível), motor elétrico WEG 220/380/440 V IP55 isolação F; painel de partida automática NFPA 20 440 V trifásico partida direta; sem base, acoplamento, manômetros e pressostato (fora do escopo). 
</t>
    </r>
    <r>
      <rPr>
        <b val="true"/>
        <sz val="9"/>
        <color rgb="FF7030A0"/>
        <rFont val="Arial"/>
        <family val="0"/>
        <charset val="1"/>
      </rPr>
      <t xml:space="preserve">Novo v2 (achados / correções / proposições): </t>
    </r>
    <r>
      <rPr>
        <sz val="9"/>
        <color rgb="FF7030A0"/>
        <rFont val="Arial"/>
        <family val="0"/>
        <charset val="1"/>
      </rPr>
      <t xml:space="preserve">A cotação confirma o modelo Hydrobloc M A 604 (monobloco, selo mecânico, conexões rosqueadas) que não foi lido em placa. A TAG "B-1002" na planilha de preços é erro de digitação da KSB (B-3102 no escopo). Finame 02171421 = crítica. Proposição: fotografar a placa KSB do Hydrobloc (vazão/altura/potência) e a placa do motor WEG na próxima visita; a plaqueta REVIMAQ atual só prova a montagem. </t>
    </r>
  </si>
  <si>
    <t xml:space="preserve">4</t>
  </si>
  <si>
    <t xml:space="preserve">Bombas de produto CETRAN 01 – 125-080-315 (12 un.)</t>
  </si>
  <si>
    <r>
      <rPr>
        <b val="true"/>
        <sz val="9"/>
        <color rgb="FF000000"/>
        <rFont val="Arial"/>
        <family val="0"/>
        <charset val="1"/>
      </rPr>
      <t xml:space="preserve">Crítica: </t>
    </r>
    <r>
      <rPr>
        <sz val="9"/>
        <color rgb="FF000000"/>
        <rFont val="Arial"/>
        <family val="0"/>
        <charset val="1"/>
      </rPr>
      <t xml:space="preserve">Bomba – KSB megacpk 125-080-315 – 12 un. × R$ 101.981,67 = R$ 1.223.780,04; fornecedor KSB Brasil Ltda; Finame 03279333.NF: NF 34370 de 15/08/2024 – KSB Brasil Ltda (CNPJ 60.680.873/0009-71): "Bomba KSB", R$ 1.328.703,93; NF 34511 de 10/09/2024 – KSB Brasil Ltda (CNPJ 60.680.873/0009-71): "Conjunto bomba KSB", R$ 1.139.300,87. Atribuição: 10 un. na NF 34370 + 2 un. na NF 34511 (decomposição aritmética única).SAP: 12 de 12 TAGs cadastradas: B-3103, B-3104, B-3105, B-3106, B-3107, B-3108, B-3110, B-3113, B-3114, B-3115, B-3116, B-3117.Projeto: LI-3100-6105-001: biodiesel, etanol anidro, etanol hidratado, gasolina, óleo diesel S10, óleo diesel S500; fluxograma DE-3100-1300-002.</t>
    </r>
  </si>
  <si>
    <t xml:space="preserve">KSB</t>
  </si>
  <si>
    <t xml:space="preserve">125-080-315</t>
  </si>
  <si>
    <t xml:space="preserve">Q 120 m³/h; H 50 a 54 mca; 1775 rpm</t>
  </si>
  <si>
    <t xml:space="preserve">OP M482301611 a M482301625 (exceto 1618, 1620, 1621)</t>
  </si>
  <si>
    <t xml:space="preserve">12 TAGs no SAP</t>
  </si>
  <si>
    <t xml:space="preserve">2024</t>
  </si>
  <si>
    <t xml:space="preserve">34370; 34511</t>
  </si>
  <si>
    <t xml:space="preserve">15/08/2024; 10/09/2024</t>
  </si>
  <si>
    <t xml:space="preserve">KSB Brasil Ltda (60.680.873/0009-71)</t>
  </si>
  <si>
    <t xml:space="preserve">10 un. na NF 34370 + 2 un. na NF 34511 (decomposição aritmética única)</t>
  </si>
  <si>
    <t xml:space="preserve">As 12 placas (campo + ANP Fig. 146-160) trazem MCPK 125-80-315 EE, 2024, OPs sequenciais M4823016xx. 12 + 2 (linha 6) = 14 bombas 125-80-315 em campo = 14 da crítica. SAP cadastra as 12 TAGs. Vínculo TAG × linha (4 × 6) por indício: as 12 de Q 120 m³/h aqui; as 2 de Q 72 m³/h (B-3111/3112) na linha 6.</t>
  </si>
  <si>
    <t xml:space="preserve">ver componentes</t>
  </si>
  <si>
    <t xml:space="preserve">Cotação KSB RAS0051138 (escopo acordado Rev. 7 de 19/09/2023; planilha de preços Rev. 10 de 11/12/2023, assinada via DocuSign), referência BPA-0005-D-23: 21 bombas MEGACPK + 4 MEGAFLOW V + 1 MEGACPK 050-032-200.1 + 2 MEGACPK 125-100-250 = 28 bombas, total R$ 2.628.073,97 sem IPI / R$ 2.630.491,47 com IPI; todas Finame 03279333; ICMS 5,1394 %, PIS/COFINS 9,25 %, IPI 0 % (3,25 % só para a 050-032-200.1); prazo 150 dias; CIF posto Palmeirante sem descarga; pagamento 20 % com o pedido + 80 % a 30 DDL. Preço por TAG do modelo 125-080-315 a R$ 101.981,67 (R$ 87.307,12 sem impostos): itens 1 a 6 B-3103, B-3104, B-3105, B-3106, B-3107, B-3108; item 8 B-3110; itens 9 a 13 B-3111, B-3112, B-3113, B-3114, B-3115 = 12 un. × R$ 101.981,67 = R$ 1.223.780,04 (= linha 4). Escopo MEGACPK: back-pull-out, base em aço estrutural soldado com chumbadores e clipes de aterramento, acoplamento com espaçador, proteção de acoplamento em latão (NR-12), protetor de mancal GBS + câmara de expansão, selo mecânico cartucho, plano de selagem API 11, motor à prova de explosão WEG W22Xdb IR2 220/380/440 V isolação F B3D Zona 1/2 IIA/IIB/IIC T4, pintura EP-0001-A4-7200-06P cond. 1, plaqueta AISI 304, testes sem acompanhamento (hidrostático, performance, ruído/vibração, balanceamento), primeira carga de lubrificante, data-book por e-mail.</t>
  </si>
  <si>
    <t xml:space="preserve">CORREÇÃO (fonte: planilha de preços KSB RAS0051138 Rev. 10): as 12 bombas de R$ 101.981,67 são B-3103, B-3104, B-3105, B-3106, B-3107, B-3108, B-3110, B-3111, B-3112, B-3113, B-3114 e B-3115 – e não B-3116/B-3117, que estão a R$ 87.358,35 (linha 6). A base de 07/10 inferiu B-3111/3112 na linha 6 pela vazão de 72 m³/h; a cotação mostra que o preço menor é dos dois TAGs de etanol anidro ferroviário (B-3116/3117), não dos de biodiesel. Logo, as 12 TAGs da linha 4 incluem B-3111/B-3112 e excluem B-3116/B-3117. Soma da cotação (itens 1-25) = R$ 2.630.491,47 ≈ linhas 4 a 13 da crítica (R$ 2.630.491,48; 1 centavo de arredondamento) – a crítica foi montada a partir desta planilha de preços. As três NFs KSB (34370 + 34511 + 543048) somam R$ 2.701.551,48, R$ 71.060,00 acima da cotação – o excesso já apontado na linha 11 é do processo KSB como um todo e não está na cotação (não é frete, que é CIF, nem start-up, cotado à parte em R$ 76.000,00). Contexto: MEGACPK 125-080-315 = bomba de processo ISO 2858 com motor Ex db WEG W22Xdb; Finame 03279333 cobre todas as 28 bombas.</t>
  </si>
  <si>
    <r>
      <rPr>
        <b val="true"/>
        <sz val="9"/>
        <color rgb="FF000000"/>
        <rFont val="Arial"/>
        <family val="0"/>
        <charset val="1"/>
      </rPr>
      <t xml:space="preserve">LINHA 4 – Bombas de produto CETRAN 01 – 125-080-315 (12 un.) [CONJUNTO]
Crítica: </t>
    </r>
    <r>
      <rPr>
        <sz val="9"/>
        <color rgb="FF000000"/>
        <rFont val="Arial"/>
        <family val="0"/>
        <charset val="1"/>
      </rPr>
      <t xml:space="preserve">Bomba – KSB megacpk 125-080-315 – 12 un. × R$ 101.981,67 = R$ 1.223.780,04; fornecedor KSB Brasil Ltda; Finame 03279333. </t>
    </r>
    <r>
      <rPr>
        <b val="true"/>
        <sz val="9"/>
        <color rgb="FFC00000"/>
        <rFont val="Arial"/>
        <family val="0"/>
        <charset val="1"/>
      </rPr>
      <t xml:space="preserve">NF: </t>
    </r>
    <r>
      <rPr>
        <sz val="9"/>
        <color rgb="FFC00000"/>
        <rFont val="Arial"/>
        <family val="0"/>
        <charset val="1"/>
      </rPr>
      <t xml:space="preserve">NF 34370 de 15/08/2024 – </t>
    </r>
    <r>
      <rPr>
        <strike val="true"/>
        <sz val="9"/>
        <color rgb="FFC00000"/>
        <rFont val="Arial"/>
        <family val="0"/>
        <charset val="1"/>
      </rPr>
      <t xml:space="preserve">KSB Brasil Ltda</t>
    </r>
    <r>
      <rPr>
        <sz val="9"/>
        <color rgb="FFC00000"/>
        <rFont val="Arial"/>
        <family val="0"/>
        <charset val="1"/>
      </rPr>
      <t xml:space="preserve"> (CNPJ 60.680.873/0009-71): "Bomba KSB", R$ 1.328.703,93; NF 34511 de 10/09/2024 – </t>
    </r>
    <r>
      <rPr>
        <strike val="true"/>
        <sz val="9"/>
        <color rgb="FFC00000"/>
        <rFont val="Arial"/>
        <family val="0"/>
        <charset val="1"/>
      </rPr>
      <t xml:space="preserve">KSB Brasil Ltda</t>
    </r>
    <r>
      <rPr>
        <sz val="9"/>
        <color rgb="FFC00000"/>
        <rFont val="Arial"/>
        <family val="0"/>
        <charset val="1"/>
      </rPr>
      <t xml:space="preserve"> (CNPJ </t>
    </r>
    <r>
      <rPr>
        <strike val="true"/>
        <sz val="9"/>
        <color rgb="FFC00000"/>
        <rFont val="Arial"/>
        <family val="0"/>
        <charset val="1"/>
      </rPr>
      <t xml:space="preserve">60.680.873/0009-71</t>
    </r>
    <r>
      <rPr>
        <sz val="9"/>
        <color rgb="FFC00000"/>
        <rFont val="Arial"/>
        <family val="0"/>
        <charset val="1"/>
      </rPr>
      <t xml:space="preserve">): "Conjunto bomba KSB", R$ 1.139.300,87. Atribuição: 10 un. na NF 34370 + 2 un. na NF 34511 (decomposição aritmética única). </t>
    </r>
    <r>
      <rPr>
        <b val="true"/>
        <sz val="9"/>
        <color rgb="FF00703C"/>
        <rFont val="Arial"/>
        <family val="0"/>
        <charset val="1"/>
      </rPr>
      <t xml:space="preserve">SAP: </t>
    </r>
    <r>
      <rPr>
        <sz val="9"/>
        <color rgb="FF00703C"/>
        <rFont val="Arial"/>
        <family val="0"/>
        <charset val="1"/>
      </rPr>
      <t xml:space="preserve">12 de 12 TAGs cadastradas: B-3103, B-3104, B-3105, B-3106, B-3107, B-3108, B-3110, B-3113, B-3114, B-3115, B-3116, B-3117. </t>
    </r>
    <r>
      <rPr>
        <b val="true"/>
        <sz val="9"/>
        <color rgb="FFB38600"/>
        <rFont val="Arial"/>
        <family val="0"/>
        <charset val="1"/>
      </rPr>
      <t xml:space="preserve">Projeto: </t>
    </r>
    <r>
      <rPr>
        <sz val="9"/>
        <color rgb="FFB38600"/>
        <rFont val="Arial"/>
        <family val="0"/>
        <charset val="1"/>
      </rPr>
      <t xml:space="preserve">LI-3100-6105-001: biodiesel, etanol anidro, etanol hidratado, gasolina, óleo diesel S10, óleo diesel S500; fluxograma DE-3100-1300-002. 
</t>
    </r>
    <r>
      <rPr>
        <b val="true"/>
        <sz val="9"/>
        <color rgb="FFC00000"/>
        <rFont val="Arial"/>
        <family val="0"/>
        <charset val="1"/>
      </rPr>
      <t xml:space="preserve">NF (colunas K-Q): </t>
    </r>
    <r>
      <rPr>
        <sz val="9"/>
        <color rgb="FFC00000"/>
        <rFont val="Arial"/>
        <family val="0"/>
        <charset val="1"/>
      </rPr>
      <t xml:space="preserve">NF nº 34370; 34511 de 15/08/2024; 10/09/2024 – </t>
    </r>
    <r>
      <rPr>
        <strike val="true"/>
        <sz val="9"/>
        <color rgb="FFC00000"/>
        <rFont val="Arial"/>
        <family val="0"/>
        <charset val="1"/>
      </rPr>
      <t xml:space="preserve">KSB Brasil Ltda</t>
    </r>
    <r>
      <rPr>
        <sz val="9"/>
        <color rgb="FFC00000"/>
        <rFont val="Arial"/>
        <family val="0"/>
        <charset val="1"/>
      </rPr>
      <t xml:space="preserve"> (</t>
    </r>
    <r>
      <rPr>
        <strike val="true"/>
        <sz val="9"/>
        <color rgb="FFC00000"/>
        <rFont val="Arial"/>
        <family val="0"/>
        <charset val="1"/>
      </rPr>
      <t xml:space="preserve">60.680.873/0009-71</t>
    </r>
    <r>
      <rPr>
        <sz val="9"/>
        <color rgb="FFC00000"/>
        <rFont val="Arial"/>
        <family val="0"/>
        <charset val="1"/>
      </rPr>
      <t xml:space="preserve">) – valor comprovado R$ 1.223.780,04. </t>
    </r>
    <r>
      <rPr>
        <b val="true"/>
        <sz val="9"/>
        <color rgb="FF000000"/>
        <rFont val="Arial"/>
        <family val="0"/>
        <charset val="1"/>
      </rPr>
      <t xml:space="preserve">Atribuição: </t>
    </r>
    <r>
      <rPr>
        <sz val="9"/>
        <color rgb="FF000000"/>
        <rFont val="Arial"/>
        <family val="0"/>
        <charset val="1"/>
      </rPr>
      <t xml:space="preserve">10 un. na NF 34370 + 2 un. na </t>
    </r>
    <r>
      <rPr>
        <strike val="true"/>
        <sz val="9"/>
        <color rgb="FF000000"/>
        <rFont val="Arial"/>
        <family val="0"/>
        <charset val="1"/>
      </rPr>
      <t xml:space="preserve">NF 34511 (decomposição aritmética única)</t>
    </r>
    <r>
      <rPr>
        <sz val="9"/>
        <color rgb="FF000000"/>
        <rFont val="Arial"/>
        <family val="0"/>
        <charset val="1"/>
      </rPr>
      <t xml:space="preserve">. </t>
    </r>
    <r>
      <rPr>
        <b val="true"/>
        <sz val="9"/>
        <color rgb="FF000000"/>
        <rFont val="Arial"/>
        <family val="0"/>
        <charset val="1"/>
      </rPr>
      <t xml:space="preserve">Crítica (colunas N-P): </t>
    </r>
    <r>
      <rPr>
        <sz val="9"/>
        <color rgb="FF000000"/>
        <rFont val="Arial"/>
        <family val="0"/>
        <charset val="1"/>
      </rPr>
      <t xml:space="preserve">qtd 12, unitário R$ 101.981,67, total R$ 1.223.780,04. 
</t>
    </r>
    <r>
      <rPr>
        <b val="true"/>
        <sz val="9"/>
        <color rgb="FF000000"/>
        <rFont val="Arial"/>
        <family val="0"/>
        <charset val="1"/>
      </rPr>
      <t xml:space="preserve">Ficha (colunas E-J): </t>
    </r>
    <r>
      <rPr>
        <b val="true"/>
        <sz val="9"/>
        <color rgb="FF1F4E9A"/>
        <rFont val="Arial"/>
        <family val="0"/>
        <charset val="1"/>
      </rPr>
      <t xml:space="preserve">Marca: </t>
    </r>
    <r>
      <rPr>
        <sz val="9"/>
        <color rgb="FF1F4E9A"/>
        <rFont val="Arial"/>
        <family val="0"/>
        <charset val="1"/>
      </rPr>
      <t xml:space="preserve">KSB. </t>
    </r>
    <r>
      <rPr>
        <b val="true"/>
        <sz val="9"/>
        <color rgb="FF000000"/>
        <rFont val="Arial"/>
        <family val="0"/>
        <charset val="1"/>
      </rPr>
      <t xml:space="preserve">Modelo: </t>
    </r>
    <r>
      <rPr>
        <sz val="9"/>
        <color rgb="FF000000"/>
        <rFont val="Arial"/>
        <family val="0"/>
        <charset val="1"/>
      </rPr>
      <t xml:space="preserve">125-080-315. </t>
    </r>
    <r>
      <rPr>
        <b val="true"/>
        <sz val="9"/>
        <color rgb="FF1F4E9A"/>
        <rFont val="Arial"/>
        <family val="0"/>
        <charset val="1"/>
      </rPr>
      <t xml:space="preserve">Capacidade: </t>
    </r>
    <r>
      <rPr>
        <sz val="9"/>
        <color rgb="FF1F4E9A"/>
        <rFont val="Arial"/>
        <family val="0"/>
        <charset val="1"/>
      </rPr>
      <t xml:space="preserve">Q 120 m³/h; H 50 a 54 mca; 1775 rpm. </t>
    </r>
    <r>
      <rPr>
        <b val="true"/>
        <sz val="9"/>
        <color rgb="FF1F4E9A"/>
        <rFont val="Arial"/>
        <family val="0"/>
        <charset val="1"/>
      </rPr>
      <t xml:space="preserve">Série/OP: </t>
    </r>
    <r>
      <rPr>
        <sz val="9"/>
        <color rgb="FF1F4E9A"/>
        <rFont val="Arial"/>
        <family val="0"/>
        <charset val="1"/>
      </rPr>
      <t xml:space="preserve">OP M482301611 a M482301625 (exceto 1618, 1620, 1621). </t>
    </r>
    <r>
      <rPr>
        <b val="true"/>
        <sz val="9"/>
        <color rgb="FF00703C"/>
        <rFont val="Arial"/>
        <family val="0"/>
        <charset val="1"/>
      </rPr>
      <t xml:space="preserve">TAG/SAP: </t>
    </r>
    <r>
      <rPr>
        <sz val="9"/>
        <color rgb="FF00703C"/>
        <rFont val="Arial"/>
        <family val="0"/>
        <charset val="1"/>
      </rPr>
      <t xml:space="preserve">12 TAGs no SAP. </t>
    </r>
    <r>
      <rPr>
        <b val="true"/>
        <sz val="9"/>
        <color rgb="FF1F4E9A"/>
        <rFont val="Arial"/>
        <family val="0"/>
        <charset val="1"/>
      </rPr>
      <t xml:space="preserve">Fabricação: </t>
    </r>
    <r>
      <rPr>
        <sz val="9"/>
        <color rgb="FF1F4E9A"/>
        <rFont val="Arial"/>
        <family val="0"/>
        <charset val="1"/>
      </rPr>
      <t xml:space="preserve">2024. 
</t>
    </r>
    <r>
      <rPr>
        <b val="true"/>
        <sz val="9"/>
        <color rgb="FF000000"/>
        <rFont val="Arial"/>
        <family val="0"/>
        <charset val="1"/>
      </rPr>
      <t xml:space="preserve">Obs. (coluna T): </t>
    </r>
    <r>
      <rPr>
        <sz val="9"/>
        <color rgb="FF000000"/>
        <rFont val="Arial"/>
        <family val="0"/>
        <charset val="1"/>
      </rPr>
      <t xml:space="preserve">As 12 placas (campo + ANP Fig. 146-160) trazem MCPK 125-80-315 EE, 2024, OPs sequenciais M4823016xx. 12 + 2 (linha 6) = 14 bombas 125-80-315 em campo = 14 da crítica. SAP cadastra as 12 TAGs. Vínculo TAG × linha (4 × 6) por indício: as 12 de Q 120 m³/h aqui; as 2 de Q 72 m³/h (B-3111/3112) na linha 6. </t>
    </r>
    <r>
      <rPr>
        <b val="true"/>
        <sz val="9"/>
        <color rgb="FF000000"/>
        <rFont val="Arial"/>
        <family val="0"/>
        <charset val="1"/>
      </rPr>
      <t xml:space="preserve">Fotos (coluna U): </t>
    </r>
    <r>
      <rPr>
        <sz val="9"/>
        <color rgb="FF000000"/>
        <rFont val="Arial"/>
        <family val="0"/>
        <charset val="1"/>
      </rPr>
      <t xml:space="preserve">ver componentes. 
</t>
    </r>
    <r>
      <rPr>
        <b val="true"/>
        <sz val="9"/>
        <color rgb="FF002060"/>
        <rFont val="Arial"/>
        <family val="0"/>
        <charset val="1"/>
      </rPr>
      <t xml:space="preserve">Cotação OPE154: </t>
    </r>
    <r>
      <rPr>
        <sz val="9"/>
        <color rgb="FF002060"/>
        <rFont val="Arial"/>
        <family val="0"/>
        <charset val="1"/>
      </rPr>
      <t xml:space="preserve">Cotação KSB RAS0051138 (escopo acordado Rev. 7 de 19/09/2023; planilha de preços Rev. 10 de 11/12/2023, assinada via DocuSign), referência BPA-0005-D-23: 21 bombas MEGACPK + 4 MEGAFLOW V + 1 MEGACPK 050-032-200.1 + 2 MEGACPK 125-100-250 = 28 bombas, total R$ 2.628.073,97 sem IPI / R$ 2.630.491,47 com IPI; todas Finame 03279333; ICMS 5,1394 %, PIS/COFINS 9,25 %, IPI 0 % (3,25 % só para a 050-032-200.1); prazo 150 dias; CIF posto Palmeirante sem descarga; pagamento 20 % com o pedido + 80 % a 30 DDL. Preço por TAG do modelo 125-080-315 a R$ 101.981,67 (R$ 87.307,12 sem impostos): itens 1 a 6 B-3103, B-3104, B-3105, B-3106, B-3107, B-3108; item 8 B-3110; itens 9 a 13 B-3111, B-3112, B-3113, B-3114, B-3115 = 12 un. × R$ 101.981,67 = R$ 1.223.780,04 (= linha 4). Escopo MEGACPK: back-pull-out, base em aço estrutural soldado com chumbadores e clipes de aterramento, acoplamento com espaçador, proteção de acoplamento em latão (NR-12), protetor de mancal GBS + câmara de expansão, selo mecânico cartucho, plano de selagem API 11, motor à prova de explosão WEG W22Xdb IR2 220/380/440 V isolação F B3D Zona 1/2 IIA/IIB/IIC T4, pintura EP-0001-A4-7200-06P cond. 1, plaqueta AISI 304, testes sem acompanhamento (hidrostático, performance, ruído/vibração, balanceamento), primeira carga de lubrificante, data-book por e-mail. 
</t>
    </r>
    <r>
      <rPr>
        <b val="true"/>
        <sz val="9"/>
        <color rgb="FF7030A0"/>
        <rFont val="Arial"/>
        <family val="0"/>
        <charset val="1"/>
      </rPr>
      <t xml:space="preserve">Novo v2 (achados / correções / proposições): </t>
    </r>
    <r>
      <rPr>
        <sz val="9"/>
        <color rgb="FF7030A0"/>
        <rFont val="Arial"/>
        <family val="0"/>
        <charset val="1"/>
      </rPr>
      <t xml:space="preserve">CORREÇÃO (fonte: planilha de preços KSB RAS0051138 Rev. 10): as 12 bombas de R$ 101.981,67 são B-3103, B-3104, B-3105, B-3106, B-3107, B-3108, B-3110, B-3111, B-3112, B-3113, B-3114 e B-3115 – e não B-3116/B-3117, que estão a R$ 87.358,35 (linha 6). A base de 07/10 inferiu B-3111/3112 na linha 6 pela vazão de 72 m³/h; a cotação mostra que o preço menor é dos dois TAGs de etanol anidro ferroviário (B-3116/3117), não dos de biodiesel. Logo, as 12 TAGs da linha 4 incluem B-3111/B-3112 e excluem B-3116/B-3117. Soma da cotação (itens 1-25) = R$ 2.630.491,47 ≈ linhas 4 a 13 da crítica (R$ 2.630.491,48; 1 centavo de arredondamento) – a crítica foi montada a partir desta planilha de preços. As três NFs KSB (34370 + 34511 + 543048) somam R$ 2.701.551,48, R$ 71.060,00 acima da cotação – o excesso já apontado na linha 11 é do processo KSB como um todo e não está na cotação (não é frete, que é CIF, nem start-up, cotado à parte em R$ 76.000,00). Contexto: MEGACPK 125-080-315 = bomba de processo ISO 2858 com motor Ex db WEG W22Xdb; Finame 03279333 cobre todas as 28 bombas. 
</t>
    </r>
    <r>
      <rPr>
        <b val="true"/>
        <sz val="9"/>
        <color rgb="FF000000"/>
        <rFont val="Arial"/>
        <family val="0"/>
        <charset val="1"/>
      </rPr>
      <t xml:space="preserve">COMPONENTES (12):
• B-3103: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(lista de linhas): produto gasolina; sucção 8", recalque 6"; fluxograma </t>
    </r>
    <r>
      <rPr>
        <strike val="true"/>
        <sz val="9"/>
        <color rgb="FFB38600"/>
        <rFont val="Arial"/>
        <family val="0"/>
        <charset val="1"/>
      </rPr>
      <t xml:space="preserve">DE-3100-1300-002</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B-3103</t>
    </r>
    <r>
      <rPr>
        <sz val="9"/>
        <color rgb="FF00703C"/>
        <rFont val="Arial"/>
        <family val="0"/>
        <charset val="1"/>
      </rPr>
      <t xml:space="preserve"> BOMBA CENTRIFUGA – local BPAM-SCAR-CET-01-34-01, equip. 000000121798, ABC B. </t>
    </r>
    <r>
      <rPr>
        <b val="true"/>
        <sz val="9"/>
        <color rgb="FF1F4E9A"/>
        <rFont val="Arial"/>
        <family val="0"/>
        <charset val="1"/>
      </rPr>
      <t xml:space="preserve">Placa/campo: </t>
    </r>
    <r>
      <rPr>
        <strike val="true"/>
        <sz val="9"/>
        <color rgb="FF1F4E9A"/>
        <rFont val="Arial"/>
        <family val="0"/>
        <charset val="1"/>
      </rPr>
      <t xml:space="preserve">ANP Fig. 146</t>
    </r>
    <r>
      <rPr>
        <sz val="9"/>
        <color rgb="FF1F4E9A"/>
        <rFont val="Arial"/>
        <family val="0"/>
        <charset val="1"/>
      </rPr>
      <t xml:space="preserve">: KSB </t>
    </r>
    <r>
      <rPr>
        <strike val="true"/>
        <sz val="9"/>
        <color rgb="FF1F4E9A"/>
        <rFont val="Arial"/>
        <family val="0"/>
        <charset val="1"/>
      </rPr>
      <t xml:space="preserve">MCPK 125-80-315 EE</t>
    </r>
    <r>
      <rPr>
        <sz val="9"/>
        <color rgb="FF1F4E9A"/>
        <rFont val="Arial"/>
        <family val="0"/>
        <charset val="1"/>
      </rPr>
      <t xml:space="preserve">, OP M482301611, Q 120 m3/h, H 52 mca, 1775 rpm, 163 kg, ano 2024; campo: MCPK (serie 315) | Gasolina A - carreg. rodoviario </t>
    </r>
    <r>
      <rPr>
        <b val="true"/>
        <sz val="9"/>
        <color rgb="FF000000"/>
        <rFont val="Arial"/>
        <family val="0"/>
        <charset val="1"/>
      </rPr>
      <t xml:space="preserve">Obs.: </t>
    </r>
    <r>
      <rPr>
        <sz val="9"/>
        <color rgb="FF000000"/>
        <rFont val="Arial"/>
        <family val="0"/>
        <charset val="1"/>
      </rPr>
      <t xml:space="preserve">Modelo da placa (</t>
    </r>
    <r>
      <rPr>
        <strike val="true"/>
        <sz val="9"/>
        <color rgb="FF000000"/>
        <rFont val="Arial"/>
        <family val="0"/>
        <charset val="1"/>
      </rPr>
      <t xml:space="preserve">MCPK 125-80-315 EE</t>
    </r>
    <r>
      <rPr>
        <sz val="9"/>
        <color rgb="FF000000"/>
        <rFont val="Arial"/>
        <family val="0"/>
        <charset val="1"/>
      </rPr>
      <t xml:space="preserve">) = crítica (125-080-315). OP só na ANP (M482301611); não lida em campo. Serviço em campo "Gasolina A - carreg. rodoviario" × lista de linhas "gasolina". Confronto campo×ANP: Parcial – ANP preenche OP nao lida/parcial em campo. Fabricação 2024 compatível com NF de 2024. </t>
    </r>
    <r>
      <rPr>
        <b val="true"/>
        <sz val="9"/>
        <color rgb="FF000000"/>
        <rFont val="Arial"/>
        <family val="0"/>
        <charset val="1"/>
      </rPr>
      <t xml:space="preserve">Fotos: </t>
    </r>
    <r>
      <rPr>
        <sz val="9"/>
        <color rgb="FF000000"/>
        <rFont val="Arial"/>
        <family val="0"/>
        <charset val="1"/>
      </rPr>
      <t xml:space="preserve">0125-0131 | </t>
    </r>
    <r>
      <rPr>
        <strike val="true"/>
        <sz val="9"/>
        <color rgb="FF000000"/>
        <rFont val="Arial"/>
        <family val="0"/>
        <charset val="1"/>
      </rPr>
      <t xml:space="preserve">ANP Fig. 146</t>
    </r>
    <r>
      <rPr>
        <sz val="9"/>
        <color rgb="FF000000"/>
        <rFont val="Arial"/>
        <family val="0"/>
        <charset val="1"/>
      </rPr>
      <t xml:space="preserve">. </t>
    </r>
    <r>
      <rPr>
        <b val="true"/>
        <sz val="9"/>
        <color rgb="FF002060"/>
        <rFont val="Arial"/>
        <family val="0"/>
        <charset val="1"/>
      </rPr>
      <t xml:space="preserve">Cotação: </t>
    </r>
    <r>
      <rPr>
        <sz val="9"/>
        <color rgb="FF002060"/>
        <rFont val="Arial"/>
        <family val="0"/>
        <charset val="1"/>
      </rPr>
      <t xml:space="preserve">KSB RAS0051138 Rev. 10 (11/12/2023), item 1: TAG B-3103, MEGACPK 125-080-315, 1 un., Finame 03279333, R$ 87.307,12 sem impostos / R$ 101.981,67 com impostos (ICMS 5,1394 %, PIS/COFINS 9,25 %, IPI 0 %), 150 dias. 
</t>
    </r>
    <r>
      <rPr>
        <b val="true"/>
        <sz val="9"/>
        <color rgb="FF000000"/>
        <rFont val="Arial"/>
        <family val="0"/>
        <charset val="1"/>
      </rPr>
      <t xml:space="preserve">• B-3104: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t>
    </r>
    <r>
      <rPr>
        <strike val="true"/>
        <sz val="9"/>
        <color rgb="FFB38600"/>
        <rFont val="Arial"/>
        <family val="0"/>
        <charset val="1"/>
      </rPr>
      <t xml:space="preserve">(lista de linhas)</t>
    </r>
    <r>
      <rPr>
        <sz val="9"/>
        <color rgb="FFB38600"/>
        <rFont val="Arial"/>
        <family val="0"/>
        <charset val="1"/>
      </rPr>
      <t xml:space="preserve">: produto gasolina; sucção 8", recalque 6"; fluxograma </t>
    </r>
    <r>
      <rPr>
        <strike val="true"/>
        <sz val="9"/>
        <color rgb="FFB38600"/>
        <rFont val="Arial"/>
        <family val="0"/>
        <charset val="1"/>
      </rPr>
      <t xml:space="preserve">DE-3100-1300-002</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B-3104</t>
    </r>
    <r>
      <rPr>
        <sz val="9"/>
        <color rgb="FF00703C"/>
        <rFont val="Arial"/>
        <family val="0"/>
        <charset val="1"/>
      </rPr>
      <t xml:space="preserve"> </t>
    </r>
    <r>
      <rPr>
        <strike val="true"/>
        <sz val="9"/>
        <color rgb="FF00703C"/>
        <rFont val="Arial"/>
        <family val="0"/>
        <charset val="1"/>
      </rPr>
      <t xml:space="preserve">BOMBA CENTRIFUGA</t>
    </r>
    <r>
      <rPr>
        <sz val="9"/>
        <color rgb="FF00703C"/>
        <rFont val="Arial"/>
        <family val="0"/>
        <charset val="1"/>
      </rPr>
      <t xml:space="preserve"> – local BPAM-SCAR-CET-01-37-01, equip. 000000121816, </t>
    </r>
    <r>
      <rPr>
        <strike val="true"/>
        <sz val="9"/>
        <color rgb="FF00703C"/>
        <rFont val="Arial"/>
        <family val="0"/>
        <charset val="1"/>
      </rPr>
      <t xml:space="preserve">ABC B</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ANP Fig. 147: </t>
    </r>
    <r>
      <rPr>
        <strike val="true"/>
        <sz val="9"/>
        <color rgb="FF1F4E9A"/>
        <rFont val="Arial"/>
        <family val="0"/>
        <charset val="1"/>
      </rPr>
      <t xml:space="preserve">KSB MCPK 125-80-315 EE</t>
    </r>
    <r>
      <rPr>
        <sz val="9"/>
        <color rgb="FF1F4E9A"/>
        <rFont val="Arial"/>
        <family val="0"/>
        <charset val="1"/>
      </rPr>
      <t xml:space="preserve">, OP M482301612, Q 120 m3/h, H 52 mca, 1775 rpm, 163 kg, </t>
    </r>
    <r>
      <rPr>
        <strike val="true"/>
        <sz val="9"/>
        <color rgb="FF1F4E9A"/>
        <rFont val="Arial"/>
        <family val="0"/>
        <charset val="1"/>
      </rPr>
      <t xml:space="preserve">ano 2024</t>
    </r>
    <r>
      <rPr>
        <sz val="9"/>
        <color rgb="FF1F4E9A"/>
        <rFont val="Arial"/>
        <family val="0"/>
        <charset val="1"/>
      </rPr>
      <t xml:space="preserve">; campo: MCPK 12?-80-315 EE | Q 120 m3/h | Gasolina A - carreg. rodoviario </t>
    </r>
    <r>
      <rPr>
        <b val="true"/>
        <sz val="9"/>
        <color rgb="FF000000"/>
        <rFont val="Arial"/>
        <family val="0"/>
        <charset val="1"/>
      </rPr>
      <t xml:space="preserve">Obs.: </t>
    </r>
    <r>
      <rPr>
        <strike val="true"/>
        <sz val="9"/>
        <color rgb="FF000000"/>
        <rFont val="Arial"/>
        <family val="0"/>
        <charset val="1"/>
      </rPr>
      <t xml:space="preserve">Modelo da placa (MCPK 125-80-315 EE) = crítica (125-080-315).</t>
    </r>
    <r>
      <rPr>
        <sz val="9"/>
        <color rgb="FF000000"/>
        <rFont val="Arial"/>
        <family val="0"/>
        <charset val="1"/>
      </rPr>
      <t xml:space="preserve"> </t>
    </r>
    <r>
      <rPr>
        <strike val="true"/>
        <sz val="9"/>
        <color rgb="FF000000"/>
        <rFont val="Arial"/>
        <family val="0"/>
        <charset val="1"/>
      </rPr>
      <t xml:space="preserve">OP só na ANP</t>
    </r>
    <r>
      <rPr>
        <sz val="9"/>
        <color rgb="FF000000"/>
        <rFont val="Arial"/>
        <family val="0"/>
        <charset val="1"/>
      </rPr>
      <t xml:space="preserve"> (M482301612); não lida em campo. Serviço em campo "Gasolina A - carreg. rodoviario" × lista de linhas "gasolina". </t>
    </r>
    <r>
      <rPr>
        <strike val="true"/>
        <sz val="9"/>
        <color rgb="FF000000"/>
        <rFont val="Arial"/>
        <family val="0"/>
        <charset val="1"/>
      </rPr>
      <t xml:space="preserve">Confronto campo×ANP: Parcial – ANP preenche OP nao lida/parcial em campo.</t>
    </r>
    <r>
      <rPr>
        <sz val="9"/>
        <color rgb="FF000000"/>
        <rFont val="Arial"/>
        <family val="0"/>
        <charset val="1"/>
      </rPr>
      <t xml:space="preserve"> </t>
    </r>
    <r>
      <rPr>
        <strike val="true"/>
        <sz val="9"/>
        <color rgb="FF000000"/>
        <rFont val="Arial"/>
        <family val="0"/>
        <charset val="1"/>
      </rPr>
      <t xml:space="preserve">Fabricação 2024 compatível com NF de 2024.</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0118-0124 | </t>
    </r>
    <r>
      <rPr>
        <strike val="true"/>
        <sz val="9"/>
        <color rgb="FF000000"/>
        <rFont val="Arial"/>
        <family val="0"/>
        <charset val="1"/>
      </rPr>
      <t xml:space="preserve">ANP Fig. 147</t>
    </r>
    <r>
      <rPr>
        <sz val="9"/>
        <color rgb="FF000000"/>
        <rFont val="Arial"/>
        <family val="0"/>
        <charset val="1"/>
      </rPr>
      <t xml:space="preserve">. </t>
    </r>
    <r>
      <rPr>
        <b val="true"/>
        <sz val="9"/>
        <color rgb="FF002060"/>
        <rFont val="Arial"/>
        <family val="0"/>
        <charset val="1"/>
      </rPr>
      <t xml:space="preserve">Cotação: </t>
    </r>
    <r>
      <rPr>
        <sz val="9"/>
        <color rgb="FF002060"/>
        <rFont val="Arial"/>
        <family val="0"/>
        <charset val="1"/>
      </rPr>
      <t xml:space="preserve">KSB RAS0051138 Rev. 10 (11/12/2023), item 2: TAG B-3104, MEGACPK 125-080-315, 1 un., Finame 03279333, R$ 87.307,12 sem impostos / R$ 101.981,67 com impostos (ICMS 5,1394 %, PIS/COFINS 9,25 %, IPI 0 %), 150 dias. 
</t>
    </r>
    <r>
      <rPr>
        <b val="true"/>
        <sz val="9"/>
        <color rgb="FF000000"/>
        <rFont val="Arial"/>
        <family val="0"/>
        <charset val="1"/>
      </rPr>
      <t xml:space="preserve">• B-3105: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t>
    </r>
    <r>
      <rPr>
        <strike val="true"/>
        <sz val="9"/>
        <color rgb="FFB38600"/>
        <rFont val="Arial"/>
        <family val="0"/>
        <charset val="1"/>
      </rPr>
      <t xml:space="preserve">(lista de linhas)</t>
    </r>
    <r>
      <rPr>
        <sz val="9"/>
        <color rgb="FFB38600"/>
        <rFont val="Arial"/>
        <family val="0"/>
        <charset val="1"/>
      </rPr>
      <t xml:space="preserve">: produto óleo diesel S10; sucção 8", recalque 6"; fluxograma </t>
    </r>
    <r>
      <rPr>
        <strike val="true"/>
        <sz val="9"/>
        <color rgb="FFB38600"/>
        <rFont val="Arial"/>
        <family val="0"/>
        <charset val="1"/>
      </rPr>
      <t xml:space="preserve">DE-3100-1300-002</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B-3105</t>
    </r>
    <r>
      <rPr>
        <sz val="9"/>
        <color rgb="FF00703C"/>
        <rFont val="Arial"/>
        <family val="0"/>
        <charset val="1"/>
      </rPr>
      <t xml:space="preserve"> </t>
    </r>
    <r>
      <rPr>
        <strike val="true"/>
        <sz val="9"/>
        <color rgb="FF00703C"/>
        <rFont val="Arial"/>
        <family val="0"/>
        <charset val="1"/>
      </rPr>
      <t xml:space="preserve">BOMBA CENTRIFUGA</t>
    </r>
    <r>
      <rPr>
        <sz val="9"/>
        <color rgb="FF00703C"/>
        <rFont val="Arial"/>
        <family val="0"/>
        <charset val="1"/>
      </rPr>
      <t xml:space="preserve"> – local BPAM-SCAR-CET-01-40-01, equip. 000000121831, </t>
    </r>
    <r>
      <rPr>
        <strike val="true"/>
        <sz val="9"/>
        <color rgb="FF00703C"/>
        <rFont val="Arial"/>
        <family val="0"/>
        <charset val="1"/>
      </rPr>
      <t xml:space="preserve">ABC B</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ANP Fig. 148: </t>
    </r>
    <r>
      <rPr>
        <strike val="true"/>
        <sz val="9"/>
        <color rgb="FF1F4E9A"/>
        <rFont val="Arial"/>
        <family val="0"/>
        <charset val="1"/>
      </rPr>
      <t xml:space="preserve">KSB MCPK 125-80-315 EE</t>
    </r>
    <r>
      <rPr>
        <sz val="9"/>
        <color rgb="FF1F4E9A"/>
        <rFont val="Arial"/>
        <family val="0"/>
        <charset val="1"/>
      </rPr>
      <t xml:space="preserve">, OP M482301613, Q 120 m3/h, H 54 mca, 1775 rpm, 163 kg, </t>
    </r>
    <r>
      <rPr>
        <strike val="true"/>
        <sz val="9"/>
        <color rgb="FF1F4E9A"/>
        <rFont val="Arial"/>
        <family val="0"/>
        <charset val="1"/>
      </rPr>
      <t xml:space="preserve">ano 2024</t>
    </r>
    <r>
      <rPr>
        <sz val="9"/>
        <color rgb="FF1F4E9A"/>
        <rFont val="Arial"/>
        <family val="0"/>
        <charset val="1"/>
      </rPr>
      <t xml:space="preserve">; campo: </t>
    </r>
    <r>
      <rPr>
        <strike val="true"/>
        <sz val="9"/>
        <color rgb="FF1F4E9A"/>
        <rFont val="Arial"/>
        <family val="0"/>
        <charset val="1"/>
      </rPr>
      <t xml:space="preserve">MCPK (serie 315)</t>
    </r>
    <r>
      <rPr>
        <sz val="9"/>
        <color rgb="FF1F4E9A"/>
        <rFont val="Arial"/>
        <family val="0"/>
        <charset val="1"/>
      </rPr>
      <t xml:space="preserve"> | Q 120 m3/h | OD S10 - carreg. rodoviario </t>
    </r>
    <r>
      <rPr>
        <b val="true"/>
        <sz val="9"/>
        <color rgb="FF000000"/>
        <rFont val="Arial"/>
        <family val="0"/>
        <charset val="1"/>
      </rPr>
      <t xml:space="preserve">Obs.: </t>
    </r>
    <r>
      <rPr>
        <strike val="true"/>
        <sz val="9"/>
        <color rgb="FF000000"/>
        <rFont val="Arial"/>
        <family val="0"/>
        <charset val="1"/>
      </rPr>
      <t xml:space="preserve">Modelo da placa (MCPK 125-80-315 EE) = crítica (125-080-315).</t>
    </r>
    <r>
      <rPr>
        <sz val="9"/>
        <color rgb="FF000000"/>
        <rFont val="Arial"/>
        <family val="0"/>
        <charset val="1"/>
      </rPr>
      <t xml:space="preserve"> </t>
    </r>
    <r>
      <rPr>
        <strike val="true"/>
        <sz val="9"/>
        <color rgb="FF000000"/>
        <rFont val="Arial"/>
        <family val="0"/>
        <charset val="1"/>
      </rPr>
      <t xml:space="preserve">OP só na ANP</t>
    </r>
    <r>
      <rPr>
        <sz val="9"/>
        <color rgb="FF000000"/>
        <rFont val="Arial"/>
        <family val="0"/>
        <charset val="1"/>
      </rPr>
      <t xml:space="preserve"> (M482301613); não lida em campo. Serviço em campo "OD S10 - carreg. rodoviario" × lista de linhas "óleo diesel S10". </t>
    </r>
    <r>
      <rPr>
        <strike val="true"/>
        <sz val="9"/>
        <color rgb="FF000000"/>
        <rFont val="Arial"/>
        <family val="0"/>
        <charset val="1"/>
      </rPr>
      <t xml:space="preserve">Confronto campo×ANP: Parcial – ANP preenche OP nao lida/parcial em campo.</t>
    </r>
    <r>
      <rPr>
        <sz val="9"/>
        <color rgb="FF000000"/>
        <rFont val="Arial"/>
        <family val="0"/>
        <charset val="1"/>
      </rPr>
      <t xml:space="preserve"> </t>
    </r>
    <r>
      <rPr>
        <strike val="true"/>
        <sz val="9"/>
        <color rgb="FF000000"/>
        <rFont val="Arial"/>
        <family val="0"/>
        <charset val="1"/>
      </rPr>
      <t xml:space="preserve">Fabricação 2024 compatível com NF de 2024.</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0157-0160 | </t>
    </r>
    <r>
      <rPr>
        <strike val="true"/>
        <sz val="9"/>
        <color rgb="FF000000"/>
        <rFont val="Arial"/>
        <family val="0"/>
        <charset val="1"/>
      </rPr>
      <t xml:space="preserve">ANP Fig. 148</t>
    </r>
    <r>
      <rPr>
        <sz val="9"/>
        <color rgb="FF000000"/>
        <rFont val="Arial"/>
        <family val="0"/>
        <charset val="1"/>
      </rPr>
      <t xml:space="preserve">. </t>
    </r>
    <r>
      <rPr>
        <b val="true"/>
        <sz val="9"/>
        <color rgb="FF002060"/>
        <rFont val="Arial"/>
        <family val="0"/>
        <charset val="1"/>
      </rPr>
      <t xml:space="preserve">Cotação: </t>
    </r>
    <r>
      <rPr>
        <sz val="9"/>
        <color rgb="FF002060"/>
        <rFont val="Arial"/>
        <family val="0"/>
        <charset val="1"/>
      </rPr>
      <t xml:space="preserve">KSB RAS0051138 Rev. 10 (11/12/2023), item 3: TAG B-3105, MEGACPK 125-080-315, 1 un., Finame 03279333, R$ 87.307,12 sem impostos / R$ 101.981,67 com impostos (ICMS 5,1394 %, PIS/COFINS 9,25 %, IPI 0 %), 150 dias. 
</t>
    </r>
    <r>
      <rPr>
        <b val="true"/>
        <sz val="9"/>
        <color rgb="FF000000"/>
        <rFont val="Arial"/>
        <family val="0"/>
        <charset val="1"/>
      </rPr>
      <t xml:space="preserve">• B-3106: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t>
    </r>
    <r>
      <rPr>
        <strike val="true"/>
        <sz val="9"/>
        <color rgb="FFB38600"/>
        <rFont val="Arial"/>
        <family val="0"/>
        <charset val="1"/>
      </rPr>
      <t xml:space="preserve">(lista de linhas)</t>
    </r>
    <r>
      <rPr>
        <sz val="9"/>
        <color rgb="FFB38600"/>
        <rFont val="Arial"/>
        <family val="0"/>
        <charset val="1"/>
      </rPr>
      <t xml:space="preserve">: produto óleo diesel S10; sucção 8", recalque 6"; fluxograma </t>
    </r>
    <r>
      <rPr>
        <strike val="true"/>
        <sz val="9"/>
        <color rgb="FFB38600"/>
        <rFont val="Arial"/>
        <family val="0"/>
        <charset val="1"/>
      </rPr>
      <t xml:space="preserve">DE-3100-1300-002</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B-3106</t>
    </r>
    <r>
      <rPr>
        <sz val="9"/>
        <color rgb="FF00703C"/>
        <rFont val="Arial"/>
        <family val="0"/>
        <charset val="1"/>
      </rPr>
      <t xml:space="preserve"> </t>
    </r>
    <r>
      <rPr>
        <strike val="true"/>
        <sz val="9"/>
        <color rgb="FF00703C"/>
        <rFont val="Arial"/>
        <family val="0"/>
        <charset val="1"/>
      </rPr>
      <t xml:space="preserve">BOMBA CENTRIFUGA</t>
    </r>
    <r>
      <rPr>
        <sz val="9"/>
        <color rgb="FF00703C"/>
        <rFont val="Arial"/>
        <family val="0"/>
        <charset val="1"/>
      </rPr>
      <t xml:space="preserve"> – local BPAM-SCAR-CET-01-43-01, equip. 000000121849, </t>
    </r>
    <r>
      <rPr>
        <strike val="true"/>
        <sz val="9"/>
        <color rgb="FF00703C"/>
        <rFont val="Arial"/>
        <family val="0"/>
        <charset val="1"/>
      </rPr>
      <t xml:space="preserve">ABC B</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ANP Fig. 149: </t>
    </r>
    <r>
      <rPr>
        <strike val="true"/>
        <sz val="9"/>
        <color rgb="FF1F4E9A"/>
        <rFont val="Arial"/>
        <family val="0"/>
        <charset val="1"/>
      </rPr>
      <t xml:space="preserve">KSB MCPK 125-80-315 EE</t>
    </r>
    <r>
      <rPr>
        <sz val="9"/>
        <color rgb="FF1F4E9A"/>
        <rFont val="Arial"/>
        <family val="0"/>
        <charset val="1"/>
      </rPr>
      <t xml:space="preserve">, OP M482301614, Q 120 m3/h, H 54 mca, 1775 rpm, 163 kg, </t>
    </r>
    <r>
      <rPr>
        <strike val="true"/>
        <sz val="9"/>
        <color rgb="FF1F4E9A"/>
        <rFont val="Arial"/>
        <family val="0"/>
        <charset val="1"/>
      </rPr>
      <t xml:space="preserve">ano 2024</t>
    </r>
    <r>
      <rPr>
        <sz val="9"/>
        <color rgb="FF1F4E9A"/>
        <rFont val="Arial"/>
        <family val="0"/>
        <charset val="1"/>
      </rPr>
      <t xml:space="preserve">; campo: </t>
    </r>
    <r>
      <rPr>
        <strike val="true"/>
        <sz val="9"/>
        <color rgb="FF1F4E9A"/>
        <rFont val="Arial"/>
        <family val="0"/>
        <charset val="1"/>
      </rPr>
      <t xml:space="preserve">MCPK 125-80-315 EE</t>
    </r>
    <r>
      <rPr>
        <sz val="9"/>
        <color rgb="FF1F4E9A"/>
        <rFont val="Arial"/>
        <family val="0"/>
        <charset val="1"/>
      </rPr>
      <t xml:space="preserve"> | OP M482301614 | Q 120 m3/h; H 54 mca; 1775 rpm; 163 kg | OD S10 - carreg. rodoviario </t>
    </r>
    <r>
      <rPr>
        <b val="true"/>
        <sz val="9"/>
        <color rgb="FF000000"/>
        <rFont val="Arial"/>
        <family val="0"/>
        <charset val="1"/>
      </rPr>
      <t xml:space="preserve">Obs.: </t>
    </r>
    <r>
      <rPr>
        <strike val="true"/>
        <sz val="9"/>
        <color rgb="FF000000"/>
        <rFont val="Arial"/>
        <family val="0"/>
        <charset val="1"/>
      </rPr>
      <t xml:space="preserve">Modelo da placa (MCPK 125-80-315 EE) = crítica (125-080-315).</t>
    </r>
    <r>
      <rPr>
        <sz val="9"/>
        <color rgb="FF000000"/>
        <rFont val="Arial"/>
        <family val="0"/>
        <charset val="1"/>
      </rPr>
      <t xml:space="preserve"> OP confere campo × ANP. Serviço em campo "OD S10 - carreg. rodoviario" × lista de linhas "óleo diesel S10". Confronto campo×ANP: S – OP confere. </t>
    </r>
    <r>
      <rPr>
        <strike val="true"/>
        <sz val="9"/>
        <color rgb="FF000000"/>
        <rFont val="Arial"/>
        <family val="0"/>
        <charset val="1"/>
      </rPr>
      <t xml:space="preserve">Fabricação 2024 compatível com NF de 2024.</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0152-0156 | </t>
    </r>
    <r>
      <rPr>
        <strike val="true"/>
        <sz val="9"/>
        <color rgb="FF000000"/>
        <rFont val="Arial"/>
        <family val="0"/>
        <charset val="1"/>
      </rPr>
      <t xml:space="preserve">ANP Fig. 149</t>
    </r>
    <r>
      <rPr>
        <sz val="9"/>
        <color rgb="FF000000"/>
        <rFont val="Arial"/>
        <family val="0"/>
        <charset val="1"/>
      </rPr>
      <t xml:space="preserve">. </t>
    </r>
    <r>
      <rPr>
        <b val="true"/>
        <sz val="9"/>
        <color rgb="FF002060"/>
        <rFont val="Arial"/>
        <family val="0"/>
        <charset val="1"/>
      </rPr>
      <t xml:space="preserve">Cotação: </t>
    </r>
    <r>
      <rPr>
        <sz val="9"/>
        <color rgb="FF002060"/>
        <rFont val="Arial"/>
        <family val="0"/>
        <charset val="1"/>
      </rPr>
      <t xml:space="preserve">KSB RAS0051138 Rev. 10 (11/12/2023), item 4: TAG B-3106, MEGACPK 125-080-315, 1 un., Finame 03279333, R$ 87.307,12 sem impostos / R$ 101.981,67 com impostos (ICMS 5,1394 %, PIS/COFINS 9,25 %, IPI 0 %), 150 dias. 
</t>
    </r>
    <r>
      <rPr>
        <b val="true"/>
        <sz val="9"/>
        <color rgb="FF000000"/>
        <rFont val="Arial"/>
        <family val="0"/>
        <charset val="1"/>
      </rPr>
      <t xml:space="preserve">• B-3107: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t>
    </r>
    <r>
      <rPr>
        <strike val="true"/>
        <sz val="9"/>
        <color rgb="FFB38600"/>
        <rFont val="Arial"/>
        <family val="0"/>
        <charset val="1"/>
      </rPr>
      <t xml:space="preserve">(lista de linhas)</t>
    </r>
    <r>
      <rPr>
        <sz val="9"/>
        <color rgb="FFB38600"/>
        <rFont val="Arial"/>
        <family val="0"/>
        <charset val="1"/>
      </rPr>
      <t xml:space="preserve">: produto óleo diesel S500; sucção 8", recalque 6"; fluxograma </t>
    </r>
    <r>
      <rPr>
        <strike val="true"/>
        <sz val="9"/>
        <color rgb="FFB38600"/>
        <rFont val="Arial"/>
        <family val="0"/>
        <charset val="1"/>
      </rPr>
      <t xml:space="preserve">DE-3100-1300-002</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B-3107</t>
    </r>
    <r>
      <rPr>
        <sz val="9"/>
        <color rgb="FF00703C"/>
        <rFont val="Arial"/>
        <family val="0"/>
        <charset val="1"/>
      </rPr>
      <t xml:space="preserve"> </t>
    </r>
    <r>
      <rPr>
        <strike val="true"/>
        <sz val="9"/>
        <color rgb="FF00703C"/>
        <rFont val="Arial"/>
        <family val="0"/>
        <charset val="1"/>
      </rPr>
      <t xml:space="preserve">BOMBA CENTRIFUGA</t>
    </r>
    <r>
      <rPr>
        <sz val="9"/>
        <color rgb="FF00703C"/>
        <rFont val="Arial"/>
        <family val="0"/>
        <charset val="1"/>
      </rPr>
      <t xml:space="preserve"> – local BPAM-SCAR-CET-01-25-01, equip. 000000121746, </t>
    </r>
    <r>
      <rPr>
        <strike val="true"/>
        <sz val="9"/>
        <color rgb="FF00703C"/>
        <rFont val="Arial"/>
        <family val="0"/>
        <charset val="1"/>
      </rPr>
      <t xml:space="preserve">ABC B</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ANP Fig. 150: </t>
    </r>
    <r>
      <rPr>
        <strike val="true"/>
        <sz val="9"/>
        <color rgb="FF1F4E9A"/>
        <rFont val="Arial"/>
        <family val="0"/>
        <charset val="1"/>
      </rPr>
      <t xml:space="preserve">KSB MCPK 125-80-315 EE</t>
    </r>
    <r>
      <rPr>
        <sz val="9"/>
        <color rgb="FF1F4E9A"/>
        <rFont val="Arial"/>
        <family val="0"/>
        <charset val="1"/>
      </rPr>
      <t xml:space="preserve">, OP M482301616, Q 120 m3/h, H 51 mca, 1775 rpm, 163 kg, </t>
    </r>
    <r>
      <rPr>
        <strike val="true"/>
        <sz val="9"/>
        <color rgb="FF1F4E9A"/>
        <rFont val="Arial"/>
        <family val="0"/>
        <charset val="1"/>
      </rPr>
      <t xml:space="preserve">ano 2024</t>
    </r>
    <r>
      <rPr>
        <sz val="9"/>
        <color rgb="FF1F4E9A"/>
        <rFont val="Arial"/>
        <family val="0"/>
        <charset val="1"/>
      </rPr>
      <t xml:space="preserve">; campo: </t>
    </r>
    <r>
      <rPr>
        <strike val="true"/>
        <sz val="9"/>
        <color rgb="FF1F4E9A"/>
        <rFont val="Arial"/>
        <family val="0"/>
        <charset val="1"/>
      </rPr>
      <t xml:space="preserve">MCPK 125-80-315 EE</t>
    </r>
    <r>
      <rPr>
        <sz val="9"/>
        <color rgb="FF1F4E9A"/>
        <rFont val="Arial"/>
        <family val="0"/>
        <charset val="1"/>
      </rPr>
      <t xml:space="preserve"> | OP M482301616 | Q 120 m3/h; H 51 mca; 1772 rpm; 163 kg | OD S500 - carreg. rodoviario </t>
    </r>
    <r>
      <rPr>
        <b val="true"/>
        <sz val="9"/>
        <color rgb="FF000000"/>
        <rFont val="Arial"/>
        <family val="0"/>
        <charset val="1"/>
      </rPr>
      <t xml:space="preserve">Obs.: </t>
    </r>
    <r>
      <rPr>
        <strike val="true"/>
        <sz val="9"/>
        <color rgb="FF000000"/>
        <rFont val="Arial"/>
        <family val="0"/>
        <charset val="1"/>
      </rPr>
      <t xml:space="preserve">Modelo da placa (MCPK 125-80-315 EE) = crítica (125-080-315).</t>
    </r>
    <r>
      <rPr>
        <sz val="9"/>
        <color rgb="FF000000"/>
        <rFont val="Arial"/>
        <family val="0"/>
        <charset val="1"/>
      </rPr>
      <t xml:space="preserve"> </t>
    </r>
    <r>
      <rPr>
        <strike val="true"/>
        <sz val="9"/>
        <color rgb="FF000000"/>
        <rFont val="Arial"/>
        <family val="0"/>
        <charset val="1"/>
      </rPr>
      <t xml:space="preserve">OP confere campo × ANP.</t>
    </r>
    <r>
      <rPr>
        <sz val="9"/>
        <color rgb="FF000000"/>
        <rFont val="Arial"/>
        <family val="0"/>
        <charset val="1"/>
      </rPr>
      <t xml:space="preserve"> Serviço em campo "OD S500 - carreg. rodoviario" × lista de linhas "óleo diesel S500". </t>
    </r>
    <r>
      <rPr>
        <strike val="true"/>
        <sz val="9"/>
        <color rgb="FF000000"/>
        <rFont val="Arial"/>
        <family val="0"/>
        <charset val="1"/>
      </rPr>
      <t xml:space="preserve">Confronto campo×ANP: S – OP confere.</t>
    </r>
    <r>
      <rPr>
        <sz val="9"/>
        <color rgb="FF000000"/>
        <rFont val="Arial"/>
        <family val="0"/>
        <charset val="1"/>
      </rPr>
      <t xml:space="preserve"> </t>
    </r>
    <r>
      <rPr>
        <strike val="true"/>
        <sz val="9"/>
        <color rgb="FF000000"/>
        <rFont val="Arial"/>
        <family val="0"/>
        <charset val="1"/>
      </rPr>
      <t xml:space="preserve">Fabricação 2024 compatível com NF de 2024.</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0138-0145 | </t>
    </r>
    <r>
      <rPr>
        <strike val="true"/>
        <sz val="9"/>
        <color rgb="FF000000"/>
        <rFont val="Arial"/>
        <family val="0"/>
        <charset val="1"/>
      </rPr>
      <t xml:space="preserve">ANP Fig. 150</t>
    </r>
    <r>
      <rPr>
        <sz val="9"/>
        <color rgb="FF000000"/>
        <rFont val="Arial"/>
        <family val="0"/>
        <charset val="1"/>
      </rPr>
      <t xml:space="preserve">. </t>
    </r>
    <r>
      <rPr>
        <b val="true"/>
        <sz val="9"/>
        <color rgb="FF002060"/>
        <rFont val="Arial"/>
        <family val="0"/>
        <charset val="1"/>
      </rPr>
      <t xml:space="preserve">Cotação: </t>
    </r>
    <r>
      <rPr>
        <sz val="9"/>
        <color rgb="FF002060"/>
        <rFont val="Arial"/>
        <family val="0"/>
        <charset val="1"/>
      </rPr>
      <t xml:space="preserve">KSB RAS0051138 Rev. 10 (11/12/2023), item 5: TAG B-3107, MEGACPK 125-080-315, 1 un., Finame 03279333, R$ 87.307,12 sem impostos / R$ 101.981,67 com impostos (ICMS 5,1394 %, PIS/COFINS 9,25 %, IPI 0 %), 150 dias. 
</t>
    </r>
    <r>
      <rPr>
        <b val="true"/>
        <sz val="9"/>
        <color rgb="FF000000"/>
        <rFont val="Arial"/>
        <family val="0"/>
        <charset val="1"/>
      </rPr>
      <t xml:space="preserve">• B-3108: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t>
    </r>
    <r>
      <rPr>
        <strike val="true"/>
        <sz val="9"/>
        <color rgb="FFB38600"/>
        <rFont val="Arial"/>
        <family val="0"/>
        <charset val="1"/>
      </rPr>
      <t xml:space="preserve">(lista de linhas)</t>
    </r>
    <r>
      <rPr>
        <sz val="9"/>
        <color rgb="FFB38600"/>
        <rFont val="Arial"/>
        <family val="0"/>
        <charset val="1"/>
      </rPr>
      <t xml:space="preserve">: produto óleo diesel S500; sucção 8", recalque 6"; fluxograma </t>
    </r>
    <r>
      <rPr>
        <strike val="true"/>
        <sz val="9"/>
        <color rgb="FFB38600"/>
        <rFont val="Arial"/>
        <family val="0"/>
        <charset val="1"/>
      </rPr>
      <t xml:space="preserve">DE-3100-1300-002</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B-3108</t>
    </r>
    <r>
      <rPr>
        <sz val="9"/>
        <color rgb="FF00703C"/>
        <rFont val="Arial"/>
        <family val="0"/>
        <charset val="1"/>
      </rPr>
      <t xml:space="preserve"> </t>
    </r>
    <r>
      <rPr>
        <strike val="true"/>
        <sz val="9"/>
        <color rgb="FF00703C"/>
        <rFont val="Arial"/>
        <family val="0"/>
        <charset val="1"/>
      </rPr>
      <t xml:space="preserve">BOMBA CENTRIFUGA</t>
    </r>
    <r>
      <rPr>
        <sz val="9"/>
        <color rgb="FF00703C"/>
        <rFont val="Arial"/>
        <family val="0"/>
        <charset val="1"/>
      </rPr>
      <t xml:space="preserve"> – local BPAM-SCAR-CET-01-28-01, equip. 000000121764, </t>
    </r>
    <r>
      <rPr>
        <strike val="true"/>
        <sz val="9"/>
        <color rgb="FF00703C"/>
        <rFont val="Arial"/>
        <family val="0"/>
        <charset val="1"/>
      </rPr>
      <t xml:space="preserve">ABC B</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ANP Fig. 151: </t>
    </r>
    <r>
      <rPr>
        <strike val="true"/>
        <sz val="9"/>
        <color rgb="FF1F4E9A"/>
        <rFont val="Arial"/>
        <family val="0"/>
        <charset val="1"/>
      </rPr>
      <t xml:space="preserve">KSB MCPK 125-80-315 EE</t>
    </r>
    <r>
      <rPr>
        <sz val="9"/>
        <color rgb="FF1F4E9A"/>
        <rFont val="Arial"/>
        <family val="0"/>
        <charset val="1"/>
      </rPr>
      <t xml:space="preserve">, OP M482301617, Q 120 m3/h, H 51 mca, 1775 rpm, 163 kg, </t>
    </r>
    <r>
      <rPr>
        <strike val="true"/>
        <sz val="9"/>
        <color rgb="FF1F4E9A"/>
        <rFont val="Arial"/>
        <family val="0"/>
        <charset val="1"/>
      </rPr>
      <t xml:space="preserve">ano 2024</t>
    </r>
    <r>
      <rPr>
        <sz val="9"/>
        <color rgb="FF1F4E9A"/>
        <rFont val="Arial"/>
        <family val="0"/>
        <charset val="1"/>
      </rPr>
      <t xml:space="preserve">; campo: </t>
    </r>
    <r>
      <rPr>
        <strike val="true"/>
        <sz val="9"/>
        <color rgb="FF1F4E9A"/>
        <rFont val="Arial"/>
        <family val="0"/>
        <charset val="1"/>
      </rPr>
      <t xml:space="preserve">MCPK 125-80-315 EE</t>
    </r>
    <r>
      <rPr>
        <sz val="9"/>
        <color rgb="FF1F4E9A"/>
        <rFont val="Arial"/>
        <family val="0"/>
        <charset val="1"/>
      </rPr>
      <t xml:space="preserve"> | OP M482301617 | Q 120 m3/h; H 51 mca; 1775 rpm; 163 kg | OD S500 - carreg. rodoviario </t>
    </r>
    <r>
      <rPr>
        <b val="true"/>
        <sz val="9"/>
        <color rgb="FF000000"/>
        <rFont val="Arial"/>
        <family val="0"/>
        <charset val="1"/>
      </rPr>
      <t xml:space="preserve">Obs.: </t>
    </r>
    <r>
      <rPr>
        <strike val="true"/>
        <sz val="9"/>
        <color rgb="FF000000"/>
        <rFont val="Arial"/>
        <family val="0"/>
        <charset val="1"/>
      </rPr>
      <t xml:space="preserve">Modelo da placa (MCPK 125-80-315 EE) = crítica (125-080-315).</t>
    </r>
    <r>
      <rPr>
        <sz val="9"/>
        <color rgb="FF000000"/>
        <rFont val="Arial"/>
        <family val="0"/>
        <charset val="1"/>
      </rPr>
      <t xml:space="preserve"> </t>
    </r>
    <r>
      <rPr>
        <strike val="true"/>
        <sz val="9"/>
        <color rgb="FF000000"/>
        <rFont val="Arial"/>
        <family val="0"/>
        <charset val="1"/>
      </rPr>
      <t xml:space="preserve">OP confere campo × ANP.</t>
    </r>
    <r>
      <rPr>
        <sz val="9"/>
        <color rgb="FF000000"/>
        <rFont val="Arial"/>
        <family val="0"/>
        <charset val="1"/>
      </rPr>
      <t xml:space="preserve"> Serviço em campo "OD S500 - carreg. rodoviario" × lista de linhas "óleo diesel S500". </t>
    </r>
    <r>
      <rPr>
        <strike val="true"/>
        <sz val="9"/>
        <color rgb="FF000000"/>
        <rFont val="Arial"/>
        <family val="0"/>
        <charset val="1"/>
      </rPr>
      <t xml:space="preserve">Confronto campo×ANP: S – OP confere.</t>
    </r>
    <r>
      <rPr>
        <sz val="9"/>
        <color rgb="FF000000"/>
        <rFont val="Arial"/>
        <family val="0"/>
        <charset val="1"/>
      </rPr>
      <t xml:space="preserve"> </t>
    </r>
    <r>
      <rPr>
        <strike val="true"/>
        <sz val="9"/>
        <color rgb="FF000000"/>
        <rFont val="Arial"/>
        <family val="0"/>
        <charset val="1"/>
      </rPr>
      <t xml:space="preserve">Fabricação 2024 compatível com NF de 2024.</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0132-0137 | </t>
    </r>
    <r>
      <rPr>
        <strike val="true"/>
        <sz val="9"/>
        <color rgb="FF000000"/>
        <rFont val="Arial"/>
        <family val="0"/>
        <charset val="1"/>
      </rPr>
      <t xml:space="preserve">ANP Fig. 151</t>
    </r>
    <r>
      <rPr>
        <sz val="9"/>
        <color rgb="FF000000"/>
        <rFont val="Arial"/>
        <family val="0"/>
        <charset val="1"/>
      </rPr>
      <t xml:space="preserve">. </t>
    </r>
    <r>
      <rPr>
        <b val="true"/>
        <sz val="9"/>
        <color rgb="FF002060"/>
        <rFont val="Arial"/>
        <family val="0"/>
        <charset val="1"/>
      </rPr>
      <t xml:space="preserve">Cotação: </t>
    </r>
    <r>
      <rPr>
        <sz val="9"/>
        <color rgb="FF002060"/>
        <rFont val="Arial"/>
        <family val="0"/>
        <charset val="1"/>
      </rPr>
      <t xml:space="preserve">KSB RAS0051138 Rev. 10 (11/12/2023), item 6: TAG B-3108, MEGACPK 125-080-315, 1 un., Finame 03279333, R$ 87.307,12 sem impostos / R$ 101.981,67 com impostos (ICMS 5,1394 %, PIS/COFINS 9,25 %, IPI 0 %), 150 dias. 
</t>
    </r>
    <r>
      <rPr>
        <b val="true"/>
        <sz val="9"/>
        <color rgb="FF000000"/>
        <rFont val="Arial"/>
        <family val="0"/>
        <charset val="1"/>
      </rPr>
      <t xml:space="preserve">• B-3110: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t>
    </r>
    <r>
      <rPr>
        <strike val="true"/>
        <sz val="9"/>
        <color rgb="FFB38600"/>
        <rFont val="Arial"/>
        <family val="0"/>
        <charset val="1"/>
      </rPr>
      <t xml:space="preserve">(lista de linhas)</t>
    </r>
    <r>
      <rPr>
        <sz val="9"/>
        <color rgb="FFB38600"/>
        <rFont val="Arial"/>
        <family val="0"/>
        <charset val="1"/>
      </rPr>
      <t xml:space="preserve">: produto etanol hidratado; sucção 6", recalque 6"; fluxograma </t>
    </r>
    <r>
      <rPr>
        <strike val="true"/>
        <sz val="9"/>
        <color rgb="FFB38600"/>
        <rFont val="Arial"/>
        <family val="0"/>
        <charset val="1"/>
      </rPr>
      <t xml:space="preserve">DE-3100-1300-002</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B-3110</t>
    </r>
    <r>
      <rPr>
        <sz val="9"/>
        <color rgb="FF00703C"/>
        <rFont val="Arial"/>
        <family val="0"/>
        <charset val="1"/>
      </rPr>
      <t xml:space="preserve"> </t>
    </r>
    <r>
      <rPr>
        <strike val="true"/>
        <sz val="9"/>
        <color rgb="FF00703C"/>
        <rFont val="Arial"/>
        <family val="0"/>
        <charset val="1"/>
      </rPr>
      <t xml:space="preserve">BOMBA CENTRIFUGA</t>
    </r>
    <r>
      <rPr>
        <sz val="9"/>
        <color rgb="FF00703C"/>
        <rFont val="Arial"/>
        <family val="0"/>
        <charset val="1"/>
      </rPr>
      <t xml:space="preserve"> – local BPAM-SCAR-CET-01-22-01, equip. 000000121724, </t>
    </r>
    <r>
      <rPr>
        <strike val="true"/>
        <sz val="9"/>
        <color rgb="FF00703C"/>
        <rFont val="Arial"/>
        <family val="0"/>
        <charset val="1"/>
      </rPr>
      <t xml:space="preserve">ABC B</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ANP Fig. 153: </t>
    </r>
    <r>
      <rPr>
        <strike val="true"/>
        <sz val="9"/>
        <color rgb="FF1F4E9A"/>
        <rFont val="Arial"/>
        <family val="0"/>
        <charset val="1"/>
      </rPr>
      <t xml:space="preserve">KSB MCPK 125-80-315 EE</t>
    </r>
    <r>
      <rPr>
        <sz val="9"/>
        <color rgb="FF1F4E9A"/>
        <rFont val="Arial"/>
        <family val="0"/>
        <charset val="1"/>
      </rPr>
      <t xml:space="preserve">, OP M482301619, Q 120 m3/h, H 52 mca, 1775 rpm, 163 kg, </t>
    </r>
    <r>
      <rPr>
        <strike val="true"/>
        <sz val="9"/>
        <color rgb="FF1F4E9A"/>
        <rFont val="Arial"/>
        <family val="0"/>
        <charset val="1"/>
      </rPr>
      <t xml:space="preserve">ano 2024</t>
    </r>
    <r>
      <rPr>
        <sz val="9"/>
        <color rgb="FF1F4E9A"/>
        <rFont val="Arial"/>
        <family val="0"/>
        <charset val="1"/>
      </rPr>
      <t xml:space="preserve">; campo: </t>
    </r>
    <r>
      <rPr>
        <strike val="true"/>
        <sz val="9"/>
        <color rgb="FF1F4E9A"/>
        <rFont val="Arial"/>
        <family val="0"/>
        <charset val="1"/>
      </rPr>
      <t xml:space="preserve">MCPK (serie 315)</t>
    </r>
    <r>
      <rPr>
        <sz val="9"/>
        <color rgb="FF1F4E9A"/>
        <rFont val="Arial"/>
        <family val="0"/>
        <charset val="1"/>
      </rPr>
      <t xml:space="preserve"> | Etanol hidratado - reserva da B-3109 </t>
    </r>
    <r>
      <rPr>
        <b val="true"/>
        <sz val="9"/>
        <color rgb="FF000000"/>
        <rFont val="Arial"/>
        <family val="0"/>
        <charset val="1"/>
      </rPr>
      <t xml:space="preserve">Obs.: </t>
    </r>
    <r>
      <rPr>
        <strike val="true"/>
        <sz val="9"/>
        <color rgb="FF000000"/>
        <rFont val="Arial"/>
        <family val="0"/>
        <charset val="1"/>
      </rPr>
      <t xml:space="preserve">Modelo da placa (MCPK 125-80-315 EE) = crítica (125-080-315).</t>
    </r>
    <r>
      <rPr>
        <sz val="9"/>
        <color rgb="FF000000"/>
        <rFont val="Arial"/>
        <family val="0"/>
        <charset val="1"/>
      </rPr>
      <t xml:space="preserve"> </t>
    </r>
    <r>
      <rPr>
        <strike val="true"/>
        <sz val="9"/>
        <color rgb="FF000000"/>
        <rFont val="Arial"/>
        <family val="0"/>
        <charset val="1"/>
      </rPr>
      <t xml:space="preserve">OP só na ANP</t>
    </r>
    <r>
      <rPr>
        <sz val="9"/>
        <color rgb="FF000000"/>
        <rFont val="Arial"/>
        <family val="0"/>
        <charset val="1"/>
      </rPr>
      <t xml:space="preserve"> (M482301619); não lida em campo. Serviço em campo "Etanol hidratado - reserva da </t>
    </r>
    <r>
      <rPr>
        <strike val="true"/>
        <sz val="9"/>
        <color rgb="FF000000"/>
        <rFont val="Arial"/>
        <family val="0"/>
        <charset val="1"/>
      </rPr>
      <t xml:space="preserve">B-3109</t>
    </r>
    <r>
      <rPr>
        <sz val="9"/>
        <color rgb="FF000000"/>
        <rFont val="Arial"/>
        <family val="0"/>
        <charset val="1"/>
      </rPr>
      <t xml:space="preserve">" × lista de linhas "etanol hidratado". </t>
    </r>
    <r>
      <rPr>
        <strike val="true"/>
        <sz val="9"/>
        <color rgb="FF000000"/>
        <rFont val="Arial"/>
        <family val="0"/>
        <charset val="1"/>
      </rPr>
      <t xml:space="preserve">Confronto campo×ANP: Parcial – ANP preenche OP nao lida/parcial em campo.</t>
    </r>
    <r>
      <rPr>
        <sz val="9"/>
        <color rgb="FF000000"/>
        <rFont val="Arial"/>
        <family val="0"/>
        <charset val="1"/>
      </rPr>
      <t xml:space="preserve"> </t>
    </r>
    <r>
      <rPr>
        <strike val="true"/>
        <sz val="9"/>
        <color rgb="FF000000"/>
        <rFont val="Arial"/>
        <family val="0"/>
        <charset val="1"/>
      </rPr>
      <t xml:space="preserve">Fabricação 2024 compatível com NF de 2024.</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0095-0101 | </t>
    </r>
    <r>
      <rPr>
        <strike val="true"/>
        <sz val="9"/>
        <color rgb="FF000000"/>
        <rFont val="Arial"/>
        <family val="0"/>
        <charset val="1"/>
      </rPr>
      <t xml:space="preserve">ANP Fig. 153</t>
    </r>
    <r>
      <rPr>
        <sz val="9"/>
        <color rgb="FF000000"/>
        <rFont val="Arial"/>
        <family val="0"/>
        <charset val="1"/>
      </rPr>
      <t xml:space="preserve">. </t>
    </r>
    <r>
      <rPr>
        <b val="true"/>
        <sz val="9"/>
        <color rgb="FF002060"/>
        <rFont val="Arial"/>
        <family val="0"/>
        <charset val="1"/>
      </rPr>
      <t xml:space="preserve">Cotação: </t>
    </r>
    <r>
      <rPr>
        <sz val="9"/>
        <color rgb="FF002060"/>
        <rFont val="Arial"/>
        <family val="0"/>
        <charset val="1"/>
      </rPr>
      <t xml:space="preserve">KSB RAS0051138 Rev. 10 (11/12/2023), item 8: TAG B-3110, MEGACPK 125-080-315, 1 un., Finame 03279333, R$ 87.307,12 sem impostos / R$ 101.981,67 com impostos (ICMS 5,1394 %, PIS/COFINS 9,25 %, IPI 0 %), 150 dias. 
</t>
    </r>
    <r>
      <rPr>
        <b val="true"/>
        <sz val="9"/>
        <color rgb="FF000000"/>
        <rFont val="Arial"/>
        <family val="0"/>
        <charset val="1"/>
      </rPr>
      <t xml:space="preserve">• B-3113: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t>
    </r>
    <r>
      <rPr>
        <strike val="true"/>
        <sz val="9"/>
        <color rgb="FFB38600"/>
        <rFont val="Arial"/>
        <family val="0"/>
        <charset val="1"/>
      </rPr>
      <t xml:space="preserve">(lista de linhas)</t>
    </r>
    <r>
      <rPr>
        <sz val="9"/>
        <color rgb="FFB38600"/>
        <rFont val="Arial"/>
        <family val="0"/>
        <charset val="1"/>
      </rPr>
      <t xml:space="preserve">: produto óleo diesel S500; sucção 8", recalque 6"; fluxograma </t>
    </r>
    <r>
      <rPr>
        <strike val="true"/>
        <sz val="9"/>
        <color rgb="FFB38600"/>
        <rFont val="Arial"/>
        <family val="0"/>
        <charset val="1"/>
      </rPr>
      <t xml:space="preserve">DE-3100-1300-002</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B-3113</t>
    </r>
    <r>
      <rPr>
        <sz val="9"/>
        <color rgb="FF00703C"/>
        <rFont val="Arial"/>
        <family val="0"/>
        <charset val="1"/>
      </rPr>
      <t xml:space="preserve"> </t>
    </r>
    <r>
      <rPr>
        <strike val="true"/>
        <sz val="9"/>
        <color rgb="FF00703C"/>
        <rFont val="Arial"/>
        <family val="0"/>
        <charset val="1"/>
      </rPr>
      <t xml:space="preserve">BOMBA CENTRIFUGA</t>
    </r>
    <r>
      <rPr>
        <sz val="9"/>
        <color rgb="FF00703C"/>
        <rFont val="Arial"/>
        <family val="0"/>
        <charset val="1"/>
      </rPr>
      <t xml:space="preserve"> – local BPAM-SCAR-CET-01-31-01, equip. 000000121779, </t>
    </r>
    <r>
      <rPr>
        <strike val="true"/>
        <sz val="9"/>
        <color rgb="FF00703C"/>
        <rFont val="Arial"/>
        <family val="0"/>
        <charset val="1"/>
      </rPr>
      <t xml:space="preserve">ABC B</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ANP Fig. 156: </t>
    </r>
    <r>
      <rPr>
        <strike val="true"/>
        <sz val="9"/>
        <color rgb="FF1F4E9A"/>
        <rFont val="Arial"/>
        <family val="0"/>
        <charset val="1"/>
      </rPr>
      <t xml:space="preserve">KSB MCPK 125-80-315 EE</t>
    </r>
    <r>
      <rPr>
        <sz val="9"/>
        <color rgb="FF1F4E9A"/>
        <rFont val="Arial"/>
        <family val="0"/>
        <charset val="1"/>
      </rPr>
      <t xml:space="preserve">, OP M482301615, Q 120 m3/h, H 54 mca, 1775 rpm, 163 kg, </t>
    </r>
    <r>
      <rPr>
        <strike val="true"/>
        <sz val="9"/>
        <color rgb="FF1F4E9A"/>
        <rFont val="Arial"/>
        <family val="0"/>
        <charset val="1"/>
      </rPr>
      <t xml:space="preserve">ano 2024</t>
    </r>
    <r>
      <rPr>
        <sz val="9"/>
        <color rgb="FF1F4E9A"/>
        <rFont val="Arial"/>
        <family val="0"/>
        <charset val="1"/>
      </rPr>
      <t xml:space="preserve">; campo: MCPK (serie 315) EE | OP M482301615 | Q 120 m3/h; H 54 mca; 1775 rpm; 163 kg | OD S10 / OD S500 - reserva rodoviario </t>
    </r>
    <r>
      <rPr>
        <b val="true"/>
        <sz val="9"/>
        <color rgb="FF000000"/>
        <rFont val="Arial"/>
        <family val="0"/>
        <charset val="1"/>
      </rPr>
      <t xml:space="preserve">Obs.: </t>
    </r>
    <r>
      <rPr>
        <strike val="true"/>
        <sz val="9"/>
        <color rgb="FF000000"/>
        <rFont val="Arial"/>
        <family val="0"/>
        <charset val="1"/>
      </rPr>
      <t xml:space="preserve">Modelo da placa (MCPK 125-80-315 EE) = crítica (125-080-315).</t>
    </r>
    <r>
      <rPr>
        <sz val="9"/>
        <color rgb="FF000000"/>
        <rFont val="Arial"/>
        <family val="0"/>
        <charset val="1"/>
      </rPr>
      <t xml:space="preserve"> </t>
    </r>
    <r>
      <rPr>
        <strike val="true"/>
        <sz val="9"/>
        <color rgb="FF000000"/>
        <rFont val="Arial"/>
        <family val="0"/>
        <charset val="1"/>
      </rPr>
      <t xml:space="preserve">OP confere campo × ANP.</t>
    </r>
    <r>
      <rPr>
        <sz val="9"/>
        <color rgb="FF000000"/>
        <rFont val="Arial"/>
        <family val="0"/>
        <charset val="1"/>
      </rPr>
      <t xml:space="preserve"> Serviço em campo "OD S10 / OD S500 - reserva rodoviario" × lista de linhas "óleo diesel S500". </t>
    </r>
    <r>
      <rPr>
        <strike val="true"/>
        <sz val="9"/>
        <color rgb="FF000000"/>
        <rFont val="Arial"/>
        <family val="0"/>
        <charset val="1"/>
      </rPr>
      <t xml:space="preserve">Confronto campo×ANP: S – OP confere.</t>
    </r>
    <r>
      <rPr>
        <sz val="9"/>
        <color rgb="FF000000"/>
        <rFont val="Arial"/>
        <family val="0"/>
        <charset val="1"/>
      </rPr>
      <t xml:space="preserve"> </t>
    </r>
    <r>
      <rPr>
        <strike val="true"/>
        <sz val="9"/>
        <color rgb="FF000000"/>
        <rFont val="Arial"/>
        <family val="0"/>
        <charset val="1"/>
      </rPr>
      <t xml:space="preserve">Fabricação 2024 compatível com NF de 2024.</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0146-0151 | </t>
    </r>
    <r>
      <rPr>
        <strike val="true"/>
        <sz val="9"/>
        <color rgb="FF000000"/>
        <rFont val="Arial"/>
        <family val="0"/>
        <charset val="1"/>
      </rPr>
      <t xml:space="preserve">ANP Fig. 156</t>
    </r>
    <r>
      <rPr>
        <sz val="9"/>
        <color rgb="FF000000"/>
        <rFont val="Arial"/>
        <family val="0"/>
        <charset val="1"/>
      </rPr>
      <t xml:space="preserve">. </t>
    </r>
    <r>
      <rPr>
        <b val="true"/>
        <sz val="9"/>
        <color rgb="FF002060"/>
        <rFont val="Arial"/>
        <family val="0"/>
        <charset val="1"/>
      </rPr>
      <t xml:space="preserve">Cotação: </t>
    </r>
    <r>
      <rPr>
        <sz val="9"/>
        <color rgb="FF002060"/>
        <rFont val="Arial"/>
        <family val="0"/>
        <charset val="1"/>
      </rPr>
      <t xml:space="preserve">KSB RAS0051138 Rev. 10 (11/12/2023), item 11: TAG B-3113, MEGACPK 125-080-315, 1 un., Finame 03279333, R$ 87.307,12 sem impostos / R$ 101.981,67 com impostos (ICMS 5,1394 %, PIS/COFINS 9,25 %, IPI 0 %), 150 dias. 
</t>
    </r>
    <r>
      <rPr>
        <b val="true"/>
        <sz val="9"/>
        <color rgb="FF000000"/>
        <rFont val="Arial"/>
        <family val="0"/>
        <charset val="1"/>
      </rPr>
      <t xml:space="preserve">• B-3114: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t>
    </r>
    <r>
      <rPr>
        <strike val="true"/>
        <sz val="9"/>
        <color rgb="FFB38600"/>
        <rFont val="Arial"/>
        <family val="0"/>
        <charset val="1"/>
      </rPr>
      <t xml:space="preserve">(lista de linhas)</t>
    </r>
    <r>
      <rPr>
        <sz val="9"/>
        <color rgb="FFB38600"/>
        <rFont val="Arial"/>
        <family val="0"/>
        <charset val="1"/>
      </rPr>
      <t xml:space="preserve">: produto biodiesel; sucção 6", recalque 6"; fluxograma </t>
    </r>
    <r>
      <rPr>
        <strike val="true"/>
        <sz val="9"/>
        <color rgb="FFB38600"/>
        <rFont val="Arial"/>
        <family val="0"/>
        <charset val="1"/>
      </rPr>
      <t xml:space="preserve">DE-3100-1300-002</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B-3114</t>
    </r>
    <r>
      <rPr>
        <sz val="9"/>
        <color rgb="FF00703C"/>
        <rFont val="Arial"/>
        <family val="0"/>
        <charset val="1"/>
      </rPr>
      <t xml:space="preserve"> </t>
    </r>
    <r>
      <rPr>
        <strike val="true"/>
        <sz val="9"/>
        <color rgb="FF00703C"/>
        <rFont val="Arial"/>
        <family val="0"/>
        <charset val="1"/>
      </rPr>
      <t xml:space="preserve">BOMBA CENTRIFUGA</t>
    </r>
    <r>
      <rPr>
        <sz val="9"/>
        <color rgb="FF00703C"/>
        <rFont val="Arial"/>
        <family val="0"/>
        <charset val="1"/>
      </rPr>
      <t xml:space="preserve"> – local BPAM-SCAR-CET-01-01-01, equip. 000000121603, </t>
    </r>
    <r>
      <rPr>
        <strike val="true"/>
        <sz val="9"/>
        <color rgb="FF00703C"/>
        <rFont val="Arial"/>
        <family val="0"/>
        <charset val="1"/>
      </rPr>
      <t xml:space="preserve">ABC B</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ANP Fig. 157: KSB MCPK 125-080-315 EE, OP M482301622, Q 120 m3/h, H 50 mca, 1775 rpm, 158 kg, </t>
    </r>
    <r>
      <rPr>
        <strike val="true"/>
        <sz val="9"/>
        <color rgb="FF1F4E9A"/>
        <rFont val="Arial"/>
        <family val="0"/>
        <charset val="1"/>
      </rPr>
      <t xml:space="preserve">ano 2024</t>
    </r>
    <r>
      <rPr>
        <sz val="9"/>
        <color rgb="FF1F4E9A"/>
        <rFont val="Arial"/>
        <family val="0"/>
        <charset val="1"/>
      </rPr>
      <t xml:space="preserve">; campo: </t>
    </r>
    <r>
      <rPr>
        <strike val="true"/>
        <sz val="9"/>
        <color rgb="FF1F4E9A"/>
        <rFont val="Arial"/>
        <family val="0"/>
        <charset val="1"/>
      </rPr>
      <t xml:space="preserve">MCPK (serie 315)</t>
    </r>
    <r>
      <rPr>
        <sz val="9"/>
        <color rgb="FF1F4E9A"/>
        <rFont val="Arial"/>
        <family val="0"/>
        <charset val="1"/>
      </rPr>
      <t xml:space="preserve"> | OP M482301622 | Q 120 m3/h; H 50 mca; 1775 rpm; 158 kg | Biodiesel - carreg. ferroviario </t>
    </r>
    <r>
      <rPr>
        <b val="true"/>
        <sz val="9"/>
        <color rgb="FF000000"/>
        <rFont val="Arial"/>
        <family val="0"/>
        <charset val="1"/>
      </rPr>
      <t xml:space="preserve">Obs.: </t>
    </r>
    <r>
      <rPr>
        <sz val="9"/>
        <color rgb="FF000000"/>
        <rFont val="Arial"/>
        <family val="0"/>
        <charset val="1"/>
      </rPr>
      <t xml:space="preserve">Modelo da placa (</t>
    </r>
    <r>
      <rPr>
        <strike val="true"/>
        <sz val="9"/>
        <color rgb="FF000000"/>
        <rFont val="Arial"/>
        <family val="0"/>
        <charset val="1"/>
      </rPr>
      <t xml:space="preserve">MCPK 125-080-315 EE</t>
    </r>
    <r>
      <rPr>
        <sz val="9"/>
        <color rgb="FF000000"/>
        <rFont val="Arial"/>
        <family val="0"/>
        <charset val="1"/>
      </rPr>
      <t xml:space="preserve">) = crítica (125-080-315). </t>
    </r>
    <r>
      <rPr>
        <strike val="true"/>
        <sz val="9"/>
        <color rgb="FF000000"/>
        <rFont val="Arial"/>
        <family val="0"/>
        <charset val="1"/>
      </rPr>
      <t xml:space="preserve">OP confere campo × ANP.</t>
    </r>
    <r>
      <rPr>
        <sz val="9"/>
        <color rgb="FF000000"/>
        <rFont val="Arial"/>
        <family val="0"/>
        <charset val="1"/>
      </rPr>
      <t xml:space="preserve"> Serviço em campo "Biodiesel - carreg. ferroviario" × lista de linhas "biodiesel". </t>
    </r>
    <r>
      <rPr>
        <strike val="true"/>
        <sz val="9"/>
        <color rgb="FF000000"/>
        <rFont val="Arial"/>
        <family val="0"/>
        <charset val="1"/>
      </rPr>
      <t xml:space="preserve">Confronto campo×ANP: S – OP confere.</t>
    </r>
    <r>
      <rPr>
        <sz val="9"/>
        <color rgb="FF000000"/>
        <rFont val="Arial"/>
        <family val="0"/>
        <charset val="1"/>
      </rPr>
      <t xml:space="preserve"> </t>
    </r>
    <r>
      <rPr>
        <strike val="true"/>
        <sz val="9"/>
        <color rgb="FF000000"/>
        <rFont val="Arial"/>
        <family val="0"/>
        <charset val="1"/>
      </rPr>
      <t xml:space="preserve">Fabricação 2024 compatível com NF de 2024.</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0090-0094 | </t>
    </r>
    <r>
      <rPr>
        <strike val="true"/>
        <sz val="9"/>
        <color rgb="FF000000"/>
        <rFont val="Arial"/>
        <family val="0"/>
        <charset val="1"/>
      </rPr>
      <t xml:space="preserve">ANP Fig. 157</t>
    </r>
    <r>
      <rPr>
        <sz val="9"/>
        <color rgb="FF000000"/>
        <rFont val="Arial"/>
        <family val="0"/>
        <charset val="1"/>
      </rPr>
      <t xml:space="preserve">. </t>
    </r>
    <r>
      <rPr>
        <b val="true"/>
        <sz val="9"/>
        <color rgb="FF002060"/>
        <rFont val="Arial"/>
        <family val="0"/>
        <charset val="1"/>
      </rPr>
      <t xml:space="preserve">Cotação: </t>
    </r>
    <r>
      <rPr>
        <sz val="9"/>
        <color rgb="FF002060"/>
        <rFont val="Arial"/>
        <family val="0"/>
        <charset val="1"/>
      </rPr>
      <t xml:space="preserve">KSB RAS0051138 Rev. 10 (11/12/2023), item 12: TAG B-3114, MEGACPK 125-080-315, 1 un., Finame 03279333, R$ 87.307,12 sem impostos / R$ 101.981,67 com impostos (ICMS 5,1394 %, PIS/COFINS 9,25 %, IPI 0 %), 150 dias. 
</t>
    </r>
    <r>
      <rPr>
        <b val="true"/>
        <sz val="9"/>
        <color rgb="FF000000"/>
        <rFont val="Arial"/>
        <family val="0"/>
        <charset val="1"/>
      </rPr>
      <t xml:space="preserve">• B-3115: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t>
    </r>
    <r>
      <rPr>
        <strike val="true"/>
        <sz val="9"/>
        <color rgb="FFB38600"/>
        <rFont val="Arial"/>
        <family val="0"/>
        <charset val="1"/>
      </rPr>
      <t xml:space="preserve">(lista de linhas)</t>
    </r>
    <r>
      <rPr>
        <sz val="9"/>
        <color rgb="FFB38600"/>
        <rFont val="Arial"/>
        <family val="0"/>
        <charset val="1"/>
      </rPr>
      <t xml:space="preserve">: produto biodiesel; sucção 6", recalque 6"; fluxograma </t>
    </r>
    <r>
      <rPr>
        <strike val="true"/>
        <sz val="9"/>
        <color rgb="FFB38600"/>
        <rFont val="Arial"/>
        <family val="0"/>
        <charset val="1"/>
      </rPr>
      <t xml:space="preserve">DE-3100-1300-002</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B-3115</t>
    </r>
    <r>
      <rPr>
        <sz val="9"/>
        <color rgb="FF00703C"/>
        <rFont val="Arial"/>
        <family val="0"/>
        <charset val="1"/>
      </rPr>
      <t xml:space="preserve"> </t>
    </r>
    <r>
      <rPr>
        <strike val="true"/>
        <sz val="9"/>
        <color rgb="FF00703C"/>
        <rFont val="Arial"/>
        <family val="0"/>
        <charset val="1"/>
      </rPr>
      <t xml:space="preserve">BOMBA CENTRIFUGA</t>
    </r>
    <r>
      <rPr>
        <sz val="9"/>
        <color rgb="FF00703C"/>
        <rFont val="Arial"/>
        <family val="0"/>
        <charset val="1"/>
      </rPr>
      <t xml:space="preserve"> – local BPAM-SCAR-CET-01-04-01, equip. 000000121621, </t>
    </r>
    <r>
      <rPr>
        <strike val="true"/>
        <sz val="9"/>
        <color rgb="FF00703C"/>
        <rFont val="Arial"/>
        <family val="0"/>
        <charset val="1"/>
      </rPr>
      <t xml:space="preserve">ABC B</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ANP Fig. 158: KSB MCPK 125-?80-315 EE (digito coberto), OP M482301623, Q 120 m3/h, H 50 mca, 17?5 rpm, 158 kg, </t>
    </r>
    <r>
      <rPr>
        <strike val="true"/>
        <sz val="9"/>
        <color rgb="FF1F4E9A"/>
        <rFont val="Arial"/>
        <family val="0"/>
        <charset val="1"/>
      </rPr>
      <t xml:space="preserve">ano 2024</t>
    </r>
    <r>
      <rPr>
        <sz val="9"/>
        <color rgb="FF1F4E9A"/>
        <rFont val="Arial"/>
        <family val="0"/>
        <charset val="1"/>
      </rPr>
      <t xml:space="preserve">; campo: </t>
    </r>
    <r>
      <rPr>
        <strike val="true"/>
        <sz val="9"/>
        <color rgb="FF1F4E9A"/>
        <rFont val="Arial"/>
        <family val="0"/>
        <charset val="1"/>
      </rPr>
      <t xml:space="preserve">MCPK (serie 315)</t>
    </r>
    <r>
      <rPr>
        <sz val="9"/>
        <color rgb="FF1F4E9A"/>
        <rFont val="Arial"/>
        <family val="0"/>
        <charset val="1"/>
      </rPr>
      <t xml:space="preserve"> | OP M4623016?? | H 50 mca | Biodiesel - reserva ferroviario </t>
    </r>
    <r>
      <rPr>
        <b val="true"/>
        <sz val="9"/>
        <color rgb="FF000000"/>
        <rFont val="Arial"/>
        <family val="0"/>
        <charset val="1"/>
      </rPr>
      <t xml:space="preserve">Obs.: </t>
    </r>
    <r>
      <rPr>
        <sz val="9"/>
        <color rgb="FF000000"/>
        <rFont val="Arial"/>
        <family val="0"/>
        <charset val="1"/>
      </rPr>
      <t xml:space="preserve">Modelo lido parcialmente (MCPK 125-?80-315 EE (digito coberto)); compatível com a crítica (125-080-315). OP lida parcialmente em campo (M4623016??); ANP completa M482301623. Serviço em campo "Biodiesel - reserva ferroviario" × lista de linhas "biodiesel". </t>
    </r>
    <r>
      <rPr>
        <strike val="true"/>
        <sz val="9"/>
        <color rgb="FF000000"/>
        <rFont val="Arial"/>
        <family val="0"/>
        <charset val="1"/>
      </rPr>
      <t xml:space="preserve">Confronto campo×ANP: Parcial – ANP preenche OP nao lida/parcial em campo.</t>
    </r>
    <r>
      <rPr>
        <sz val="9"/>
        <color rgb="FF000000"/>
        <rFont val="Arial"/>
        <family val="0"/>
        <charset val="1"/>
      </rPr>
      <t xml:space="preserve"> </t>
    </r>
    <r>
      <rPr>
        <strike val="true"/>
        <sz val="9"/>
        <color rgb="FF000000"/>
        <rFont val="Arial"/>
        <family val="0"/>
        <charset val="1"/>
      </rPr>
      <t xml:space="preserve">Fabricação 2024 compatível com NF de 2024.</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0085-0089 | </t>
    </r>
    <r>
      <rPr>
        <strike val="true"/>
        <sz val="9"/>
        <color rgb="FF000000"/>
        <rFont val="Arial"/>
        <family val="0"/>
        <charset val="1"/>
      </rPr>
      <t xml:space="preserve">ANP Fig. 158</t>
    </r>
    <r>
      <rPr>
        <sz val="9"/>
        <color rgb="FF000000"/>
        <rFont val="Arial"/>
        <family val="0"/>
        <charset val="1"/>
      </rPr>
      <t xml:space="preserve">. </t>
    </r>
    <r>
      <rPr>
        <b val="true"/>
        <sz val="9"/>
        <color rgb="FF002060"/>
        <rFont val="Arial"/>
        <family val="0"/>
        <charset val="1"/>
      </rPr>
      <t xml:space="preserve">Cotação: </t>
    </r>
    <r>
      <rPr>
        <sz val="9"/>
        <color rgb="FF002060"/>
        <rFont val="Arial"/>
        <family val="0"/>
        <charset val="1"/>
      </rPr>
      <t xml:space="preserve">KSB RAS0051138 Rev. 10 (11/12/2023), item 13: TAG B-3115, MEGACPK 125-080-315, 1 un., Finame 03279333, R$ 87.307,12 sem impostos / R$ 101.981,67 com impostos (ICMS 5,1394 %, PIS/COFINS 9,25 %, IPI 0 %), 150 dias. 
</t>
    </r>
    <r>
      <rPr>
        <b val="true"/>
        <sz val="9"/>
        <color rgb="FF000000"/>
        <rFont val="Arial"/>
        <family val="0"/>
        <charset val="1"/>
      </rPr>
      <t xml:space="preserve">• B-3111: </t>
    </r>
    <r>
      <rPr>
        <b val="true"/>
        <sz val="9"/>
        <color rgb="FF7030A0"/>
        <rFont val="Arial"/>
        <family val="0"/>
        <charset val="1"/>
      </rPr>
      <t xml:space="preserve">[CORREÇÃO v2: componente da linha 4; na base de 07/10 estava na linha 6]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t>
    </r>
    <r>
      <rPr>
        <strike val="true"/>
        <sz val="9"/>
        <color rgb="FFB38600"/>
        <rFont val="Arial"/>
        <family val="0"/>
        <charset val="1"/>
      </rPr>
      <t xml:space="preserve">(lista de linhas)</t>
    </r>
    <r>
      <rPr>
        <sz val="9"/>
        <color rgb="FFB38600"/>
        <rFont val="Arial"/>
        <family val="0"/>
        <charset val="1"/>
      </rPr>
      <t xml:space="preserve">: produto biodiesel; sucção 6", recalque 4"; fluxograma </t>
    </r>
    <r>
      <rPr>
        <strike val="true"/>
        <sz val="9"/>
        <color rgb="FFB38600"/>
        <rFont val="Arial"/>
        <family val="0"/>
        <charset val="1"/>
      </rPr>
      <t xml:space="preserve">DE-3100-1300-002</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B-3111</t>
    </r>
    <r>
      <rPr>
        <sz val="9"/>
        <color rgb="FF00703C"/>
        <rFont val="Arial"/>
        <family val="0"/>
        <charset val="1"/>
      </rPr>
      <t xml:space="preserve"> </t>
    </r>
    <r>
      <rPr>
        <strike val="true"/>
        <sz val="9"/>
        <color rgb="FF00703C"/>
        <rFont val="Arial"/>
        <family val="0"/>
        <charset val="1"/>
      </rPr>
      <t xml:space="preserve">BOMBA CENTRIFUGA</t>
    </r>
    <r>
      <rPr>
        <sz val="9"/>
        <color rgb="FF00703C"/>
        <rFont val="Arial"/>
        <family val="0"/>
        <charset val="1"/>
      </rPr>
      <t xml:space="preserve"> – local BPAM-SCAR-CET-01-07-01, equip. 000000121636, </t>
    </r>
    <r>
      <rPr>
        <strike val="true"/>
        <sz val="9"/>
        <color rgb="FF00703C"/>
        <rFont val="Arial"/>
        <family val="0"/>
        <charset val="1"/>
      </rPr>
      <t xml:space="preserve">ABC B</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ANP Fig. 154: </t>
    </r>
    <r>
      <rPr>
        <strike val="true"/>
        <sz val="9"/>
        <color rgb="FF1F4E9A"/>
        <rFont val="Arial"/>
        <family val="0"/>
        <charset val="1"/>
      </rPr>
      <t xml:space="preserve">KSB MCPK 125-80-315 EE</t>
    </r>
    <r>
      <rPr>
        <sz val="9"/>
        <color rgb="FF1F4E9A"/>
        <rFont val="Arial"/>
        <family val="0"/>
        <charset val="1"/>
      </rPr>
      <t xml:space="preserve">, OP M482301620, Q 72 m3/h, H 53 mca, 1775 rpm, 163 kg, </t>
    </r>
    <r>
      <rPr>
        <strike val="true"/>
        <sz val="9"/>
        <color rgb="FF1F4E9A"/>
        <rFont val="Arial"/>
        <family val="0"/>
        <charset val="1"/>
      </rPr>
      <t xml:space="preserve">ano 2024</t>
    </r>
    <r>
      <rPr>
        <sz val="9"/>
        <color rgb="FF1F4E9A"/>
        <rFont val="Arial"/>
        <family val="0"/>
        <charset val="1"/>
      </rPr>
      <t xml:space="preserve">; campo: MCPK 1?0-80-315 EE | OP N4823016?0 | Q 72 m3/h; H 53 mca; 1775 rpm; 163 kg | Biodiesel - carreg. rodoviario </t>
    </r>
    <r>
      <rPr>
        <b val="true"/>
        <sz val="9"/>
        <color rgb="FF000000"/>
        <rFont val="Arial"/>
        <family val="0"/>
        <charset val="1"/>
      </rPr>
      <t xml:space="preserve">Obs.: </t>
    </r>
    <r>
      <rPr>
        <strike val="true"/>
        <sz val="9"/>
        <color rgb="FF000000"/>
        <rFont val="Arial"/>
        <family val="0"/>
        <charset val="1"/>
      </rPr>
      <t xml:space="preserve">Modelo da placa (MCPK 125-80-315 EE) = crítica (125-080-315).</t>
    </r>
    <r>
      <rPr>
        <sz val="9"/>
        <color rgb="FF000000"/>
        <rFont val="Arial"/>
        <family val="0"/>
        <charset val="1"/>
      </rPr>
      <t xml:space="preserve"> OP lida parcialmente em campo (N4823016?0); ANP completa M482301620. Serviço em campo "Biodiesel - carreg. rodoviario" × lista de linhas "biodiesel". </t>
    </r>
    <r>
      <rPr>
        <strike val="true"/>
        <sz val="9"/>
        <color rgb="FF000000"/>
        <rFont val="Arial"/>
        <family val="0"/>
        <charset val="1"/>
      </rPr>
      <t xml:space="preserve">Confronto campo×ANP: Parcial – ANP preenche OP nao lida/parcial em campo.</t>
    </r>
    <r>
      <rPr>
        <sz val="9"/>
        <color rgb="FF000000"/>
        <rFont val="Arial"/>
        <family val="0"/>
        <charset val="1"/>
      </rPr>
      <t xml:space="preserve"> </t>
    </r>
    <r>
      <rPr>
        <strike val="true"/>
        <sz val="9"/>
        <color rgb="FF000000"/>
        <rFont val="Arial"/>
        <family val="0"/>
        <charset val="1"/>
      </rPr>
      <t xml:space="preserve">Fabricação 2024 compatível com NF de 2024.</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0079, 0082-0084 | </t>
    </r>
    <r>
      <rPr>
        <strike val="true"/>
        <sz val="9"/>
        <color rgb="FF000000"/>
        <rFont val="Arial"/>
        <family val="0"/>
        <charset val="1"/>
      </rPr>
      <t xml:space="preserve">ANP Fig. 154</t>
    </r>
    <r>
      <rPr>
        <sz val="9"/>
        <color rgb="FF000000"/>
        <rFont val="Arial"/>
        <family val="0"/>
        <charset val="1"/>
      </rPr>
      <t xml:space="preserve">. </t>
    </r>
    <r>
      <rPr>
        <b val="true"/>
        <sz val="9"/>
        <color rgb="FF002060"/>
        <rFont val="Arial"/>
        <family val="0"/>
        <charset val="1"/>
      </rPr>
      <t xml:space="preserve">Cotação: </t>
    </r>
    <r>
      <rPr>
        <sz val="9"/>
        <color rgb="FF002060"/>
        <rFont val="Arial"/>
        <family val="0"/>
        <charset val="1"/>
      </rPr>
      <t xml:space="preserve">KSB RAS0051138 Rev. 10 (11/12/2023), item 9: TAG B-3111, MEGACPK 125-080-315, 1 un., Finame 03279333, R$ 87.307,12 sem impostos / R$ 101.981,67 com impostos (ICMS 5,1394 %, PIS/COFINS 9,25 %, IPI 0 %), 150 dias. </t>
    </r>
    <r>
      <rPr>
        <b val="true"/>
        <sz val="9"/>
        <color rgb="FF7030A0"/>
        <rFont val="Arial"/>
        <family val="0"/>
        <charset val="1"/>
      </rPr>
      <t xml:space="preserve">Novo v2: </t>
    </r>
    <r>
      <rPr>
        <sz val="9"/>
        <color rgb="FF7030A0"/>
        <rFont val="Arial"/>
        <family val="0"/>
        <charset val="1"/>
      </rPr>
      <t xml:space="preserve">CORREÇÃO: componente da linha 4 (R$ 101.981,67, item 9 da cotação KSB), não da linha 6. 
</t>
    </r>
    <r>
      <rPr>
        <b val="true"/>
        <sz val="9"/>
        <color rgb="FF000000"/>
        <rFont val="Arial"/>
        <family val="0"/>
        <charset val="1"/>
      </rPr>
      <t xml:space="preserve">• B-3112: </t>
    </r>
    <r>
      <rPr>
        <b val="true"/>
        <sz val="9"/>
        <color rgb="FF7030A0"/>
        <rFont val="Arial"/>
        <family val="0"/>
        <charset val="1"/>
      </rPr>
      <t xml:space="preserve">[CORREÇÃO v2: componente da linha 4; na base de 07/10 estava na linha 6]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t>
    </r>
    <r>
      <rPr>
        <strike val="true"/>
        <sz val="9"/>
        <color rgb="FFB38600"/>
        <rFont val="Arial"/>
        <family val="0"/>
        <charset val="1"/>
      </rPr>
      <t xml:space="preserve">(lista de linhas)</t>
    </r>
    <r>
      <rPr>
        <sz val="9"/>
        <color rgb="FFB38600"/>
        <rFont val="Arial"/>
        <family val="0"/>
        <charset val="1"/>
      </rPr>
      <t xml:space="preserve">: produto biodiesel; sucção 6", recalque 4"; fluxograma </t>
    </r>
    <r>
      <rPr>
        <strike val="true"/>
        <sz val="9"/>
        <color rgb="FFB38600"/>
        <rFont val="Arial"/>
        <family val="0"/>
        <charset val="1"/>
      </rPr>
      <t xml:space="preserve">DE-3100-1300-002</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B-3112</t>
    </r>
    <r>
      <rPr>
        <sz val="9"/>
        <color rgb="FF00703C"/>
        <rFont val="Arial"/>
        <family val="0"/>
        <charset val="1"/>
      </rPr>
      <t xml:space="preserve"> </t>
    </r>
    <r>
      <rPr>
        <strike val="true"/>
        <sz val="9"/>
        <color rgb="FF00703C"/>
        <rFont val="Arial"/>
        <family val="0"/>
        <charset val="1"/>
      </rPr>
      <t xml:space="preserve">BOMBA CENTRIFUGA</t>
    </r>
    <r>
      <rPr>
        <sz val="9"/>
        <color rgb="FF00703C"/>
        <rFont val="Arial"/>
        <family val="0"/>
        <charset val="1"/>
      </rPr>
      <t xml:space="preserve"> – local BPAM-SCAR-CET-01-10-01, equip. 000000121656, </t>
    </r>
    <r>
      <rPr>
        <strike val="true"/>
        <sz val="9"/>
        <color rgb="FF00703C"/>
        <rFont val="Arial"/>
        <family val="0"/>
        <charset val="1"/>
      </rPr>
      <t xml:space="preserve">ABC B</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ANP Fig. 155: </t>
    </r>
    <r>
      <rPr>
        <strike val="true"/>
        <sz val="9"/>
        <color rgb="FF1F4E9A"/>
        <rFont val="Arial"/>
        <family val="0"/>
        <charset val="1"/>
      </rPr>
      <t xml:space="preserve">KSB MCPK 125-80-315 EE</t>
    </r>
    <r>
      <rPr>
        <sz val="9"/>
        <color rgb="FF1F4E9A"/>
        <rFont val="Arial"/>
        <family val="0"/>
        <charset val="1"/>
      </rPr>
      <t xml:space="preserve">, OP M482301621, Q 72 m3/h, H 53 mca, 1775 rpm, 163 kg, </t>
    </r>
    <r>
      <rPr>
        <strike val="true"/>
        <sz val="9"/>
        <color rgb="FF1F4E9A"/>
        <rFont val="Arial"/>
        <family val="0"/>
        <charset val="1"/>
      </rPr>
      <t xml:space="preserve">ano 2024</t>
    </r>
    <r>
      <rPr>
        <sz val="9"/>
        <color rgb="FF1F4E9A"/>
        <rFont val="Arial"/>
        <family val="0"/>
        <charset val="1"/>
      </rPr>
      <t xml:space="preserve">; campo: </t>
    </r>
    <r>
      <rPr>
        <strike val="true"/>
        <sz val="9"/>
        <color rgb="FF1F4E9A"/>
        <rFont val="Arial"/>
        <family val="0"/>
        <charset val="1"/>
      </rPr>
      <t xml:space="preserve">MCPK (serie 315)</t>
    </r>
    <r>
      <rPr>
        <sz val="9"/>
        <color rgb="FF1F4E9A"/>
        <rFont val="Arial"/>
        <family val="0"/>
        <charset val="1"/>
      </rPr>
      <t xml:space="preserve"> | OP M4823016?? | 1775 rpm | Biodiesel - reserva </t>
    </r>
    <r>
      <rPr>
        <b val="true"/>
        <sz val="9"/>
        <color rgb="FF000000"/>
        <rFont val="Arial"/>
        <family val="0"/>
        <charset val="1"/>
      </rPr>
      <t xml:space="preserve">Obs.: </t>
    </r>
    <r>
      <rPr>
        <strike val="true"/>
        <sz val="9"/>
        <color rgb="FF000000"/>
        <rFont val="Arial"/>
        <family val="0"/>
        <charset val="1"/>
      </rPr>
      <t xml:space="preserve">Modelo da placa (MCPK 125-80-315 EE) = crítica (125-080-315).</t>
    </r>
    <r>
      <rPr>
        <sz val="9"/>
        <color rgb="FF000000"/>
        <rFont val="Arial"/>
        <family val="0"/>
        <charset val="1"/>
      </rPr>
      <t xml:space="preserve"> OP lida parcialmente em campo (M4823016??); ANP completa M482301621. Serviço em campo "Biodiesel - reserva" × lista de linhas "biodiesel". </t>
    </r>
    <r>
      <rPr>
        <strike val="true"/>
        <sz val="9"/>
        <color rgb="FF000000"/>
        <rFont val="Arial"/>
        <family val="0"/>
        <charset val="1"/>
      </rPr>
      <t xml:space="preserve">Confronto campo×ANP: Parcial – ANP preenche OP nao lida/parcial em campo.</t>
    </r>
    <r>
      <rPr>
        <sz val="9"/>
        <color rgb="FF000000"/>
        <rFont val="Arial"/>
        <family val="0"/>
        <charset val="1"/>
      </rPr>
      <t xml:space="preserve"> </t>
    </r>
    <r>
      <rPr>
        <strike val="true"/>
        <sz val="9"/>
        <color rgb="FF000000"/>
        <rFont val="Arial"/>
        <family val="0"/>
        <charset val="1"/>
      </rPr>
      <t xml:space="preserve">Fabricação 2024 compatível com NF de 2024.</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0074-0076, 0080, 0081 | </t>
    </r>
    <r>
      <rPr>
        <strike val="true"/>
        <sz val="9"/>
        <color rgb="FF000000"/>
        <rFont val="Arial"/>
        <family val="0"/>
        <charset val="1"/>
      </rPr>
      <t xml:space="preserve">ANP Fig. 155</t>
    </r>
    <r>
      <rPr>
        <sz val="9"/>
        <color rgb="FF000000"/>
        <rFont val="Arial"/>
        <family val="0"/>
        <charset val="1"/>
      </rPr>
      <t xml:space="preserve">. </t>
    </r>
    <r>
      <rPr>
        <b val="true"/>
        <sz val="9"/>
        <color rgb="FF002060"/>
        <rFont val="Arial"/>
        <family val="0"/>
        <charset val="1"/>
      </rPr>
      <t xml:space="preserve">Cotação: </t>
    </r>
    <r>
      <rPr>
        <sz val="9"/>
        <color rgb="FF002060"/>
        <rFont val="Arial"/>
        <family val="0"/>
        <charset val="1"/>
      </rPr>
      <t xml:space="preserve">KSB RAS0051138 Rev. 10 (11/12/2023), item 10: TAG B-3112, MEGACPK 125-080-315, 1 un., Finame 03279333, R$ 87.307,12 sem impostos / R$ 101.981,67 com impostos (ICMS 5,1394 %, PIS/COFINS 9,25 %, IPI 0 %), 150 dias. </t>
    </r>
    <r>
      <rPr>
        <b val="true"/>
        <sz val="9"/>
        <color rgb="FF7030A0"/>
        <rFont val="Arial"/>
        <family val="0"/>
        <charset val="1"/>
      </rPr>
      <t xml:space="preserve">Novo v2: </t>
    </r>
    <r>
      <rPr>
        <sz val="9"/>
        <color rgb="FF7030A0"/>
        <rFont val="Arial"/>
        <family val="0"/>
        <charset val="1"/>
      </rPr>
      <t xml:space="preserve">CORREÇÃO: componente da linha 4 (R$ 101.981,67, item 10 da cotação KSB), não da linha 6. </t>
    </r>
  </si>
  <si>
    <t xml:space="preserve">B-3103</t>
  </si>
  <si>
    <r>
      <rPr>
        <b val="true"/>
        <sz val="9"/>
        <color rgb="FFB38600"/>
        <rFont val="Arial"/>
        <family val="0"/>
        <charset val="1"/>
      </rPr>
      <t xml:space="preserve">Projeto: </t>
    </r>
    <r>
      <rPr>
        <sz val="9"/>
        <color rgb="FFB38600"/>
        <rFont val="Arial"/>
        <family val="0"/>
        <charset val="1"/>
      </rPr>
      <t xml:space="preserve">LI-3100-6105-001 (lista de linhas): produto gasolina; sucção 8", recalque 6"; fluxograma DE-3100-1300-002.SAP: B-3103 BOMBA CENTRIFUGA – local BPAM-SCAR-CET-01-34-01, equip. 000000121798, ABC B.Placa/campo: ANP Fig. 146: KSB MCPK 125-80-315 EE, OP M482301611, Q 120 m3/h, H 52 mca, 1775 rpm, 163 kg, ano 2024; campo: MCPK (serie 315) | Gasolina A - carreg. rodoviario</t>
    </r>
  </si>
  <si>
    <t xml:space="preserve">MCPK 125-80-315 EE</t>
  </si>
  <si>
    <t xml:space="preserve">Q 120 m3/h; H 52 mca; 1775 rpm</t>
  </si>
  <si>
    <t xml:space="preserve">OP M482301611</t>
  </si>
  <si>
    <t xml:space="preserve">B-3103 / 000000121798</t>
  </si>
  <si>
    <t xml:space="preserve">↑ NF do conjunto</t>
  </si>
  <si>
    <t xml:space="preserve">Modelo da placa (MCPK 125-80-315 EE) = crítica (125-080-315). OP só na ANP (M482301611); não lida em campo. Serviço em campo "Gasolina A - carreg. rodoviario" × lista de linhas "gasolina". Confronto campo×ANP: Parcial – ANP preenche OP nao lida/parcial em campo. Fabricação 2024 compatível com NF de 2024.</t>
  </si>
  <si>
    <t xml:space="preserve">0125-0131 | ANP Fig. 146</t>
  </si>
  <si>
    <t xml:space="preserve">KSB RAS0051138 Rev. 10 (11/12/2023), item 1: TAG B-3103, MEGACPK 125-080-315, 1 un., Finame 03279333, R$ 87.307,12 sem impostos / R$ 101.981,67 com impostos (ICMS 5,1394 %, PIS/COFINS 9,25 %, IPI 0 %), 150 dias.</t>
  </si>
  <si>
    <t xml:space="preserve">B-3104</t>
  </si>
  <si>
    <r>
      <rPr>
        <b val="true"/>
        <sz val="9"/>
        <color rgb="FFB38600"/>
        <rFont val="Arial"/>
        <family val="0"/>
        <charset val="1"/>
      </rPr>
      <t xml:space="preserve">Projeto: </t>
    </r>
    <r>
      <rPr>
        <sz val="9"/>
        <color rgb="FFB38600"/>
        <rFont val="Arial"/>
        <family val="0"/>
        <charset val="1"/>
      </rPr>
      <t xml:space="preserve">LI-3100-6105-001 (lista de linhas): produto gasolina; sucção 8", recalque 6"; fluxograma DE-3100-1300-002.SAP: B-3104 BOMBA CENTRIFUGA – local BPAM-SCAR-CET-01-37-01, equip. 000000121816, ABC B.Placa/campo: ANP Fig. 147: KSB MCPK 125-80-315 EE, OP M482301612, Q 120 m3/h, H 52 mca, 1775 rpm, 163 kg, ano 2024; campo: MCPK 12?-80-315 EE | Q 120 m3/h | Gasolina A - carreg. rodoviario</t>
    </r>
  </si>
  <si>
    <t xml:space="preserve">OP M482301612</t>
  </si>
  <si>
    <t xml:space="preserve">B-3104 / 000000121816</t>
  </si>
  <si>
    <t xml:space="preserve">Modelo da placa (MCPK 125-80-315 EE) = crítica (125-080-315). OP só na ANP (M482301612); não lida em campo. Serviço em campo "Gasolina A - carreg. rodoviario" × lista de linhas "gasolina". Confronto campo×ANP: Parcial – ANP preenche OP nao lida/parcial em campo. Fabricação 2024 compatível com NF de 2024.</t>
  </si>
  <si>
    <t xml:space="preserve">0118-0124 | ANP Fig. 147</t>
  </si>
  <si>
    <t xml:space="preserve">KSB RAS0051138 Rev. 10 (11/12/2023), item 2: TAG B-3104, MEGACPK 125-080-315, 1 un., Finame 03279333, R$ 87.307,12 sem impostos / R$ 101.981,67 com impostos (ICMS 5,1394 %, PIS/COFINS 9,25 %, IPI 0 %), 150 dias.</t>
  </si>
  <si>
    <t xml:space="preserve">B-3105</t>
  </si>
  <si>
    <r>
      <rPr>
        <b val="true"/>
        <sz val="9"/>
        <color rgb="FFB38600"/>
        <rFont val="Arial"/>
        <family val="0"/>
        <charset val="1"/>
      </rPr>
      <t xml:space="preserve">Projeto: </t>
    </r>
    <r>
      <rPr>
        <sz val="9"/>
        <color rgb="FFB38600"/>
        <rFont val="Arial"/>
        <family val="0"/>
        <charset val="1"/>
      </rPr>
      <t xml:space="preserve">LI-3100-6105-001 (lista de linhas): produto óleo diesel S10; sucção 8", recalque 6"; fluxograma DE-3100-1300-002.SAP: B-3105 BOMBA CENTRIFUGA – local BPAM-SCAR-CET-01-40-01, equip. 000000121831, ABC B.Placa/campo: ANP Fig. 148: KSB MCPK 125-80-315 EE, OP M482301613, Q 120 m3/h, H 54 mca, 1775 rpm, 163 kg, ano 2024; campo: MCPK (serie 315) | Q 120 m3/h | OD S10 - carreg. rodoviario</t>
    </r>
  </si>
  <si>
    <t xml:space="preserve">Q 120 m3/h; H 54 mca; 1775 rpm</t>
  </si>
  <si>
    <t xml:space="preserve">OP M482301613</t>
  </si>
  <si>
    <t xml:space="preserve">B-3105 / 000000121831</t>
  </si>
  <si>
    <t xml:space="preserve">Modelo da placa (MCPK 125-80-315 EE) = crítica (125-080-315). OP só na ANP (M482301613); não lida em campo. Serviço em campo "OD S10 - carreg. rodoviario" × lista de linhas "óleo diesel S10". Confronto campo×ANP: Parcial – ANP preenche OP nao lida/parcial em campo. Fabricação 2024 compatível com NF de 2024.</t>
  </si>
  <si>
    <t xml:space="preserve">0157-0160 | ANP Fig. 148</t>
  </si>
  <si>
    <t xml:space="preserve">KSB RAS0051138 Rev. 10 (11/12/2023), item 3: TAG B-3105, MEGACPK 125-080-315, 1 un., Finame 03279333, R$ 87.307,12 sem impostos / R$ 101.981,67 com impostos (ICMS 5,1394 %, PIS/COFINS 9,25 %, IPI 0 %), 150 dias.</t>
  </si>
  <si>
    <t xml:space="preserve">B-3106</t>
  </si>
  <si>
    <r>
      <rPr>
        <b val="true"/>
        <sz val="9"/>
        <color rgb="FFB38600"/>
        <rFont val="Arial"/>
        <family val="0"/>
        <charset val="1"/>
      </rPr>
      <t xml:space="preserve">Projeto: </t>
    </r>
    <r>
      <rPr>
        <sz val="9"/>
        <color rgb="FFB38600"/>
        <rFont val="Arial"/>
        <family val="0"/>
        <charset val="1"/>
      </rPr>
      <t xml:space="preserve">LI-3100-6105-001 (lista de linhas): produto óleo diesel S10; sucção 8", recalque 6"; fluxograma DE-3100-1300-002.SAP: B-3106 BOMBA CENTRIFUGA – local BPAM-SCAR-CET-01-43-01, equip. 000000121849, ABC B.Placa/campo: ANP Fig. 149: KSB MCPK 125-80-315 EE, OP M482301614, Q 120 m3/h, H 54 mca, 1775 rpm, 163 kg, ano 2024; campo: MCPK 125-80-315 EE | OP M482301614 | Q 120 m3/h; H 54 mca; 1775 rpm; 163 kg | OD S10 - carreg. rodoviario</t>
    </r>
  </si>
  <si>
    <t xml:space="preserve">OP M482301614</t>
  </si>
  <si>
    <t xml:space="preserve">B-3106 / 000000121849</t>
  </si>
  <si>
    <t xml:space="preserve">Modelo da placa (MCPK 125-80-315 EE) = crítica (125-080-315). OP confere campo × ANP. Serviço em campo "OD S10 - carreg. rodoviario" × lista de linhas "óleo diesel S10". Confronto campo×ANP: S – OP confere. Fabricação 2024 compatível com NF de 2024.</t>
  </si>
  <si>
    <t xml:space="preserve">0152-0156 | ANP Fig. 149</t>
  </si>
  <si>
    <t xml:space="preserve">KSB RAS0051138 Rev. 10 (11/12/2023), item 4: TAG B-3106, MEGACPK 125-080-315, 1 un., Finame 03279333, R$ 87.307,12 sem impostos / R$ 101.981,67 com impostos (ICMS 5,1394 %, PIS/COFINS 9,25 %, IPI 0 %), 150 dias.</t>
  </si>
  <si>
    <t xml:space="preserve">B-3107</t>
  </si>
  <si>
    <r>
      <rPr>
        <b val="true"/>
        <sz val="9"/>
        <color rgb="FFB38600"/>
        <rFont val="Arial"/>
        <family val="0"/>
        <charset val="1"/>
      </rPr>
      <t xml:space="preserve">Projeto: </t>
    </r>
    <r>
      <rPr>
        <sz val="9"/>
        <color rgb="FFB38600"/>
        <rFont val="Arial"/>
        <family val="0"/>
        <charset val="1"/>
      </rPr>
      <t xml:space="preserve">LI-3100-6105-001 (lista de linhas): produto óleo diesel S500; sucção 8", recalque 6"; fluxograma DE-3100-1300-002.SAP: B-3107 BOMBA CENTRIFUGA – local BPAM-SCAR-CET-01-25-01, equip. 000000121746, ABC B.Placa/campo: ANP Fig. 150: KSB MCPK 125-80-315 EE, OP M482301616, Q 120 m3/h, H 51 mca, 1775 rpm, 163 kg, ano 2024; campo: MCPK 125-80-315 EE | OP M482301616 | Q 120 m3/h; H 51 mca; 1772 rpm; 163 kg | OD S500 - carreg. rodoviario</t>
    </r>
  </si>
  <si>
    <t xml:space="preserve">Q 120 m3/h; H 51 mca; 1775 rpm</t>
  </si>
  <si>
    <t xml:space="preserve">OP M482301616</t>
  </si>
  <si>
    <t xml:space="preserve">B-3107 / 000000121746</t>
  </si>
  <si>
    <t xml:space="preserve">Modelo da placa (MCPK 125-80-315 EE) = crítica (125-080-315). OP confere campo × ANP. Serviço em campo "OD S500 - carreg. rodoviario" × lista de linhas "óleo diesel S500". Confronto campo×ANP: S – OP confere. Fabricação 2024 compatível com NF de 2024.</t>
  </si>
  <si>
    <t xml:space="preserve">0138-0145 | ANP Fig. 150</t>
  </si>
  <si>
    <t xml:space="preserve">KSB RAS0051138 Rev. 10 (11/12/2023), item 5: TAG B-3107, MEGACPK 125-080-315, 1 un., Finame 03279333, R$ 87.307,12 sem impostos / R$ 101.981,67 com impostos (ICMS 5,1394 %, PIS/COFINS 9,25 %, IPI 0 %), 150 dias.</t>
  </si>
  <si>
    <t xml:space="preserve">B-3108</t>
  </si>
  <si>
    <r>
      <rPr>
        <b val="true"/>
        <sz val="9"/>
        <color rgb="FFB38600"/>
        <rFont val="Arial"/>
        <family val="0"/>
        <charset val="1"/>
      </rPr>
      <t xml:space="preserve">Projeto: </t>
    </r>
    <r>
      <rPr>
        <sz val="9"/>
        <color rgb="FFB38600"/>
        <rFont val="Arial"/>
        <family val="0"/>
        <charset val="1"/>
      </rPr>
      <t xml:space="preserve">LI-3100-6105-001 (lista de linhas): produto óleo diesel S500; sucção 8", recalque 6"; fluxograma DE-3100-1300-002.SAP: B-3108 BOMBA CENTRIFUGA – local BPAM-SCAR-CET-01-28-01, equip. 000000121764, ABC B.Placa/campo: ANP Fig. 151: KSB MCPK 125-80-315 EE, OP M482301617, Q 120 m3/h, H 51 mca, 1775 rpm, 163 kg, ano 2024; campo: MCPK 125-80-315 EE | OP M482301617 | Q 120 m3/h; H 51 mca; 1775 rpm; 163 kg | OD S500 - carreg. rodoviario</t>
    </r>
  </si>
  <si>
    <t xml:space="preserve">OP M482301617</t>
  </si>
  <si>
    <t xml:space="preserve">B-3108 / 000000121764</t>
  </si>
  <si>
    <t xml:space="preserve">0132-0137 | ANP Fig. 151</t>
  </si>
  <si>
    <t xml:space="preserve">KSB RAS0051138 Rev. 10 (11/12/2023), item 6: TAG B-3108, MEGACPK 125-080-315, 1 un., Finame 03279333, R$ 87.307,12 sem impostos / R$ 101.981,67 com impostos (ICMS 5,1394 %, PIS/COFINS 9,25 %, IPI 0 %), 150 dias.</t>
  </si>
  <si>
    <t xml:space="preserve">B-3110</t>
  </si>
  <si>
    <r>
      <rPr>
        <b val="true"/>
        <sz val="9"/>
        <color rgb="FFB38600"/>
        <rFont val="Arial"/>
        <family val="0"/>
        <charset val="1"/>
      </rPr>
      <t xml:space="preserve">Projeto: </t>
    </r>
    <r>
      <rPr>
        <sz val="9"/>
        <color rgb="FFB38600"/>
        <rFont val="Arial"/>
        <family val="0"/>
        <charset val="1"/>
      </rPr>
      <t xml:space="preserve">LI-3100-6105-001 (lista de linhas): produto etanol hidratado; sucção 6", recalque 6"; fluxograma DE-3100-1300-002.SAP: B-3110 BOMBA CENTRIFUGA – local BPAM-SCAR-CET-01-22-01, equip. 000000121724, ABC B.Placa/campo: ANP Fig. 153: KSB MCPK 125-80-315 EE, OP M482301619, Q 120 m3/h, H 52 mca, 1775 rpm, 163 kg, ano 2024; campo: MCPK (serie 315) | Etanol hidratado - reserva da B-3109</t>
    </r>
  </si>
  <si>
    <t xml:space="preserve">OP M482301619</t>
  </si>
  <si>
    <t xml:space="preserve">B-3110 / 000000121724</t>
  </si>
  <si>
    <t xml:space="preserve">Modelo da placa (MCPK 125-80-315 EE) = crítica (125-080-315). OP só na ANP (M482301619); não lida em campo. Serviço em campo "Etanol hidratado - reserva da B-3109" × lista de linhas "etanol hidratado". Confronto campo×ANP: Parcial – ANP preenche OP nao lida/parcial em campo. Fabricação 2024 compatível com NF de 2024.</t>
  </si>
  <si>
    <t xml:space="preserve">0095-0101 | ANP Fig. 153</t>
  </si>
  <si>
    <t xml:space="preserve">KSB RAS0051138 Rev. 10 (11/12/2023), item 8: TAG B-3110, MEGACPK 125-080-315, 1 un., Finame 03279333, R$ 87.307,12 sem impostos / R$ 101.981,67 com impostos (ICMS 5,1394 %, PIS/COFINS 9,25 %, IPI 0 %), 150 dias.</t>
  </si>
  <si>
    <t xml:space="preserve">B-3113</t>
  </si>
  <si>
    <r>
      <rPr>
        <b val="true"/>
        <sz val="9"/>
        <color rgb="FFB38600"/>
        <rFont val="Arial"/>
        <family val="0"/>
        <charset val="1"/>
      </rPr>
      <t xml:space="preserve">Projeto: </t>
    </r>
    <r>
      <rPr>
        <sz val="9"/>
        <color rgb="FFB38600"/>
        <rFont val="Arial"/>
        <family val="0"/>
        <charset val="1"/>
      </rPr>
      <t xml:space="preserve">LI-3100-6105-001 (lista de linhas): produto óleo diesel S500; sucção 8", recalque 6"; fluxograma DE-3100-1300-002.SAP: B-3113 BOMBA CENTRIFUGA – local BPAM-SCAR-CET-01-31-01, equip. 000000121779, ABC B.Placa/campo: ANP Fig. 156: KSB MCPK 125-80-315 EE, OP M482301615, Q 120 m3/h, H 54 mca, 1775 rpm, 163 kg, ano 2024; campo: MCPK (serie 315) EE | OP M482301615 | Q 120 m3/h; H 54 mca; 1775 rpm; 163 kg | OD S10 / OD S500 - reserva rodoviario</t>
    </r>
  </si>
  <si>
    <t xml:space="preserve">OP M482301615</t>
  </si>
  <si>
    <t xml:space="preserve">B-3113 / 000000121779</t>
  </si>
  <si>
    <t xml:space="preserve">Modelo da placa (MCPK 125-80-315 EE) = crítica (125-080-315). OP confere campo × ANP. Serviço em campo "OD S10 / OD S500 - reserva rodoviario" × lista de linhas "óleo diesel S500". Confronto campo×ANP: S – OP confere. Fabricação 2024 compatível com NF de 2024.</t>
  </si>
  <si>
    <t xml:space="preserve">0146-0151 | ANP Fig. 156</t>
  </si>
  <si>
    <t xml:space="preserve">KSB RAS0051138 Rev. 10 (11/12/2023), item 11: TAG B-3113, MEGACPK 125-080-315, 1 un., Finame 03279333, R$ 87.307,12 sem impostos / R$ 101.981,67 com impostos (ICMS 5,1394 %, PIS/COFINS 9,25 %, IPI 0 %), 150 dias.</t>
  </si>
  <si>
    <t xml:space="preserve">B-3114</t>
  </si>
  <si>
    <r>
      <rPr>
        <b val="true"/>
        <sz val="9"/>
        <color rgb="FFB38600"/>
        <rFont val="Arial"/>
        <family val="0"/>
        <charset val="1"/>
      </rPr>
      <t xml:space="preserve">Projeto: </t>
    </r>
    <r>
      <rPr>
        <sz val="9"/>
        <color rgb="FFB38600"/>
        <rFont val="Arial"/>
        <family val="0"/>
        <charset val="1"/>
      </rPr>
      <t xml:space="preserve">LI-3100-6105-001 (lista de linhas): produto biodiesel; sucção 6", recalque 6"; fluxograma DE-3100-1300-002.SAP: B-3114 BOMBA CENTRIFUGA – local BPAM-SCAR-CET-01-01-01, equip. 000000121603, ABC B.Placa/campo: ANP Fig. 157: KSB MCPK 125-080-315 EE, OP M482301622, Q 120 m3/h, H 50 mca, 1775 rpm, 158 kg, ano 2024; campo: MCPK (serie 315) | OP M482301622 | Q 120 m3/h; H 50 mca; 1775 rpm; 158 kg | Biodiesel - carreg. ferroviario</t>
    </r>
  </si>
  <si>
    <t xml:space="preserve">MCPK 125-080-315 EE</t>
  </si>
  <si>
    <t xml:space="preserve">Q 120 m3/h; H 50 mca; 1775 rpm</t>
  </si>
  <si>
    <t xml:space="preserve">OP M482301622</t>
  </si>
  <si>
    <t xml:space="preserve">B-3114 / 000000121603</t>
  </si>
  <si>
    <t xml:space="preserve">Modelo da placa (MCPK 125-080-315 EE) = crítica (125-080-315). OP confere campo × ANP. Serviço em campo "Biodiesel - carreg. ferroviario" × lista de linhas "biodiesel". Confronto campo×ANP: S – OP confere. Fabricação 2024 compatível com NF de 2024.</t>
  </si>
  <si>
    <t xml:space="preserve">0090-0094 | ANP Fig. 157</t>
  </si>
  <si>
    <t xml:space="preserve">KSB RAS0051138 Rev. 10 (11/12/2023), item 12: TAG B-3114, MEGACPK 125-080-315, 1 un., Finame 03279333, R$ 87.307,12 sem impostos / R$ 101.981,67 com impostos (ICMS 5,1394 %, PIS/COFINS 9,25 %, IPI 0 %), 150 dias.</t>
  </si>
  <si>
    <t xml:space="preserve">B-3115</t>
  </si>
  <si>
    <r>
      <rPr>
        <b val="true"/>
        <sz val="9"/>
        <color rgb="FFB38600"/>
        <rFont val="Arial"/>
        <family val="0"/>
        <charset val="1"/>
      </rPr>
      <t xml:space="preserve">Projeto: </t>
    </r>
    <r>
      <rPr>
        <sz val="9"/>
        <color rgb="FFB38600"/>
        <rFont val="Arial"/>
        <family val="0"/>
        <charset val="1"/>
      </rPr>
      <t xml:space="preserve">LI-3100-6105-001 (lista de linhas): produto biodiesel; sucção 6", recalque 6"; fluxograma DE-3100-1300-002.SAP: B-3115 BOMBA CENTRIFUGA – local BPAM-SCAR-CET-01-04-01, equip. 000000121621, ABC B.Placa/campo: ANP Fig. 158: KSB MCPK 125-?80-315 EE (digito coberto), OP M482301623, Q 120 m3/h, H 50 mca, 17?5 rpm, 158 kg, ano 2024; campo: MCPK (serie 315) | OP M4623016?? | H 50 mca | Biodiesel - reserva ferroviario</t>
    </r>
  </si>
  <si>
    <t xml:space="preserve">MCPK 125-?80-315 EE (digito coberto)</t>
  </si>
  <si>
    <t xml:space="preserve">Q 120 m3/h; H 50 mca; 17?5 rpm</t>
  </si>
  <si>
    <t xml:space="preserve">OP M482301623</t>
  </si>
  <si>
    <t xml:space="preserve">B-3115 / 000000121621</t>
  </si>
  <si>
    <t xml:space="preserve">Modelo lido parcialmente (MCPK 125-?80-315 EE (digito coberto)); compatível com a crítica (125-080-315). OP lida parcialmente em campo (M4623016??); ANP completa M482301623. Serviço em campo "Biodiesel - reserva ferroviario" × lista de linhas "biodiesel". Confronto campo×ANP: Parcial – ANP preenche OP nao lida/parcial em campo. Fabricação 2024 compatível com NF de 2024.</t>
  </si>
  <si>
    <t xml:space="preserve">0085-0089 | ANP Fig. 158</t>
  </si>
  <si>
    <t xml:space="preserve">KSB RAS0051138 Rev. 10 (11/12/2023), item 13: TAG B-3115, MEGACPK 125-080-315, 1 un., Finame 03279333, R$ 87.307,12 sem impostos / R$ 101.981,67 com impostos (ICMS 5,1394 %, PIS/COFINS 9,25 %, IPI 0 %), 150 dias.</t>
  </si>
  <si>
    <t xml:space="preserve">B-3116</t>
  </si>
  <si>
    <r>
      <rPr>
        <b val="true"/>
        <sz val="9"/>
        <color rgb="FFB38600"/>
        <rFont val="Arial"/>
        <family val="0"/>
        <charset val="1"/>
      </rPr>
      <t xml:space="preserve">Projeto: </t>
    </r>
    <r>
      <rPr>
        <sz val="9"/>
        <color rgb="FFB38600"/>
        <rFont val="Arial"/>
        <family val="0"/>
        <charset val="1"/>
      </rPr>
      <t xml:space="preserve">LI-3100-6105-001 (lista de linhas): produto etanol anidro; sucção 6", recalque 6"; fluxograma DE-3100-1300-002.SAP: B-3116 BOMBA CENTRIFUGA – local BPAM-SCAR-CET-01-13-01, equip. 000000121673, ABC B.Placa/campo: ANP Fig. 159: KSB MCPK 125-80-315 EE, OP M?82301624 (digito coberto), Q 120 m3/h, H 50 mca, 1771 rpm, 158 kg, ano 2024; campo: MCPK 1??-80-315 EE | OP ?2301624 | Q 120 m3/h; H 50 mca; 1771 rpm; 158 kg | Etanol anidro - carreg. ferroviario</t>
    </r>
  </si>
  <si>
    <t xml:space="preserve">Q 120 m3/h; H 50 mca; 1771 rpm</t>
  </si>
  <si>
    <t xml:space="preserve">OP M?82301624 (prov. M482301624)</t>
  </si>
  <si>
    <t xml:space="preserve">B-3116 / 000000121673</t>
  </si>
  <si>
    <t xml:space="preserve">Modelo da placa (MCPK 125-80-315 EE) = crítica (125-080-315). OP parcial em campo (?2301624) e na ANP (M?82301624 (digito coberto)); a sequência das OPs indica M482301624. Serviço em campo "Etanol anidro - carreg. ferroviario" × lista de linhas "etanol anidro". Confronto campo×ANP: Parcial – ANP preenche OP nao lida/parcial em campo. Fabricação 2024 compatível com NF de 2024.</t>
  </si>
  <si>
    <t xml:space="preserve">0111-0117 | ANP Fig. 159</t>
  </si>
  <si>
    <t xml:space="preserve">KSB RAS0051138 Rev. 10 (11/12/2023), item 14: TAG B-3116, MEGACPK 125-080-315, 1 un., Finame 03279333, R$ 74.788,01 sem impostos / R$ 87.358,35 com impostos (ICMS 5,1394 %, PIS/COFINS 9,25 %, IPI 0 %), 150 dias.</t>
  </si>
  <si>
    <t xml:space="preserve">[CORREÇÃO v2: componente da linha 6; na base de 07/10 estava na linha 4] CORREÇÃO: componente da linha 6 (R$ 87.358,35, item 14 da cotação KSB), não da linha 4.</t>
  </si>
  <si>
    <t xml:space="preserve">B-3117</t>
  </si>
  <si>
    <r>
      <rPr>
        <b val="true"/>
        <sz val="9"/>
        <color rgb="FFB38600"/>
        <rFont val="Arial"/>
        <family val="0"/>
        <charset val="1"/>
      </rPr>
      <t xml:space="preserve">Projeto: </t>
    </r>
    <r>
      <rPr>
        <sz val="9"/>
        <color rgb="FFB38600"/>
        <rFont val="Arial"/>
        <family val="0"/>
        <charset val="1"/>
      </rPr>
      <t xml:space="preserve">LI-3100-6105-001 (lista de linhas): produto etanol anidro; sucção 6", recalque 6"; fluxograma DE-3100-1300-002.SAP: B-3117 BOMBA CENTRIFUGA – local BPAM-SCAR-CET-01-16-01, equip. 000000121691, ABC B.Placa/campo: ANP Fig. 160: KSB MCPK 125-80-315 EE, OP M482301625, Q 120 m3/h, H 50 mca, 1771 rpm, 158 kg, ano 2024; campo: MCPK (serie 315) | OP ?46530162? | Q 120 m3/h; H 50 mca; ~1775 rpm | Etanol anidro - reserva ferroviario</t>
    </r>
  </si>
  <si>
    <t xml:space="preserve">OP M482301625</t>
  </si>
  <si>
    <t xml:space="preserve">B-3117 / 000000121691</t>
  </si>
  <si>
    <t xml:space="preserve">Modelo da placa (MCPK 125-80-315 EE) = crítica (125-080-315). OP lida parcialmente em campo (?46530162?); ANP completa M482301625. Serviço em campo "Etanol anidro - reserva ferroviario" × lista de linhas "etanol anidro". Confronto campo×ANP: Parcial – ANP preenche OP nao lida/parcial em campo. Fabricação 2024 compatível com NF de 2024.</t>
  </si>
  <si>
    <t xml:space="preserve">0106-0110 | ANP Fig. 160</t>
  </si>
  <si>
    <t xml:space="preserve">KSB RAS0051138 Rev. 10 (11/12/2023), item 15: TAG B-3117, MEGACPK 125-080-315, 1 un., Finame 03279333, R$ 74.788,01 sem impostos / R$ 87.358,35 com impostos (ICMS 5,1394 %, PIS/COFINS 9,25 %, IPI 0 %), 150 dias.</t>
  </si>
  <si>
    <t xml:space="preserve">[CORREÇÃO v2: componente da linha 6; na base de 07/10 estava na linha 4] CORREÇÃO: componente da linha 6 (R$ 87.358,35, item 15 da cotação KSB), não da linha 4.</t>
  </si>
  <si>
    <t xml:space="preserve">5</t>
  </si>
  <si>
    <t xml:space="preserve">Bomba de produto CETRAN 01 – 100-065-315 (B-3109)</t>
  </si>
  <si>
    <r>
      <rPr>
        <b val="true"/>
        <sz val="9"/>
        <color rgb="FF000000"/>
        <rFont val="Arial"/>
        <family val="0"/>
        <charset val="1"/>
      </rPr>
      <t xml:space="preserve">Crítica: </t>
    </r>
    <r>
      <rPr>
        <sz val="9"/>
        <color rgb="FF000000"/>
        <rFont val="Arial"/>
        <family val="0"/>
        <charset val="1"/>
      </rPr>
      <t xml:space="preserve">Bomba – KSB megacpk 100-065-315 – 1 un. × R$ 71.978,04 = R$ 71.978,04; fornecedor KSB Brasil Ltda; Finame 03279333.NF: NF 34370 de 15/08/2024 – KSB Brasil Ltda (CNPJ 60.680.873/0009-71): "Bomba KSB", R$ 1.328.703,93. Atribuição: NF 34370 (decomposição aritmética única).SAP: 1 de 1 TAGs cadastradas: B-3109.Projeto: LI-3100-6105-001: etanol anidro; fluxograma DE-3100-1300-002.</t>
    </r>
  </si>
  <si>
    <t xml:space="preserve">100-065-315</t>
  </si>
  <si>
    <t xml:space="preserve">Q 70 m³/h; H 42 mca; 1784 rpm</t>
  </si>
  <si>
    <t xml:space="preserve">OP M482301618 (ANP)</t>
  </si>
  <si>
    <t xml:space="preserve">1 TAGs no SAP</t>
  </si>
  <si>
    <t xml:space="preserve">34370</t>
  </si>
  <si>
    <t xml:space="preserve">15/08/2024</t>
  </si>
  <si>
    <t xml:space="preserve">NF 34370 (decomposição aritmética única)</t>
  </si>
  <si>
    <t xml:space="preserve">Placa: MCPK 100-65-315 EE, Q 70 m³/h, H 42 mca (campo e ANP). OP: campo leu M482301818, ANP M482301618 – a sequência das OPs (…1611-1625) indica 1618; registrado como divergência de leitura. B-3109 é a única 100-065-315 em campo.</t>
  </si>
  <si>
    <t xml:space="preserve">Cotação KSB RAS0051138 Rev. 10 (11/12/2023), item 7 – TAG B-3109, KSB MEGACPK 100-065-315, 1 un., Finame 03279333, R$ 61.620,83 sem impostos / R$ 71.978,04 com impostos (= linha 5); mesmo escopo MEGACPK da linha 4.</t>
  </si>
  <si>
    <t xml:space="preserve">Cotação = crítica (R$ 71.978,04, item 7, B-3109). A leitura de campo "OP M482301818" fica superada pela ANP (M482301618) e pela sequência das OPs. Finame 03279333 = crítica.</t>
  </si>
  <si>
    <r>
      <rPr>
        <b val="true"/>
        <sz val="9"/>
        <color rgb="FF000000"/>
        <rFont val="Arial"/>
        <family val="0"/>
        <charset val="1"/>
      </rPr>
      <t xml:space="preserve">LINHA 5 – Bomba de produto CETRAN 01 – 100-065-315 (B-3109) [CONJUNTO]
Crítica: </t>
    </r>
    <r>
      <rPr>
        <sz val="9"/>
        <color rgb="FF000000"/>
        <rFont val="Arial"/>
        <family val="0"/>
        <charset val="1"/>
      </rPr>
      <t xml:space="preserve">Bomba – KSB megacpk 100-065-315 – 1 un. × R$ 71.978,04 = R$ 71.978,04; fornecedor KSB Brasil Ltda; Finame 03279333. </t>
    </r>
    <r>
      <rPr>
        <b val="true"/>
        <sz val="9"/>
        <color rgb="FFC00000"/>
        <rFont val="Arial"/>
        <family val="0"/>
        <charset val="1"/>
      </rPr>
      <t xml:space="preserve">NF: </t>
    </r>
    <r>
      <rPr>
        <sz val="9"/>
        <color rgb="FFC00000"/>
        <rFont val="Arial"/>
        <family val="0"/>
        <charset val="1"/>
      </rPr>
      <t xml:space="preserve">NF 34370 de 15/08/2024 – </t>
    </r>
    <r>
      <rPr>
        <strike val="true"/>
        <sz val="9"/>
        <color rgb="FFC00000"/>
        <rFont val="Arial"/>
        <family val="0"/>
        <charset val="1"/>
      </rPr>
      <t xml:space="preserve">KSB Brasil Ltda</t>
    </r>
    <r>
      <rPr>
        <sz val="9"/>
        <color rgb="FFC00000"/>
        <rFont val="Arial"/>
        <family val="0"/>
        <charset val="1"/>
      </rPr>
      <t xml:space="preserve"> (CNPJ 60.680.873/0009-71): "Bomba KSB", R$ 1.328.703,93. Atribuição: NF 34370 (decomposição aritmética única). </t>
    </r>
    <r>
      <rPr>
        <b val="true"/>
        <sz val="9"/>
        <color rgb="FF00703C"/>
        <rFont val="Arial"/>
        <family val="0"/>
        <charset val="1"/>
      </rPr>
      <t xml:space="preserve">SAP: </t>
    </r>
    <r>
      <rPr>
        <sz val="9"/>
        <color rgb="FF00703C"/>
        <rFont val="Arial"/>
        <family val="0"/>
        <charset val="1"/>
      </rPr>
      <t xml:space="preserve">1 de 1 TAGs cadastradas: </t>
    </r>
    <r>
      <rPr>
        <strike val="true"/>
        <sz val="9"/>
        <color rgb="FF00703C"/>
        <rFont val="Arial"/>
        <family val="0"/>
        <charset val="1"/>
      </rPr>
      <t xml:space="preserve">B-3109</t>
    </r>
    <r>
      <rPr>
        <sz val="9"/>
        <color rgb="FF00703C"/>
        <rFont val="Arial"/>
        <family val="0"/>
        <charset val="1"/>
      </rPr>
      <t xml:space="preserve">. </t>
    </r>
    <r>
      <rPr>
        <b val="true"/>
        <sz val="9"/>
        <color rgb="FFB38600"/>
        <rFont val="Arial"/>
        <family val="0"/>
        <charset val="1"/>
      </rPr>
      <t xml:space="preserve">Projeto: </t>
    </r>
    <r>
      <rPr>
        <sz val="9"/>
        <color rgb="FFB38600"/>
        <rFont val="Arial"/>
        <family val="0"/>
        <charset val="1"/>
      </rPr>
      <t xml:space="preserve">LI-3100-6105-001: etanol anidro; fluxograma DE-3100-1300-002. 
</t>
    </r>
    <r>
      <rPr>
        <b val="true"/>
        <sz val="9"/>
        <color rgb="FFC00000"/>
        <rFont val="Arial"/>
        <family val="0"/>
        <charset val="1"/>
      </rPr>
      <t xml:space="preserve">NF (colunas K-Q): </t>
    </r>
    <r>
      <rPr>
        <sz val="9"/>
        <color rgb="FFC00000"/>
        <rFont val="Arial"/>
        <family val="0"/>
        <charset val="1"/>
      </rPr>
      <t xml:space="preserve">NF nº 34370 de 15/08/2024 – </t>
    </r>
    <r>
      <rPr>
        <strike val="true"/>
        <sz val="9"/>
        <color rgb="FFC00000"/>
        <rFont val="Arial"/>
        <family val="0"/>
        <charset val="1"/>
      </rPr>
      <t xml:space="preserve">KSB Brasil Ltda</t>
    </r>
    <r>
      <rPr>
        <sz val="9"/>
        <color rgb="FFC00000"/>
        <rFont val="Arial"/>
        <family val="0"/>
        <charset val="1"/>
      </rPr>
      <t xml:space="preserve"> (</t>
    </r>
    <r>
      <rPr>
        <strike val="true"/>
        <sz val="9"/>
        <color rgb="FFC00000"/>
        <rFont val="Arial"/>
        <family val="0"/>
        <charset val="1"/>
      </rPr>
      <t xml:space="preserve">60.680.873/0009-71</t>
    </r>
    <r>
      <rPr>
        <sz val="9"/>
        <color rgb="FFC00000"/>
        <rFont val="Arial"/>
        <family val="0"/>
        <charset val="1"/>
      </rPr>
      <t xml:space="preserve">) – valor comprovado R$ 71.978,04. </t>
    </r>
    <r>
      <rPr>
        <b val="true"/>
        <sz val="9"/>
        <color rgb="FF000000"/>
        <rFont val="Arial"/>
        <family val="0"/>
        <charset val="1"/>
      </rPr>
      <t xml:space="preserve">Atribuição: </t>
    </r>
    <r>
      <rPr>
        <strike val="true"/>
        <sz val="9"/>
        <color rgb="FF000000"/>
        <rFont val="Arial"/>
        <family val="0"/>
        <charset val="1"/>
      </rPr>
      <t xml:space="preserve">NF 34370 (decomposição aritmética única)</t>
    </r>
    <r>
      <rPr>
        <sz val="9"/>
        <color rgb="FF000000"/>
        <rFont val="Arial"/>
        <family val="0"/>
        <charset val="1"/>
      </rPr>
      <t xml:space="preserve">. </t>
    </r>
    <r>
      <rPr>
        <b val="true"/>
        <sz val="9"/>
        <color rgb="FF000000"/>
        <rFont val="Arial"/>
        <family val="0"/>
        <charset val="1"/>
      </rPr>
      <t xml:space="preserve">Crítica (colunas N-P): </t>
    </r>
    <r>
      <rPr>
        <sz val="9"/>
        <color rgb="FF000000"/>
        <rFont val="Arial"/>
        <family val="0"/>
        <charset val="1"/>
      </rPr>
      <t xml:space="preserve">qtd 1, unitário R$ 71.978,04, total R$ 71.978,04. 
</t>
    </r>
    <r>
      <rPr>
        <b val="true"/>
        <sz val="9"/>
        <color rgb="FF000000"/>
        <rFont val="Arial"/>
        <family val="0"/>
        <charset val="1"/>
      </rPr>
      <t xml:space="preserve">Ficha (colunas E-J): </t>
    </r>
    <r>
      <rPr>
        <b val="true"/>
        <sz val="9"/>
        <color rgb="FF1F4E9A"/>
        <rFont val="Arial"/>
        <family val="0"/>
        <charset val="1"/>
      </rPr>
      <t xml:space="preserve">Marca: </t>
    </r>
    <r>
      <rPr>
        <sz val="9"/>
        <color rgb="FF1F4E9A"/>
        <rFont val="Arial"/>
        <family val="0"/>
        <charset val="1"/>
      </rPr>
      <t xml:space="preserve">KSB. </t>
    </r>
    <r>
      <rPr>
        <b val="true"/>
        <sz val="9"/>
        <color rgb="FF000000"/>
        <rFont val="Arial"/>
        <family val="0"/>
        <charset val="1"/>
      </rPr>
      <t xml:space="preserve">Modelo: </t>
    </r>
    <r>
      <rPr>
        <sz val="9"/>
        <color rgb="FF000000"/>
        <rFont val="Arial"/>
        <family val="0"/>
        <charset val="1"/>
      </rPr>
      <t xml:space="preserve">100-065-315. </t>
    </r>
    <r>
      <rPr>
        <b val="true"/>
        <sz val="9"/>
        <color rgb="FF1F4E9A"/>
        <rFont val="Arial"/>
        <family val="0"/>
        <charset val="1"/>
      </rPr>
      <t xml:space="preserve">Capacidade: </t>
    </r>
    <r>
      <rPr>
        <sz val="9"/>
        <color rgb="FF1F4E9A"/>
        <rFont val="Arial"/>
        <family val="0"/>
        <charset val="1"/>
      </rPr>
      <t xml:space="preserve">Q 70 m³/h; H 42 mca; 1784 rpm. </t>
    </r>
    <r>
      <rPr>
        <b val="true"/>
        <sz val="9"/>
        <color rgb="FF1F4E9A"/>
        <rFont val="Arial"/>
        <family val="0"/>
        <charset val="1"/>
      </rPr>
      <t xml:space="preserve">Série/OP: </t>
    </r>
    <r>
      <rPr>
        <sz val="9"/>
        <color rgb="FF1F4E9A"/>
        <rFont val="Arial"/>
        <family val="0"/>
        <charset val="1"/>
      </rPr>
      <t xml:space="preserve">OP M482301618 (ANP). </t>
    </r>
    <r>
      <rPr>
        <b val="true"/>
        <sz val="9"/>
        <color rgb="FF00703C"/>
        <rFont val="Arial"/>
        <family val="0"/>
        <charset val="1"/>
      </rPr>
      <t xml:space="preserve">TAG/SAP: </t>
    </r>
    <r>
      <rPr>
        <sz val="9"/>
        <color rgb="FF00703C"/>
        <rFont val="Arial"/>
        <family val="0"/>
        <charset val="1"/>
      </rPr>
      <t xml:space="preserve">1 TAGs no SAP. </t>
    </r>
    <r>
      <rPr>
        <b val="true"/>
        <sz val="9"/>
        <color rgb="FF1F4E9A"/>
        <rFont val="Arial"/>
        <family val="0"/>
        <charset val="1"/>
      </rPr>
      <t xml:space="preserve">Fabricação: </t>
    </r>
    <r>
      <rPr>
        <sz val="9"/>
        <color rgb="FF1F4E9A"/>
        <rFont val="Arial"/>
        <family val="0"/>
        <charset val="1"/>
      </rPr>
      <t xml:space="preserve">2024. 
</t>
    </r>
    <r>
      <rPr>
        <b val="true"/>
        <sz val="9"/>
        <color rgb="FF000000"/>
        <rFont val="Arial"/>
        <family val="0"/>
        <charset val="1"/>
      </rPr>
      <t xml:space="preserve">Obs. (coluna T): </t>
    </r>
    <r>
      <rPr>
        <sz val="9"/>
        <color rgb="FF000000"/>
        <rFont val="Arial"/>
        <family val="0"/>
        <charset val="1"/>
      </rPr>
      <t xml:space="preserve">Placa: MCPK 100-65-315 EE, Q 70 m³/h, H 42 mca (campo e ANP). OP: campo leu M482301818, ANP M482301618 – a sequência das OPs (…1611-1625) indica 1618; registrado como divergência de leitura. </t>
    </r>
    <r>
      <rPr>
        <strike val="true"/>
        <sz val="9"/>
        <color rgb="FF000000"/>
        <rFont val="Arial"/>
        <family val="0"/>
        <charset val="1"/>
      </rPr>
      <t xml:space="preserve">B-3109</t>
    </r>
    <r>
      <rPr>
        <sz val="9"/>
        <color rgb="FF000000"/>
        <rFont val="Arial"/>
        <family val="0"/>
        <charset val="1"/>
      </rPr>
      <t xml:space="preserve"> é a única 100-065-315 em campo. </t>
    </r>
    <r>
      <rPr>
        <b val="true"/>
        <sz val="9"/>
        <color rgb="FF000000"/>
        <rFont val="Arial"/>
        <family val="0"/>
        <charset val="1"/>
      </rPr>
      <t xml:space="preserve">Fotos (coluna U): </t>
    </r>
    <r>
      <rPr>
        <sz val="9"/>
        <color rgb="FF000000"/>
        <rFont val="Arial"/>
        <family val="0"/>
        <charset val="1"/>
      </rPr>
      <t xml:space="preserve">ver componentes. 
</t>
    </r>
    <r>
      <rPr>
        <b val="true"/>
        <sz val="9"/>
        <color rgb="FF002060"/>
        <rFont val="Arial"/>
        <family val="0"/>
        <charset val="1"/>
      </rPr>
      <t xml:space="preserve">Cotação OPE154: </t>
    </r>
    <r>
      <rPr>
        <sz val="9"/>
        <color rgb="FF002060"/>
        <rFont val="Arial"/>
        <family val="0"/>
        <charset val="1"/>
      </rPr>
      <t xml:space="preserve">Cotação KSB RAS0051138 Rev. 10 (11/12/2023), item 7 – TAG B-3109, KSB MEGACPK 100-065-315, 1 un., Finame 03279333, R$ 61.620,83 sem impostos / R$ 71.978,04 com impostos (= linha 5); mesmo escopo MEGACPK da linha 4. 
</t>
    </r>
    <r>
      <rPr>
        <b val="true"/>
        <sz val="9"/>
        <color rgb="FF7030A0"/>
        <rFont val="Arial"/>
        <family val="0"/>
        <charset val="1"/>
      </rPr>
      <t xml:space="preserve">Novo v2 (achados / correções / proposições): </t>
    </r>
    <r>
      <rPr>
        <sz val="9"/>
        <color rgb="FF7030A0"/>
        <rFont val="Arial"/>
        <family val="0"/>
        <charset val="1"/>
      </rPr>
      <t xml:space="preserve">Cotação = crítica (R$ 71.978,04, item 7, B-3109). A leitura de campo "OP M482301818" fica superada pela ANP (M482301618) e pela sequência das OPs. Finame 03279333 = crítica. 
</t>
    </r>
    <r>
      <rPr>
        <b val="true"/>
        <sz val="9"/>
        <color rgb="FF000000"/>
        <rFont val="Arial"/>
        <family val="0"/>
        <charset val="1"/>
      </rPr>
      <t xml:space="preserve">COMPONENTES (1):
• B-3109: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(lista de linhas): produto etanol anidro; sucção 6", recalque 4"; fluxograma </t>
    </r>
    <r>
      <rPr>
        <strike val="true"/>
        <sz val="9"/>
        <color rgb="FFB38600"/>
        <rFont val="Arial"/>
        <family val="0"/>
        <charset val="1"/>
      </rPr>
      <t xml:space="preserve">DE-3100-1300-002</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B-3109</t>
    </r>
    <r>
      <rPr>
        <sz val="9"/>
        <color rgb="FF00703C"/>
        <rFont val="Arial"/>
        <family val="0"/>
        <charset val="1"/>
      </rPr>
      <t xml:space="preserve"> BOMBA CENTRIFUGA – local BPAM-SCAR-CET-01-19-01, equip. 000000121706, ABC B. </t>
    </r>
    <r>
      <rPr>
        <b val="true"/>
        <sz val="9"/>
        <color rgb="FF1F4E9A"/>
        <rFont val="Arial"/>
        <family val="0"/>
        <charset val="1"/>
      </rPr>
      <t xml:space="preserve">Placa/campo: </t>
    </r>
    <r>
      <rPr>
        <sz val="9"/>
        <color rgb="FF1F4E9A"/>
        <rFont val="Arial"/>
        <family val="0"/>
        <charset val="1"/>
      </rPr>
      <t xml:space="preserve">ANP Fig. 152: KSB </t>
    </r>
    <r>
      <rPr>
        <strike val="true"/>
        <sz val="9"/>
        <color rgb="FF1F4E9A"/>
        <rFont val="Arial"/>
        <family val="0"/>
        <charset val="1"/>
      </rPr>
      <t xml:space="preserve">MCPK 100-65-315 EE</t>
    </r>
    <r>
      <rPr>
        <sz val="9"/>
        <color rgb="FF1F4E9A"/>
        <rFont val="Arial"/>
        <family val="0"/>
        <charset val="1"/>
      </rPr>
      <t xml:space="preserve">, OP M482301618, Q 70 m3/h, H 42 mca, 1784 rpm, 150 kg, ano 2024; campo: </t>
    </r>
    <r>
      <rPr>
        <strike val="true"/>
        <sz val="9"/>
        <color rgb="FF1F4E9A"/>
        <rFont val="Arial"/>
        <family val="0"/>
        <charset val="1"/>
      </rPr>
      <t xml:space="preserve">MCPK 100-65-315 EE</t>
    </r>
    <r>
      <rPr>
        <sz val="9"/>
        <color rgb="FF1F4E9A"/>
        <rFont val="Arial"/>
        <family val="0"/>
        <charset val="1"/>
      </rPr>
      <t xml:space="preserve"> | OP M482301818 | Q 70 m3/h; H 42 mca; 1784 rpm; 150 kg | Etanol anidro - carreg. rodoviario </t>
    </r>
    <r>
      <rPr>
        <b val="true"/>
        <sz val="9"/>
        <color rgb="FF000000"/>
        <rFont val="Arial"/>
        <family val="0"/>
        <charset val="1"/>
      </rPr>
      <t xml:space="preserve">Obs.: </t>
    </r>
    <r>
      <rPr>
        <sz val="9"/>
        <color rgb="FF000000"/>
        <rFont val="Arial"/>
        <family val="0"/>
        <charset val="1"/>
      </rPr>
      <t xml:space="preserve">Modelo da placa (</t>
    </r>
    <r>
      <rPr>
        <strike val="true"/>
        <sz val="9"/>
        <color rgb="FF000000"/>
        <rFont val="Arial"/>
        <family val="0"/>
        <charset val="1"/>
      </rPr>
      <t xml:space="preserve">MCPK 100-65-315 EE</t>
    </r>
    <r>
      <rPr>
        <sz val="9"/>
        <color rgb="FF000000"/>
        <rFont val="Arial"/>
        <family val="0"/>
        <charset val="1"/>
      </rPr>
      <t xml:space="preserve">) = crítica (100-065-315). OP DIVERGE campo M482301818 × ANP M482301618. Serviço em campo "Etanol anidro - carreg. rodoviario" × lista de linhas "etanol anidro". Confronto campo×ANP: N – OP campo M482301818 x ANP M482301618 (Fig. 152, nitida). Sequencia 1611-1625 apoia 1618. Leitura de campo errada (8 por 6).. Fabricação 2024 compatível com NF de 2024. </t>
    </r>
    <r>
      <rPr>
        <b val="true"/>
        <sz val="9"/>
        <color rgb="FF000000"/>
        <rFont val="Arial"/>
        <family val="0"/>
        <charset val="1"/>
      </rPr>
      <t xml:space="preserve">Fotos: </t>
    </r>
    <r>
      <rPr>
        <sz val="9"/>
        <color rgb="FF000000"/>
        <rFont val="Arial"/>
        <family val="0"/>
        <charset val="1"/>
      </rPr>
      <t xml:space="preserve">0102-0105 | </t>
    </r>
    <r>
      <rPr>
        <strike val="true"/>
        <sz val="9"/>
        <color rgb="FF000000"/>
        <rFont val="Arial"/>
        <family val="0"/>
        <charset val="1"/>
      </rPr>
      <t xml:space="preserve">ANP Fig. 152</t>
    </r>
    <r>
      <rPr>
        <sz val="9"/>
        <color rgb="FF000000"/>
        <rFont val="Arial"/>
        <family val="0"/>
        <charset val="1"/>
      </rPr>
      <t xml:space="preserve">. </t>
    </r>
    <r>
      <rPr>
        <b val="true"/>
        <sz val="9"/>
        <color rgb="FF002060"/>
        <rFont val="Arial"/>
        <family val="0"/>
        <charset val="1"/>
      </rPr>
      <t xml:space="preserve">Cotação: </t>
    </r>
    <r>
      <rPr>
        <sz val="9"/>
        <color rgb="FF002060"/>
        <rFont val="Arial"/>
        <family val="0"/>
        <charset val="1"/>
      </rPr>
      <t xml:space="preserve">KSB RAS0051138 Rev. 10 (11/12/2023), item 7: TAG B-3109, MEGACPK 100-065-315, 1 un., Finame 03279333, R$ 61.620,83 sem impostos / R$ 71.978,04 com impostos (ICMS 5,1394 %, PIS/COFINS 9,25 %, IPI 0 %), 150 dias. </t>
    </r>
    <r>
      <rPr>
        <b val="true"/>
        <sz val="9"/>
        <color rgb="FF7030A0"/>
        <rFont val="Arial"/>
        <family val="0"/>
        <charset val="1"/>
      </rPr>
      <t xml:space="preserve">Novo v2: </t>
    </r>
    <r>
      <rPr>
        <sz val="9"/>
        <color rgb="FF7030A0"/>
        <rFont val="Arial"/>
        <family val="0"/>
        <charset val="1"/>
      </rPr>
      <t xml:space="preserve">OP definitiva M482301618 (ANP + sequência); a leitura de campo "…1818" foi erro de leitura (8 por 6). </t>
    </r>
  </si>
  <si>
    <t xml:space="preserve">B-3109</t>
  </si>
  <si>
    <r>
      <rPr>
        <b val="true"/>
        <sz val="9"/>
        <color rgb="FFB38600"/>
        <rFont val="Arial"/>
        <family val="0"/>
        <charset val="1"/>
      </rPr>
      <t xml:space="preserve">Projeto: </t>
    </r>
    <r>
      <rPr>
        <sz val="9"/>
        <color rgb="FFB38600"/>
        <rFont val="Arial"/>
        <family val="0"/>
        <charset val="1"/>
      </rPr>
      <t xml:space="preserve">LI-3100-6105-001 (lista de linhas): produto etanol anidro; sucção 6", recalque 4"; fluxograma DE-3100-1300-002.SAP: B-3109 BOMBA CENTRIFUGA – local BPAM-SCAR-CET-01-19-01, equip. 000000121706, ABC B.Placa/campo: ANP Fig. 152: KSB MCPK 100-65-315 EE, OP M482301618, Q 70 m3/h, H 42 mca, 1784 rpm, 150 kg, ano 2024; campo: MCPK 100-65-315 EE | OP M482301818 | Q 70 m3/h; H 42 mca; 1784 rpm; 150 kg | Etanol anidro - carreg. rodoviario</t>
    </r>
  </si>
  <si>
    <t xml:space="preserve">MCPK 100-65-315 EE</t>
  </si>
  <si>
    <t xml:space="preserve">Q 70 m3/h; H 42 mca; 1784 rpm</t>
  </si>
  <si>
    <t xml:space="preserve">OP M482301618</t>
  </si>
  <si>
    <t xml:space="preserve">B-3109 / 000000121706</t>
  </si>
  <si>
    <t xml:space="preserve">Modelo da placa (MCPK 100-65-315 EE) = crítica (100-065-315). OP DIVERGE campo M482301818 × ANP M482301618. Serviço em campo "Etanol anidro - carreg. rodoviario" × lista de linhas "etanol anidro". Confronto campo×ANP: N – OP campo M482301818 x ANP M482301618 (Fig. 152, nitida). Sequencia 1611-1625 apoia 1618. Leitura de campo errada (8 por 6).. Fabricação 2024 compatível com NF de 2024.</t>
  </si>
  <si>
    <t xml:space="preserve">0102-0105 | ANP Fig. 152</t>
  </si>
  <si>
    <t xml:space="preserve">KSB RAS0051138 Rev. 10 (11/12/2023), item 7: TAG B-3109, MEGACPK 100-065-315, 1 un., Finame 03279333, R$ 61.620,83 sem impostos / R$ 71.978,04 com impostos (ICMS 5,1394 %, PIS/COFINS 9,25 %, IPI 0 %), 150 dias.</t>
  </si>
  <si>
    <t xml:space="preserve">OP definitiva M482301618 (ANP + sequência); a leitura de campo "…1818" foi erro de leitura (8 por 6).</t>
  </si>
  <si>
    <t xml:space="preserve">6</t>
  </si>
  <si>
    <t xml:space="preserve">Bombas de produto CETRAN 01 – 125-080-315 (2 un.)</t>
  </si>
  <si>
    <r>
      <rPr>
        <b val="true"/>
        <sz val="9"/>
        <color rgb="FF000000"/>
        <rFont val="Arial"/>
        <family val="0"/>
        <charset val="1"/>
      </rPr>
      <t xml:space="preserve">Crítica: </t>
    </r>
    <r>
      <rPr>
        <sz val="9"/>
        <color rgb="FF000000"/>
        <rFont val="Arial"/>
        <family val="0"/>
        <charset val="1"/>
      </rPr>
      <t xml:space="preserve">Bomba – KSB megacpk 125-080-315 – 2 un. × R$ 87.358,35 = R$ 174.716,70; fornecedor KSB Brasil Ltda; Finame 03279333.NF: NF 34511 de 10/09/2024 – KSB Brasil Ltda (CNPJ 60.680.873/0009-71): "Conjunto bomba KSB", R$ 1.139.300,87. Atribuição: NF 34511 (decomposição aritmética única).SAP: 2 de 2 TAGs cadastradas: B-3111, B-3112.Projeto: LI-3100-6105-001: biodiesel; fluxograma DE-3100-1300-002.</t>
    </r>
  </si>
  <si>
    <t xml:space="preserve">Q 72 m³/h; H 53 mca; 1775 rpm</t>
  </si>
  <si>
    <t xml:space="preserve">OP M482301620 e M482301621 (ANP)</t>
  </si>
  <si>
    <t xml:space="preserve">2 TAGs no SAP</t>
  </si>
  <si>
    <t xml:space="preserve">34511</t>
  </si>
  <si>
    <t xml:space="preserve">10/09/2024</t>
  </si>
  <si>
    <t xml:space="preserve">NF 34511 (decomposição aritmética única)</t>
  </si>
  <si>
    <t xml:space="preserve">Placas: MCPK 125-80-315 EE, Q 72 m³/h, H 53 mca (ANP Fig. 154/155). SAP cadastra as 2 TAGs. Vínculo por indício: B-3111/3112 são as únicas 125-80-315 com Q 72 m³/h e recalque de 4" no projeto (as demais 6"), compatível com o preço unitário menor da linha 6.</t>
  </si>
  <si>
    <t xml:space="preserve">Cotação KSB RAS0051138 Rev. 10 (11/12/2023), itens 14 e 15 – TAGs B-3116 e B-3117, KSB MEGACPK 125-080-315, R$ 74.788,01 sem impostos / R$ 87.358,35 com impostos cada = R$ 174.716,70 (= linha 6); Finame 03279333; mesmo escopo MEGACPK da linha 4.</t>
  </si>
  <si>
    <t xml:space="preserve">CORREÇÃO: pela cotação KSB, a linha 6 (2 × R$ 87.358,35) corresponde às TAGs B-3116 e B-3117 (etanol anidro – carregamento ferroviário e reserva, Q 120 m³/h, H 50 mca, 1771 rpm, 158 kg, OPs M482301624/25), e não a B-3111/B-3112 como inferido em 07/10. A justificativa anterior (recalque 4" e Q 72 m³/h) não se sustenta: o preço menor da KSB está nas duas bombas de etanol anidro ferroviário, provavelmente por motor/rotor menores. As fichas de B-3111/B-3112 permanecem válidas como componentes da linha 4.</t>
  </si>
  <si>
    <r>
      <rPr>
        <b val="true"/>
        <sz val="9"/>
        <color rgb="FF000000"/>
        <rFont val="Arial"/>
        <family val="0"/>
        <charset val="1"/>
      </rPr>
      <t xml:space="preserve">LINHA 6 – Bombas de produto CETRAN 01 – 125-080-315 (2 un.) [CONJUNTO]
Crítica: </t>
    </r>
    <r>
      <rPr>
        <sz val="9"/>
        <color rgb="FF000000"/>
        <rFont val="Arial"/>
        <family val="0"/>
        <charset val="1"/>
      </rPr>
      <t xml:space="preserve">Bomba – KSB megacpk 125-080-315 – 2 un. × R$ 87.358,35 = R$ 174.716,70; fornecedor KSB Brasil Ltda; Finame 03279333. </t>
    </r>
    <r>
      <rPr>
        <b val="true"/>
        <sz val="9"/>
        <color rgb="FFC00000"/>
        <rFont val="Arial"/>
        <family val="0"/>
        <charset val="1"/>
      </rPr>
      <t xml:space="preserve">NF: </t>
    </r>
    <r>
      <rPr>
        <sz val="9"/>
        <color rgb="FFC00000"/>
        <rFont val="Arial"/>
        <family val="0"/>
        <charset val="1"/>
      </rPr>
      <t xml:space="preserve">NF 34511 de 10/09/2024 – </t>
    </r>
    <r>
      <rPr>
        <strike val="true"/>
        <sz val="9"/>
        <color rgb="FFC00000"/>
        <rFont val="Arial"/>
        <family val="0"/>
        <charset val="1"/>
      </rPr>
      <t xml:space="preserve">KSB Brasil Ltda</t>
    </r>
    <r>
      <rPr>
        <sz val="9"/>
        <color rgb="FFC00000"/>
        <rFont val="Arial"/>
        <family val="0"/>
        <charset val="1"/>
      </rPr>
      <t xml:space="preserve"> (CNPJ 60.680.873/0009-71): "Conjunto bomba KSB", R$ 1.139.300,87. Atribuição: NF 34511 (decomposição aritmética única). </t>
    </r>
    <r>
      <rPr>
        <b val="true"/>
        <sz val="9"/>
        <color rgb="FF00703C"/>
        <rFont val="Arial"/>
        <family val="0"/>
        <charset val="1"/>
      </rPr>
      <t xml:space="preserve">SAP: </t>
    </r>
    <r>
      <rPr>
        <sz val="9"/>
        <color rgb="FF00703C"/>
        <rFont val="Arial"/>
        <family val="0"/>
        <charset val="1"/>
      </rPr>
      <t xml:space="preserve">2 de 2 TAGs cadastradas: B-3111, B-3112. </t>
    </r>
    <r>
      <rPr>
        <b val="true"/>
        <sz val="9"/>
        <color rgb="FFB38600"/>
        <rFont val="Arial"/>
        <family val="0"/>
        <charset val="1"/>
      </rPr>
      <t xml:space="preserve">Projeto: </t>
    </r>
    <r>
      <rPr>
        <sz val="9"/>
        <color rgb="FFB38600"/>
        <rFont val="Arial"/>
        <family val="0"/>
        <charset val="1"/>
      </rPr>
      <t xml:space="preserve">LI-3100-6105-001: biodiesel; fluxograma DE-3100-1300-002. 
</t>
    </r>
    <r>
      <rPr>
        <b val="true"/>
        <sz val="9"/>
        <color rgb="FFC00000"/>
        <rFont val="Arial"/>
        <family val="0"/>
        <charset val="1"/>
      </rPr>
      <t xml:space="preserve">NF (colunas K-Q): </t>
    </r>
    <r>
      <rPr>
        <sz val="9"/>
        <color rgb="FFC00000"/>
        <rFont val="Arial"/>
        <family val="0"/>
        <charset val="1"/>
      </rPr>
      <t xml:space="preserve">NF nº 34511 de 10/09/2024 – </t>
    </r>
    <r>
      <rPr>
        <strike val="true"/>
        <sz val="9"/>
        <color rgb="FFC00000"/>
        <rFont val="Arial"/>
        <family val="0"/>
        <charset val="1"/>
      </rPr>
      <t xml:space="preserve">KSB Brasil Ltda</t>
    </r>
    <r>
      <rPr>
        <sz val="9"/>
        <color rgb="FFC00000"/>
        <rFont val="Arial"/>
        <family val="0"/>
        <charset val="1"/>
      </rPr>
      <t xml:space="preserve"> (</t>
    </r>
    <r>
      <rPr>
        <strike val="true"/>
        <sz val="9"/>
        <color rgb="FFC00000"/>
        <rFont val="Arial"/>
        <family val="0"/>
        <charset val="1"/>
      </rPr>
      <t xml:space="preserve">60.680.873/0009-71</t>
    </r>
    <r>
      <rPr>
        <sz val="9"/>
        <color rgb="FFC00000"/>
        <rFont val="Arial"/>
        <family val="0"/>
        <charset val="1"/>
      </rPr>
      <t xml:space="preserve">) – valor comprovado R$ 174.716,70. </t>
    </r>
    <r>
      <rPr>
        <b val="true"/>
        <sz val="9"/>
        <color rgb="FF000000"/>
        <rFont val="Arial"/>
        <family val="0"/>
        <charset val="1"/>
      </rPr>
      <t xml:space="preserve">Atribuição: </t>
    </r>
    <r>
      <rPr>
        <strike val="true"/>
        <sz val="9"/>
        <color rgb="FF000000"/>
        <rFont val="Arial"/>
        <family val="0"/>
        <charset val="1"/>
      </rPr>
      <t xml:space="preserve">NF 34511 (decomposição aritmética única)</t>
    </r>
    <r>
      <rPr>
        <sz val="9"/>
        <color rgb="FF000000"/>
        <rFont val="Arial"/>
        <family val="0"/>
        <charset val="1"/>
      </rPr>
      <t xml:space="preserve">. </t>
    </r>
    <r>
      <rPr>
        <b val="true"/>
        <sz val="9"/>
        <color rgb="FF000000"/>
        <rFont val="Arial"/>
        <family val="0"/>
        <charset val="1"/>
      </rPr>
      <t xml:space="preserve">Crítica (colunas N-P): </t>
    </r>
    <r>
      <rPr>
        <sz val="9"/>
        <color rgb="FF000000"/>
        <rFont val="Arial"/>
        <family val="0"/>
        <charset val="1"/>
      </rPr>
      <t xml:space="preserve">qtd 2, unitário R$ 87.358,35, total R$ 174.716,70. 
</t>
    </r>
    <r>
      <rPr>
        <b val="true"/>
        <sz val="9"/>
        <color rgb="FF000000"/>
        <rFont val="Arial"/>
        <family val="0"/>
        <charset val="1"/>
      </rPr>
      <t xml:space="preserve">Ficha (colunas E-J): </t>
    </r>
    <r>
      <rPr>
        <b val="true"/>
        <sz val="9"/>
        <color rgb="FF1F4E9A"/>
        <rFont val="Arial"/>
        <family val="0"/>
        <charset val="1"/>
      </rPr>
      <t xml:space="preserve">Marca: </t>
    </r>
    <r>
      <rPr>
        <sz val="9"/>
        <color rgb="FF1F4E9A"/>
        <rFont val="Arial"/>
        <family val="0"/>
        <charset val="1"/>
      </rPr>
      <t xml:space="preserve">KSB. </t>
    </r>
    <r>
      <rPr>
        <b val="true"/>
        <sz val="9"/>
        <color rgb="FF000000"/>
        <rFont val="Arial"/>
        <family val="0"/>
        <charset val="1"/>
      </rPr>
      <t xml:space="preserve">Modelo: </t>
    </r>
    <r>
      <rPr>
        <sz val="9"/>
        <color rgb="FF000000"/>
        <rFont val="Arial"/>
        <family val="0"/>
        <charset val="1"/>
      </rPr>
      <t xml:space="preserve">125-080-315. </t>
    </r>
    <r>
      <rPr>
        <b val="true"/>
        <sz val="9"/>
        <color rgb="FF1F4E9A"/>
        <rFont val="Arial"/>
        <family val="0"/>
        <charset val="1"/>
      </rPr>
      <t xml:space="preserve">Capacidade: </t>
    </r>
    <r>
      <rPr>
        <sz val="9"/>
        <color rgb="FF1F4E9A"/>
        <rFont val="Arial"/>
        <family val="0"/>
        <charset val="1"/>
      </rPr>
      <t xml:space="preserve">Q 72 m³/h; H 53 mca; 1775 rpm. </t>
    </r>
    <r>
      <rPr>
        <b val="true"/>
        <sz val="9"/>
        <color rgb="FF1F4E9A"/>
        <rFont val="Arial"/>
        <family val="0"/>
        <charset val="1"/>
      </rPr>
      <t xml:space="preserve">Série/OP: </t>
    </r>
    <r>
      <rPr>
        <sz val="9"/>
        <color rgb="FF1F4E9A"/>
        <rFont val="Arial"/>
        <family val="0"/>
        <charset val="1"/>
      </rPr>
      <t xml:space="preserve">OP M482301620 e M482301621 (ANP). </t>
    </r>
    <r>
      <rPr>
        <b val="true"/>
        <sz val="9"/>
        <color rgb="FF00703C"/>
        <rFont val="Arial"/>
        <family val="0"/>
        <charset val="1"/>
      </rPr>
      <t xml:space="preserve">TAG/SAP: </t>
    </r>
    <r>
      <rPr>
        <sz val="9"/>
        <color rgb="FF00703C"/>
        <rFont val="Arial"/>
        <family val="0"/>
        <charset val="1"/>
      </rPr>
      <t xml:space="preserve">2 TAGs no SAP. </t>
    </r>
    <r>
      <rPr>
        <b val="true"/>
        <sz val="9"/>
        <color rgb="FF1F4E9A"/>
        <rFont val="Arial"/>
        <family val="0"/>
        <charset val="1"/>
      </rPr>
      <t xml:space="preserve">Fabricação: </t>
    </r>
    <r>
      <rPr>
        <sz val="9"/>
        <color rgb="FF1F4E9A"/>
        <rFont val="Arial"/>
        <family val="0"/>
        <charset val="1"/>
      </rPr>
      <t xml:space="preserve">2024. 
</t>
    </r>
    <r>
      <rPr>
        <b val="true"/>
        <sz val="9"/>
        <color rgb="FF000000"/>
        <rFont val="Arial"/>
        <family val="0"/>
        <charset val="1"/>
      </rPr>
      <t xml:space="preserve">Obs. (coluna T): </t>
    </r>
    <r>
      <rPr>
        <sz val="9"/>
        <color rgb="FF000000"/>
        <rFont val="Arial"/>
        <family val="0"/>
        <charset val="1"/>
      </rPr>
      <t xml:space="preserve">Placas: MCPK 125-80-315 EE, Q 72 m³/h, H 53 mca (ANP Fig. 154/155). SAP cadastra as 2 TAGs. Vínculo por indício: </t>
    </r>
    <r>
      <rPr>
        <strike val="true"/>
        <sz val="9"/>
        <color rgb="FF000000"/>
        <rFont val="Arial"/>
        <family val="0"/>
        <charset val="1"/>
      </rPr>
      <t xml:space="preserve">B-3111</t>
    </r>
    <r>
      <rPr>
        <sz val="9"/>
        <color rgb="FF000000"/>
        <rFont val="Arial"/>
        <family val="0"/>
        <charset val="1"/>
      </rPr>
      <t xml:space="preserve">/3112 são as únicas 125-80-315 com Q 72 m³/h e recalque de 4" no projeto (as demais 6"), compatível com o preço unitário menor da linha 6. </t>
    </r>
    <r>
      <rPr>
        <b val="true"/>
        <sz val="9"/>
        <color rgb="FF000000"/>
        <rFont val="Arial"/>
        <family val="0"/>
        <charset val="1"/>
      </rPr>
      <t xml:space="preserve">Fotos (coluna U): </t>
    </r>
    <r>
      <rPr>
        <sz val="9"/>
        <color rgb="FF000000"/>
        <rFont val="Arial"/>
        <family val="0"/>
        <charset val="1"/>
      </rPr>
      <t xml:space="preserve">ver componentes. 
</t>
    </r>
    <r>
      <rPr>
        <b val="true"/>
        <sz val="9"/>
        <color rgb="FF002060"/>
        <rFont val="Arial"/>
        <family val="0"/>
        <charset val="1"/>
      </rPr>
      <t xml:space="preserve">Cotação OPE154: </t>
    </r>
    <r>
      <rPr>
        <sz val="9"/>
        <color rgb="FF002060"/>
        <rFont val="Arial"/>
        <family val="0"/>
        <charset val="1"/>
      </rPr>
      <t xml:space="preserve">Cotação KSB RAS0051138 Rev. 10 (11/12/2023), itens 14 e 15 – TAGs B-3116 e B-3117, KSB MEGACPK 125-080-315, R$ 74.788,01 sem impostos / R$ 87.358,35 com impostos cada = R$ 174.716,70 (= linha 6); Finame 03279333; mesmo escopo MEGACPK da linha 4. 
</t>
    </r>
    <r>
      <rPr>
        <b val="true"/>
        <sz val="9"/>
        <color rgb="FF7030A0"/>
        <rFont val="Arial"/>
        <family val="0"/>
        <charset val="1"/>
      </rPr>
      <t xml:space="preserve">Novo v2 (achados / correções / proposições): </t>
    </r>
    <r>
      <rPr>
        <sz val="9"/>
        <color rgb="FF7030A0"/>
        <rFont val="Arial"/>
        <family val="0"/>
        <charset val="1"/>
      </rPr>
      <t xml:space="preserve">CORREÇÃO: pela cotação KSB, a linha 6 (2 × R$ 87.358,35) corresponde às TAGs B-3116 e B-3117 (etanol anidro – carregamento ferroviário e reserva, Q 120 m³/h, H 50 mca, 1771 rpm, 158 kg, OPs M482301624/25), e não a B-3111/B-3112 como inferido em 07/10. A justificativa anterior (recalque 4" e Q 72 m³/h) não se sustenta: o preço menor da KSB está nas duas bombas de etanol anidro ferroviário, provavelmente por motor/rotor menores. As fichas de B-3111/B-3112 permanecem válidas como componentes da linha 4. 
</t>
    </r>
    <r>
      <rPr>
        <b val="true"/>
        <sz val="9"/>
        <color rgb="FF000000"/>
        <rFont val="Arial"/>
        <family val="0"/>
        <charset val="1"/>
      </rPr>
      <t xml:space="preserve">COMPONENTES (2):
• B-3116: </t>
    </r>
    <r>
      <rPr>
        <b val="true"/>
        <sz val="9"/>
        <color rgb="FF7030A0"/>
        <rFont val="Arial"/>
        <family val="0"/>
        <charset val="1"/>
      </rPr>
      <t xml:space="preserve">[CORREÇÃO v2: componente da linha 6; na base de 07/10 estava na linha 4]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(lista de linhas): produto etanol anidro; sucção 6", recalque 6"; fluxograma </t>
    </r>
    <r>
      <rPr>
        <strike val="true"/>
        <sz val="9"/>
        <color rgb="FFB38600"/>
        <rFont val="Arial"/>
        <family val="0"/>
        <charset val="1"/>
      </rPr>
      <t xml:space="preserve">DE-3100-1300-002</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B-3116</t>
    </r>
    <r>
      <rPr>
        <sz val="9"/>
        <color rgb="FF00703C"/>
        <rFont val="Arial"/>
        <family val="0"/>
        <charset val="1"/>
      </rPr>
      <t xml:space="preserve"> BOMBA CENTRIFUGA – local BPAM-SCAR-CET-01-13-01, equip. 000000121673, ABC B. </t>
    </r>
    <r>
      <rPr>
        <b val="true"/>
        <sz val="9"/>
        <color rgb="FF1F4E9A"/>
        <rFont val="Arial"/>
        <family val="0"/>
        <charset val="1"/>
      </rPr>
      <t xml:space="preserve">Placa/campo: </t>
    </r>
    <r>
      <rPr>
        <sz val="9"/>
        <color rgb="FF1F4E9A"/>
        <rFont val="Arial"/>
        <family val="0"/>
        <charset val="1"/>
      </rPr>
      <t xml:space="preserve">ANP Fig. 159: KSB </t>
    </r>
    <r>
      <rPr>
        <strike val="true"/>
        <sz val="9"/>
        <color rgb="FF1F4E9A"/>
        <rFont val="Arial"/>
        <family val="0"/>
        <charset val="1"/>
      </rPr>
      <t xml:space="preserve">MCPK 125-80-315 EE</t>
    </r>
    <r>
      <rPr>
        <sz val="9"/>
        <color rgb="FF1F4E9A"/>
        <rFont val="Arial"/>
        <family val="0"/>
        <charset val="1"/>
      </rPr>
      <t xml:space="preserve">, OP M?82301624 (digito coberto), Q 120 m3/h, H 50 mca, 1771 rpm, 158 kg, ano 2024; campo: MCPK 1??-80-315 EE | OP ?2301624 | Q 120 m3/h; H 50 mca; 1771 rpm; 158 kg | Etanol anidro - carreg. ferroviario </t>
    </r>
    <r>
      <rPr>
        <b val="true"/>
        <sz val="9"/>
        <color rgb="FF000000"/>
        <rFont val="Arial"/>
        <family val="0"/>
        <charset val="1"/>
      </rPr>
      <t xml:space="preserve">Obs.: </t>
    </r>
    <r>
      <rPr>
        <sz val="9"/>
        <color rgb="FF000000"/>
        <rFont val="Arial"/>
        <family val="0"/>
        <charset val="1"/>
      </rPr>
      <t xml:space="preserve">Modelo da placa (</t>
    </r>
    <r>
      <rPr>
        <strike val="true"/>
        <sz val="9"/>
        <color rgb="FF000000"/>
        <rFont val="Arial"/>
        <family val="0"/>
        <charset val="1"/>
      </rPr>
      <t xml:space="preserve">MCPK 125-80-315 EE</t>
    </r>
    <r>
      <rPr>
        <sz val="9"/>
        <color rgb="FF000000"/>
        <rFont val="Arial"/>
        <family val="0"/>
        <charset val="1"/>
      </rPr>
      <t xml:space="preserve">) = crítica (125-080-315). OP parcial em campo (?2301624) e na ANP (M?82301624 (digito coberto)); a sequência das OPs indica M482301624. Serviço em campo "Etanol anidro - carreg. ferroviario" × lista de linhas "etanol anidro". Confronto campo×ANP: Parcial – ANP preenche OP nao lida/parcial em campo. Fabricação 2024 compatível com NF de 2024. </t>
    </r>
    <r>
      <rPr>
        <b val="true"/>
        <sz val="9"/>
        <color rgb="FF000000"/>
        <rFont val="Arial"/>
        <family val="0"/>
        <charset val="1"/>
      </rPr>
      <t xml:space="preserve">Fotos: </t>
    </r>
    <r>
      <rPr>
        <sz val="9"/>
        <color rgb="FF000000"/>
        <rFont val="Arial"/>
        <family val="0"/>
        <charset val="1"/>
      </rPr>
      <t xml:space="preserve">0111-0117 | </t>
    </r>
    <r>
      <rPr>
        <strike val="true"/>
        <sz val="9"/>
        <color rgb="FF000000"/>
        <rFont val="Arial"/>
        <family val="0"/>
        <charset val="1"/>
      </rPr>
      <t xml:space="preserve">ANP Fig. 159</t>
    </r>
    <r>
      <rPr>
        <sz val="9"/>
        <color rgb="FF000000"/>
        <rFont val="Arial"/>
        <family val="0"/>
        <charset val="1"/>
      </rPr>
      <t xml:space="preserve">. </t>
    </r>
    <r>
      <rPr>
        <b val="true"/>
        <sz val="9"/>
        <color rgb="FF002060"/>
        <rFont val="Arial"/>
        <family val="0"/>
        <charset val="1"/>
      </rPr>
      <t xml:space="preserve">Cotação: </t>
    </r>
    <r>
      <rPr>
        <sz val="9"/>
        <color rgb="FF002060"/>
        <rFont val="Arial"/>
        <family val="0"/>
        <charset val="1"/>
      </rPr>
      <t xml:space="preserve">KSB RAS0051138 Rev. 10 (11/12/2023), item 14: TAG B-3116, MEGACPK 125-080-315, 1 un., Finame 03279333, R$ 74.788,01 sem impostos / R$ 87.358,35 com impostos (ICMS 5,1394 %, PIS/COFINS 9,25 %, IPI 0 %), 150 dias. </t>
    </r>
    <r>
      <rPr>
        <b val="true"/>
        <sz val="9"/>
        <color rgb="FF7030A0"/>
        <rFont val="Arial"/>
        <family val="0"/>
        <charset val="1"/>
      </rPr>
      <t xml:space="preserve">Novo v2: </t>
    </r>
    <r>
      <rPr>
        <sz val="9"/>
        <color rgb="FF7030A0"/>
        <rFont val="Arial"/>
        <family val="0"/>
        <charset val="1"/>
      </rPr>
      <t xml:space="preserve">CORREÇÃO: componente da linha 6 (R$ 87.358,35, item 14 da cotação KSB), não da linha 4. 
</t>
    </r>
    <r>
      <rPr>
        <b val="true"/>
        <sz val="9"/>
        <color rgb="FF000000"/>
        <rFont val="Arial"/>
        <family val="0"/>
        <charset val="1"/>
      </rPr>
      <t xml:space="preserve">• B-3117: </t>
    </r>
    <r>
      <rPr>
        <b val="true"/>
        <sz val="9"/>
        <color rgb="FF7030A0"/>
        <rFont val="Arial"/>
        <family val="0"/>
        <charset val="1"/>
      </rPr>
      <t xml:space="preserve">[CORREÇÃO v2: componente da linha 6; na base de 07/10 estava na linha 4]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t>
    </r>
    <r>
      <rPr>
        <strike val="true"/>
        <sz val="9"/>
        <color rgb="FFB38600"/>
        <rFont val="Arial"/>
        <family val="0"/>
        <charset val="1"/>
      </rPr>
      <t xml:space="preserve">(lista de linhas)</t>
    </r>
    <r>
      <rPr>
        <sz val="9"/>
        <color rgb="FFB38600"/>
        <rFont val="Arial"/>
        <family val="0"/>
        <charset val="1"/>
      </rPr>
      <t xml:space="preserve">: produto etanol anidro; sucção 6", recalque 6"; fluxograma </t>
    </r>
    <r>
      <rPr>
        <strike val="true"/>
        <sz val="9"/>
        <color rgb="FFB38600"/>
        <rFont val="Arial"/>
        <family val="0"/>
        <charset val="1"/>
      </rPr>
      <t xml:space="preserve">DE-3100-1300-002</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B-3117</t>
    </r>
    <r>
      <rPr>
        <sz val="9"/>
        <color rgb="FF00703C"/>
        <rFont val="Arial"/>
        <family val="0"/>
        <charset val="1"/>
      </rPr>
      <t xml:space="preserve"> </t>
    </r>
    <r>
      <rPr>
        <strike val="true"/>
        <sz val="9"/>
        <color rgb="FF00703C"/>
        <rFont val="Arial"/>
        <family val="0"/>
        <charset val="1"/>
      </rPr>
      <t xml:space="preserve">BOMBA CENTRIFUGA</t>
    </r>
    <r>
      <rPr>
        <sz val="9"/>
        <color rgb="FF00703C"/>
        <rFont val="Arial"/>
        <family val="0"/>
        <charset val="1"/>
      </rPr>
      <t xml:space="preserve"> – local BPAM-SCAR-CET-01-16-01, equip. 000000121691, </t>
    </r>
    <r>
      <rPr>
        <strike val="true"/>
        <sz val="9"/>
        <color rgb="FF00703C"/>
        <rFont val="Arial"/>
        <family val="0"/>
        <charset val="1"/>
      </rPr>
      <t xml:space="preserve">ABC B</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ANP Fig. 160: </t>
    </r>
    <r>
      <rPr>
        <strike val="true"/>
        <sz val="9"/>
        <color rgb="FF1F4E9A"/>
        <rFont val="Arial"/>
        <family val="0"/>
        <charset val="1"/>
      </rPr>
      <t xml:space="preserve">KSB MCPK 125-80-315 EE</t>
    </r>
    <r>
      <rPr>
        <sz val="9"/>
        <color rgb="FF1F4E9A"/>
        <rFont val="Arial"/>
        <family val="0"/>
        <charset val="1"/>
      </rPr>
      <t xml:space="preserve">, OP M482301625, Q 120 m3/h, H 50 mca, 1771 rpm, 158 kg, </t>
    </r>
    <r>
      <rPr>
        <strike val="true"/>
        <sz val="9"/>
        <color rgb="FF1F4E9A"/>
        <rFont val="Arial"/>
        <family val="0"/>
        <charset val="1"/>
      </rPr>
      <t xml:space="preserve">ano 2024</t>
    </r>
    <r>
      <rPr>
        <sz val="9"/>
        <color rgb="FF1F4E9A"/>
        <rFont val="Arial"/>
        <family val="0"/>
        <charset val="1"/>
      </rPr>
      <t xml:space="preserve">; campo: MCPK (serie 315) | OP ?46530162? | Q 120 m3/h; H 50 mca; ~1775 rpm | Etanol anidro - reserva ferroviario </t>
    </r>
    <r>
      <rPr>
        <b val="true"/>
        <sz val="9"/>
        <color rgb="FF000000"/>
        <rFont val="Arial"/>
        <family val="0"/>
        <charset val="1"/>
      </rPr>
      <t xml:space="preserve">Obs.: </t>
    </r>
    <r>
      <rPr>
        <strike val="true"/>
        <sz val="9"/>
        <color rgb="FF000000"/>
        <rFont val="Arial"/>
        <family val="0"/>
        <charset val="1"/>
      </rPr>
      <t xml:space="preserve">Modelo da placa (MCPK 125-80-315 EE) = crítica (125-080-315).</t>
    </r>
    <r>
      <rPr>
        <sz val="9"/>
        <color rgb="FF000000"/>
        <rFont val="Arial"/>
        <family val="0"/>
        <charset val="1"/>
      </rPr>
      <t xml:space="preserve"> OP lida parcialmente em campo (?46530162?); ANP completa M482301625. Serviço em campo "Etanol anidro - reserva ferroviario" × lista de linhas "etanol anidro". </t>
    </r>
    <r>
      <rPr>
        <strike val="true"/>
        <sz val="9"/>
        <color rgb="FF000000"/>
        <rFont val="Arial"/>
        <family val="0"/>
        <charset val="1"/>
      </rPr>
      <t xml:space="preserve">Confronto campo×ANP: Parcial – ANP preenche OP nao lida/parcial em campo.</t>
    </r>
    <r>
      <rPr>
        <sz val="9"/>
        <color rgb="FF000000"/>
        <rFont val="Arial"/>
        <family val="0"/>
        <charset val="1"/>
      </rPr>
      <t xml:space="preserve"> </t>
    </r>
    <r>
      <rPr>
        <strike val="true"/>
        <sz val="9"/>
        <color rgb="FF000000"/>
        <rFont val="Arial"/>
        <family val="0"/>
        <charset val="1"/>
      </rPr>
      <t xml:space="preserve">Fabricação 2024 compatível com NF de 2024.</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0106-0110 | </t>
    </r>
    <r>
      <rPr>
        <strike val="true"/>
        <sz val="9"/>
        <color rgb="FF000000"/>
        <rFont val="Arial"/>
        <family val="0"/>
        <charset val="1"/>
      </rPr>
      <t xml:space="preserve">ANP Fig. 160</t>
    </r>
    <r>
      <rPr>
        <sz val="9"/>
        <color rgb="FF000000"/>
        <rFont val="Arial"/>
        <family val="0"/>
        <charset val="1"/>
      </rPr>
      <t xml:space="preserve">. </t>
    </r>
    <r>
      <rPr>
        <b val="true"/>
        <sz val="9"/>
        <color rgb="FF002060"/>
        <rFont val="Arial"/>
        <family val="0"/>
        <charset val="1"/>
      </rPr>
      <t xml:space="preserve">Cotação: </t>
    </r>
    <r>
      <rPr>
        <sz val="9"/>
        <color rgb="FF002060"/>
        <rFont val="Arial"/>
        <family val="0"/>
        <charset val="1"/>
      </rPr>
      <t xml:space="preserve">KSB RAS0051138 Rev. 10 (11/12/2023), item 15: TAG B-3117, MEGACPK 125-080-315, 1 un., Finame 03279333, R$ 74.788,01 sem impostos / R$ 87.358,35 com impostos (ICMS 5,1394 %, PIS/COFINS 9,25 %, IPI 0 %), 150 dias. </t>
    </r>
    <r>
      <rPr>
        <b val="true"/>
        <sz val="9"/>
        <color rgb="FF7030A0"/>
        <rFont val="Arial"/>
        <family val="0"/>
        <charset val="1"/>
      </rPr>
      <t xml:space="preserve">Novo v2: </t>
    </r>
    <r>
      <rPr>
        <sz val="9"/>
        <color rgb="FF7030A0"/>
        <rFont val="Arial"/>
        <family val="0"/>
        <charset val="1"/>
      </rPr>
      <t xml:space="preserve">CORREÇÃO: componente da linha 6 (R$ 87.358,35, item 15 da cotação KSB), não da linha 4. </t>
    </r>
  </si>
  <si>
    <t xml:space="preserve">B-3111</t>
  </si>
  <si>
    <r>
      <rPr>
        <b val="true"/>
        <sz val="9"/>
        <color rgb="FFB38600"/>
        <rFont val="Arial"/>
        <family val="0"/>
        <charset val="1"/>
      </rPr>
      <t xml:space="preserve">Projeto: </t>
    </r>
    <r>
      <rPr>
        <sz val="9"/>
        <color rgb="FFB38600"/>
        <rFont val="Arial"/>
        <family val="0"/>
        <charset val="1"/>
      </rPr>
      <t xml:space="preserve">LI-3100-6105-001 (lista de linhas): produto biodiesel; sucção 6", recalque 4"; fluxograma DE-3100-1300-002.SAP: B-3111 BOMBA CENTRIFUGA – local BPAM-SCAR-CET-01-07-01, equip. 000000121636, ABC B.Placa/campo: ANP Fig. 154: KSB MCPK 125-80-315 EE, OP M482301620, Q 72 m3/h, H 53 mca, 1775 rpm, 163 kg, ano 2024; campo: MCPK 1?0-80-315 EE | OP N4823016?0 | Q 72 m3/h; H 53 mca; 1775 rpm; 163 kg | Biodiesel - carreg. rodoviario</t>
    </r>
  </si>
  <si>
    <t xml:space="preserve">Q 72 m3/h; H 53 mca; 1775 rpm</t>
  </si>
  <si>
    <t xml:space="preserve">OP M482301620</t>
  </si>
  <si>
    <t xml:space="preserve">B-3111 / 000000121636</t>
  </si>
  <si>
    <t xml:space="preserve">Modelo da placa (MCPK 125-80-315 EE) = crítica (125-080-315). OP lida parcialmente em campo (N4823016?0); ANP completa M482301620. Serviço em campo "Biodiesel - carreg. rodoviario" × lista de linhas "biodiesel". Confronto campo×ANP: Parcial – ANP preenche OP nao lida/parcial em campo. Fabricação 2024 compatível com NF de 2024.</t>
  </si>
  <si>
    <t xml:space="preserve">0079, 0082-0084 | ANP Fig. 154</t>
  </si>
  <si>
    <t xml:space="preserve">KSB RAS0051138 Rev. 10 (11/12/2023), item 9: TAG B-3111, MEGACPK 125-080-315, 1 un., Finame 03279333, R$ 87.307,12 sem impostos / R$ 101.981,67 com impostos (ICMS 5,1394 %, PIS/COFINS 9,25 %, IPI 0 %), 150 dias.</t>
  </si>
  <si>
    <t xml:space="preserve">[CORREÇÃO v2: componente da linha 4; na base de 07/10 estava na linha 6] CORREÇÃO: componente da linha 4 (R$ 101.981,67, item 9 da cotação KSB), não da linha 6.</t>
  </si>
  <si>
    <t xml:space="preserve">B-3112</t>
  </si>
  <si>
    <r>
      <rPr>
        <b val="true"/>
        <sz val="9"/>
        <color rgb="FFB38600"/>
        <rFont val="Arial"/>
        <family val="0"/>
        <charset val="1"/>
      </rPr>
      <t xml:space="preserve">Projeto: </t>
    </r>
    <r>
      <rPr>
        <sz val="9"/>
        <color rgb="FFB38600"/>
        <rFont val="Arial"/>
        <family val="0"/>
        <charset val="1"/>
      </rPr>
      <t xml:space="preserve">LI-3100-6105-001 (lista de linhas): produto biodiesel; sucção 6", recalque 4"; fluxograma DE-3100-1300-002.SAP: B-3112 BOMBA CENTRIFUGA – local BPAM-SCAR-CET-01-10-01, equip. 000000121656, ABC B.Placa/campo: ANP Fig. 155: KSB MCPK 125-80-315 EE, OP M482301621, Q 72 m3/h, H 53 mca, 1775 rpm, 163 kg, ano 2024; campo: MCPK (serie 315) | OP M4823016?? | 1775 rpm | Biodiesel - reserva</t>
    </r>
  </si>
  <si>
    <t xml:space="preserve">OP M482301621</t>
  </si>
  <si>
    <t xml:space="preserve">B-3112 / 000000121656</t>
  </si>
  <si>
    <t xml:space="preserve">Modelo da placa (MCPK 125-80-315 EE) = crítica (125-080-315). OP lida parcialmente em campo (M4823016??); ANP completa M482301621. Serviço em campo "Biodiesel - reserva" × lista de linhas "biodiesel". Confronto campo×ANP: Parcial – ANP preenche OP nao lida/parcial em campo. Fabricação 2024 compatível com NF de 2024.</t>
  </si>
  <si>
    <t xml:space="preserve">0074-0076, 0080, 0081 | ANP Fig. 155</t>
  </si>
  <si>
    <t xml:space="preserve">KSB RAS0051138 Rev. 10 (11/12/2023), item 10: TAG B-3112, MEGACPK 125-080-315, 1 un., Finame 03279333, R$ 87.307,12 sem impostos / R$ 101.981,67 com impostos (ICMS 5,1394 %, PIS/COFINS 9,25 %, IPI 0 %), 150 dias.</t>
  </si>
  <si>
    <t xml:space="preserve">[CORREÇÃO v2: componente da linha 4; na base de 07/10 estava na linha 6] CORREÇÃO: componente da linha 4 (R$ 101.981,67, item 10 da cotação KSB), não da linha 6.</t>
  </si>
  <si>
    <t xml:space="preserve">7</t>
  </si>
  <si>
    <t xml:space="preserve">Bombas CETRAN 02 (ferroviário) – 125-100-315 (2 un.)</t>
  </si>
  <si>
    <r>
      <rPr>
        <b val="true"/>
        <sz val="9"/>
        <color rgb="FF000000"/>
        <rFont val="Arial"/>
        <family val="0"/>
        <charset val="1"/>
      </rPr>
      <t xml:space="preserve">Crítica: </t>
    </r>
    <r>
      <rPr>
        <sz val="9"/>
        <color rgb="FF000000"/>
        <rFont val="Arial"/>
        <family val="0"/>
        <charset val="1"/>
      </rPr>
      <t xml:space="preserve">Bomba – KSB megacpk 125-100-315 – 2 un. × R$ 80.938,11 = R$ 161.876,22; fornecedor KSB Brasil Ltda; Finame 03279333.NF: NF 34511 de 10/09/2024 – KSB Brasil Ltda (CNPJ 60.680.873/0009-71): "Conjunto bomba KSB", R$ 1.139.300,87. Atribuição: NF 34511 (decomposição aritmética única).SAP: 2 de 2 TAGs cadastradas: B-3118, B-3119.Projeto: LI-3100-6105-001: gasolina; fluxograma DE-3100-1300-007.</t>
    </r>
  </si>
  <si>
    <t xml:space="preserve">125-100-315</t>
  </si>
  <si>
    <t xml:space="preserve">Q 180 m³/h; H 32 mca; motor 18,5 kW</t>
  </si>
  <si>
    <t xml:space="preserve">OP M482301626 e M482301627</t>
  </si>
  <si>
    <t xml:space="preserve">Placas KSB lidas em campo (lotes 1 e 3; B-3119 fechada no lote 3). Motores WEG W22Xd 180M/L, 18,5 kW/25 cv, Ex db IIB T4 Gb. ANP Fig. 167/168 sem leitura de placa. Vínculo por indício: B-3118/3119 são as únicas 125-100-315 com motor 18,5 kW (demais 30 kW) – preço unitário menor da linha 7.</t>
  </si>
  <si>
    <t xml:space="preserve">Cotação KSB RAS0051138 Rev. 10 (11/12/2023), itens 16 e 17 – TAGs B-3118 e B-3119, KSB MEGACPK 125-100-315, R$ 69.291,60 sem impostos / R$ 80.938,11 com impostos cada = R$ 161.876,22 (= linha 7); Finame 03279333.</t>
  </si>
  <si>
    <t xml:space="preserve">Cotação = crítica (itens 16-17, R$ 80.938,11 cada, B-3118/B-3119) – a atribuição por indício (motor 18,5 kW) está agora documentada.</t>
  </si>
  <si>
    <r>
      <rPr>
        <b val="true"/>
        <sz val="9"/>
        <color rgb="FF000000"/>
        <rFont val="Arial"/>
        <family val="0"/>
        <charset val="1"/>
      </rPr>
      <t xml:space="preserve">LINHA 7 – Bombas CETRAN 02 (ferroviário) – 125-100-315 (2 un.) [CONJUNTO]
Crítica: </t>
    </r>
    <r>
      <rPr>
        <sz val="9"/>
        <color rgb="FF000000"/>
        <rFont val="Arial"/>
        <family val="0"/>
        <charset val="1"/>
      </rPr>
      <t xml:space="preserve">Bomba – KSB megacpk 125-100-315 – 2 un. × R$ 80.938,11 = R$ 161.876,22; fornecedor KSB Brasil Ltda; Finame 03279333. </t>
    </r>
    <r>
      <rPr>
        <b val="true"/>
        <sz val="9"/>
        <color rgb="FFC00000"/>
        <rFont val="Arial"/>
        <family val="0"/>
        <charset val="1"/>
      </rPr>
      <t xml:space="preserve">NF: </t>
    </r>
    <r>
      <rPr>
        <sz val="9"/>
        <color rgb="FFC00000"/>
        <rFont val="Arial"/>
        <family val="0"/>
        <charset val="1"/>
      </rPr>
      <t xml:space="preserve">NF 34511 de 10/09/2024 – </t>
    </r>
    <r>
      <rPr>
        <strike val="true"/>
        <sz val="9"/>
        <color rgb="FFC00000"/>
        <rFont val="Arial"/>
        <family val="0"/>
        <charset val="1"/>
      </rPr>
      <t xml:space="preserve">KSB Brasil Ltda</t>
    </r>
    <r>
      <rPr>
        <sz val="9"/>
        <color rgb="FFC00000"/>
        <rFont val="Arial"/>
        <family val="0"/>
        <charset val="1"/>
      </rPr>
      <t xml:space="preserve"> (CNPJ 60.680.873/0009-71): "Conjunto bomba KSB", R$ 1.139.300,87. Atribuição: NF 34511 (decomposição aritmética única). </t>
    </r>
    <r>
      <rPr>
        <b val="true"/>
        <sz val="9"/>
        <color rgb="FF00703C"/>
        <rFont val="Arial"/>
        <family val="0"/>
        <charset val="1"/>
      </rPr>
      <t xml:space="preserve">SAP: </t>
    </r>
    <r>
      <rPr>
        <sz val="9"/>
        <color rgb="FF00703C"/>
        <rFont val="Arial"/>
        <family val="0"/>
        <charset val="1"/>
      </rPr>
      <t xml:space="preserve">2 de 2 TAGs cadastradas: B-3118, B-3119. </t>
    </r>
    <r>
      <rPr>
        <b val="true"/>
        <sz val="9"/>
        <color rgb="FFB38600"/>
        <rFont val="Arial"/>
        <family val="0"/>
        <charset val="1"/>
      </rPr>
      <t xml:space="preserve">Projeto: </t>
    </r>
    <r>
      <rPr>
        <sz val="9"/>
        <color rgb="FFB38600"/>
        <rFont val="Arial"/>
        <family val="0"/>
        <charset val="1"/>
      </rPr>
      <t xml:space="preserve">LI-3100-6105-001: gasolina; fluxograma DE-3100-1300-007. 
</t>
    </r>
    <r>
      <rPr>
        <b val="true"/>
        <sz val="9"/>
        <color rgb="FFC00000"/>
        <rFont val="Arial"/>
        <family val="0"/>
        <charset val="1"/>
      </rPr>
      <t xml:space="preserve">NF (colunas K-Q): </t>
    </r>
    <r>
      <rPr>
        <sz val="9"/>
        <color rgb="FFC00000"/>
        <rFont val="Arial"/>
        <family val="0"/>
        <charset val="1"/>
      </rPr>
      <t xml:space="preserve">NF nº 34511 de 10/09/2024 – </t>
    </r>
    <r>
      <rPr>
        <strike val="true"/>
        <sz val="9"/>
        <color rgb="FFC00000"/>
        <rFont val="Arial"/>
        <family val="0"/>
        <charset val="1"/>
      </rPr>
      <t xml:space="preserve">KSB Brasil Ltda</t>
    </r>
    <r>
      <rPr>
        <sz val="9"/>
        <color rgb="FFC00000"/>
        <rFont val="Arial"/>
        <family val="0"/>
        <charset val="1"/>
      </rPr>
      <t xml:space="preserve"> (</t>
    </r>
    <r>
      <rPr>
        <strike val="true"/>
        <sz val="9"/>
        <color rgb="FFC00000"/>
        <rFont val="Arial"/>
        <family val="0"/>
        <charset val="1"/>
      </rPr>
      <t xml:space="preserve">60.680.873/0009-71</t>
    </r>
    <r>
      <rPr>
        <sz val="9"/>
        <color rgb="FFC00000"/>
        <rFont val="Arial"/>
        <family val="0"/>
        <charset val="1"/>
      </rPr>
      <t xml:space="preserve">) – valor comprovado R$ 161.876,22. </t>
    </r>
    <r>
      <rPr>
        <b val="true"/>
        <sz val="9"/>
        <color rgb="FF000000"/>
        <rFont val="Arial"/>
        <family val="0"/>
        <charset val="1"/>
      </rPr>
      <t xml:space="preserve">Atribuição: </t>
    </r>
    <r>
      <rPr>
        <strike val="true"/>
        <sz val="9"/>
        <color rgb="FF000000"/>
        <rFont val="Arial"/>
        <family val="0"/>
        <charset val="1"/>
      </rPr>
      <t xml:space="preserve">NF 34511 (decomposição aritmética única)</t>
    </r>
    <r>
      <rPr>
        <sz val="9"/>
        <color rgb="FF000000"/>
        <rFont val="Arial"/>
        <family val="0"/>
        <charset val="1"/>
      </rPr>
      <t xml:space="preserve">. </t>
    </r>
    <r>
      <rPr>
        <b val="true"/>
        <sz val="9"/>
        <color rgb="FF000000"/>
        <rFont val="Arial"/>
        <family val="0"/>
        <charset val="1"/>
      </rPr>
      <t xml:space="preserve">Crítica (colunas N-P): </t>
    </r>
    <r>
      <rPr>
        <sz val="9"/>
        <color rgb="FF000000"/>
        <rFont val="Arial"/>
        <family val="0"/>
        <charset val="1"/>
      </rPr>
      <t xml:space="preserve">qtd 2, unitário R$ 80.938,11, total R$ 161.876,22. 
</t>
    </r>
    <r>
      <rPr>
        <b val="true"/>
        <sz val="9"/>
        <color rgb="FF000000"/>
        <rFont val="Arial"/>
        <family val="0"/>
        <charset val="1"/>
      </rPr>
      <t xml:space="preserve">Ficha (colunas E-J): </t>
    </r>
    <r>
      <rPr>
        <b val="true"/>
        <sz val="9"/>
        <color rgb="FF1F4E9A"/>
        <rFont val="Arial"/>
        <family val="0"/>
        <charset val="1"/>
      </rPr>
      <t xml:space="preserve">Marca: </t>
    </r>
    <r>
      <rPr>
        <sz val="9"/>
        <color rgb="FF1F4E9A"/>
        <rFont val="Arial"/>
        <family val="0"/>
        <charset val="1"/>
      </rPr>
      <t xml:space="preserve">KSB. </t>
    </r>
    <r>
      <rPr>
        <b val="true"/>
        <sz val="9"/>
        <color rgb="FF000000"/>
        <rFont val="Arial"/>
        <family val="0"/>
        <charset val="1"/>
      </rPr>
      <t xml:space="preserve">Modelo: </t>
    </r>
    <r>
      <rPr>
        <sz val="9"/>
        <color rgb="FF000000"/>
        <rFont val="Arial"/>
        <family val="0"/>
        <charset val="1"/>
      </rPr>
      <t xml:space="preserve">125-100-315. </t>
    </r>
    <r>
      <rPr>
        <b val="true"/>
        <sz val="9"/>
        <color rgb="FF1F4E9A"/>
        <rFont val="Arial"/>
        <family val="0"/>
        <charset val="1"/>
      </rPr>
      <t xml:space="preserve">Capacidade: </t>
    </r>
    <r>
      <rPr>
        <sz val="9"/>
        <color rgb="FF1F4E9A"/>
        <rFont val="Arial"/>
        <family val="0"/>
        <charset val="1"/>
      </rPr>
      <t xml:space="preserve">Q 180 m³/h; H 32 mca; motor 18,5 kW. </t>
    </r>
    <r>
      <rPr>
        <b val="true"/>
        <sz val="9"/>
        <color rgb="FF1F4E9A"/>
        <rFont val="Arial"/>
        <family val="0"/>
        <charset val="1"/>
      </rPr>
      <t xml:space="preserve">Série/OP: </t>
    </r>
    <r>
      <rPr>
        <sz val="9"/>
        <color rgb="FF1F4E9A"/>
        <rFont val="Arial"/>
        <family val="0"/>
        <charset val="1"/>
      </rPr>
      <t xml:space="preserve">OP M482301626 e M482301627. </t>
    </r>
    <r>
      <rPr>
        <b val="true"/>
        <sz val="9"/>
        <color rgb="FF00703C"/>
        <rFont val="Arial"/>
        <family val="0"/>
        <charset val="1"/>
      </rPr>
      <t xml:space="preserve">TAG/SAP: </t>
    </r>
    <r>
      <rPr>
        <sz val="9"/>
        <color rgb="FF00703C"/>
        <rFont val="Arial"/>
        <family val="0"/>
        <charset val="1"/>
      </rPr>
      <t xml:space="preserve">2 TAGs no SAP. </t>
    </r>
    <r>
      <rPr>
        <b val="true"/>
        <sz val="9"/>
        <color rgb="FF1F4E9A"/>
        <rFont val="Arial"/>
        <family val="0"/>
        <charset val="1"/>
      </rPr>
      <t xml:space="preserve">Fabricação: </t>
    </r>
    <r>
      <rPr>
        <sz val="9"/>
        <color rgb="FF1F4E9A"/>
        <rFont val="Arial"/>
        <family val="0"/>
        <charset val="1"/>
      </rPr>
      <t xml:space="preserve">2024. 
</t>
    </r>
    <r>
      <rPr>
        <b val="true"/>
        <sz val="9"/>
        <color rgb="FF000000"/>
        <rFont val="Arial"/>
        <family val="0"/>
        <charset val="1"/>
      </rPr>
      <t xml:space="preserve">Obs. (coluna T): </t>
    </r>
    <r>
      <rPr>
        <sz val="9"/>
        <color rgb="FF000000"/>
        <rFont val="Arial"/>
        <family val="0"/>
        <charset val="1"/>
      </rPr>
      <t xml:space="preserve">Placas KSB lidas em campo (lotes 1 e 3; </t>
    </r>
    <r>
      <rPr>
        <strike val="true"/>
        <sz val="9"/>
        <color rgb="FF000000"/>
        <rFont val="Arial"/>
        <family val="0"/>
        <charset val="1"/>
      </rPr>
      <t xml:space="preserve">B-3119</t>
    </r>
    <r>
      <rPr>
        <sz val="9"/>
        <color rgb="FF000000"/>
        <rFont val="Arial"/>
        <family val="0"/>
        <charset val="1"/>
      </rPr>
      <t xml:space="preserve"> fechada no lote 3). Motores WEG W22Xd 180M/L, 18,5 kW/25 cv, Ex db IIB T4 Gb. ANP Fig. 167/168 sem leitura de placa. Vínculo por indício: </t>
    </r>
    <r>
      <rPr>
        <strike val="true"/>
        <sz val="9"/>
        <color rgb="FF000000"/>
        <rFont val="Arial"/>
        <family val="0"/>
        <charset val="1"/>
      </rPr>
      <t xml:space="preserve">B-3118</t>
    </r>
    <r>
      <rPr>
        <sz val="9"/>
        <color rgb="FF000000"/>
        <rFont val="Arial"/>
        <family val="0"/>
        <charset val="1"/>
      </rPr>
      <t xml:space="preserve">/3119 são as únicas 125-100-315 com motor 18,5 kW (demais 30 kW) – preço unitário menor da linha 7. </t>
    </r>
    <r>
      <rPr>
        <b val="true"/>
        <sz val="9"/>
        <color rgb="FF000000"/>
        <rFont val="Arial"/>
        <family val="0"/>
        <charset val="1"/>
      </rPr>
      <t xml:space="preserve">Fotos (coluna U): </t>
    </r>
    <r>
      <rPr>
        <sz val="9"/>
        <color rgb="FF000000"/>
        <rFont val="Arial"/>
        <family val="0"/>
        <charset val="1"/>
      </rPr>
      <t xml:space="preserve">ver componentes. 
</t>
    </r>
    <r>
      <rPr>
        <b val="true"/>
        <sz val="9"/>
        <color rgb="FF002060"/>
        <rFont val="Arial"/>
        <family val="0"/>
        <charset val="1"/>
      </rPr>
      <t xml:space="preserve">Cotação OPE154: </t>
    </r>
    <r>
      <rPr>
        <sz val="9"/>
        <color rgb="FF002060"/>
        <rFont val="Arial"/>
        <family val="0"/>
        <charset val="1"/>
      </rPr>
      <t xml:space="preserve">Cotação KSB RAS0051138 Rev. 10 (11/12/2023), itens 16 e 17 – TAGs B-3118 e B-3119, KSB MEGACPK 125-100-315, R$ 69.291,60 sem impostos / R$ 80.938,11 com impostos cada = R$ 161.876,22 (= linha 7); Finame 03279333. 
</t>
    </r>
    <r>
      <rPr>
        <b val="true"/>
        <sz val="9"/>
        <color rgb="FF7030A0"/>
        <rFont val="Arial"/>
        <family val="0"/>
        <charset val="1"/>
      </rPr>
      <t xml:space="preserve">Novo v2 (achados / correções / proposições): </t>
    </r>
    <r>
      <rPr>
        <sz val="9"/>
        <color rgb="FF7030A0"/>
        <rFont val="Arial"/>
        <family val="0"/>
        <charset val="1"/>
      </rPr>
      <t xml:space="preserve">Cotação = crítica (itens 16-17, R$ 80.938,11 cada, B-3118/B-3119) – a atribuição por indício (motor 18,5 kW) está agora documentada. 
</t>
    </r>
    <r>
      <rPr>
        <b val="true"/>
        <sz val="9"/>
        <color rgb="FF000000"/>
        <rFont val="Arial"/>
        <family val="0"/>
        <charset val="1"/>
      </rPr>
      <t xml:space="preserve">COMPONENTES (2):
• B-3118: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produto gasolina; sucção 8", recalque 6"; fluxograma </t>
    </r>
    <r>
      <rPr>
        <strike val="true"/>
        <sz val="9"/>
        <color rgb="FFB38600"/>
        <rFont val="Arial"/>
        <family val="0"/>
        <charset val="1"/>
      </rPr>
      <t xml:space="preserve">DE-3100-1300-007</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B-3118</t>
    </r>
    <r>
      <rPr>
        <sz val="9"/>
        <color rgb="FF00703C"/>
        <rFont val="Arial"/>
        <family val="0"/>
        <charset val="1"/>
      </rPr>
      <t xml:space="preserve"> BOMBA CENTRIFUGA – local BPAM-SCAR-CET-13-01-01, equip. 000000121928, ABC B. </t>
    </r>
    <r>
      <rPr>
        <b val="true"/>
        <sz val="9"/>
        <color rgb="FF1F4E9A"/>
        <rFont val="Arial"/>
        <family val="0"/>
        <charset val="1"/>
      </rPr>
      <t xml:space="preserve">Placa/campo: </t>
    </r>
    <r>
      <rPr>
        <sz val="9"/>
        <color rgb="FF1F4E9A"/>
        <rFont val="Arial"/>
        <family val="0"/>
        <charset val="1"/>
      </rPr>
      <t xml:space="preserve">KSB MCPK 125-100-315, OP M482301626, Q 180 m3/h; H 32 mca; 1776 rpm; 159 kg | MOTOR: </t>
    </r>
    <r>
      <rPr>
        <strike val="true"/>
        <sz val="9"/>
        <color rgb="FF1F4E9A"/>
        <rFont val="Arial"/>
        <family val="0"/>
        <charset val="1"/>
      </rPr>
      <t xml:space="preserve">WEG W22Xd | 180M/L</t>
    </r>
    <r>
      <rPr>
        <sz val="9"/>
        <color rgb="FF1F4E9A"/>
        <rFont val="Arial"/>
        <family val="0"/>
        <charset val="1"/>
      </rPr>
      <t xml:space="preserve"> | IPW55 247 kg | 220/380/440 V | 64,1/37,1/32,0 A | 18,5 kW / 25 CV | FS 1,00 | 1780 rpm | FP 0,82 | ISOL F | rend 92,4% | </t>
    </r>
    <r>
      <rPr>
        <strike val="true"/>
        <sz val="9"/>
        <color rgb="FF1F4E9A"/>
        <rFont val="Arial"/>
        <family val="0"/>
        <charset val="1"/>
      </rPr>
      <t xml:space="preserve">Ex db IIB T4 Gb</t>
    </r>
    <r>
      <rPr>
        <sz val="9"/>
        <color rgb="FF1F4E9A"/>
        <rFont val="Arial"/>
        <family val="0"/>
        <charset val="1"/>
      </rPr>
      <t xml:space="preserve"> | DNV 18.0055 X. </t>
    </r>
    <r>
      <rPr>
        <b val="true"/>
        <sz val="9"/>
        <color rgb="FF000000"/>
        <rFont val="Arial"/>
        <family val="0"/>
        <charset val="1"/>
      </rPr>
      <t xml:space="preserve">Obs.: </t>
    </r>
    <r>
      <rPr>
        <sz val="9"/>
        <color rgb="FF000000"/>
        <rFont val="Arial"/>
        <family val="0"/>
        <charset val="1"/>
      </rPr>
      <t xml:space="preserve">Modelo da placa = crítica (125-100-315). Produto do projeto: gasolina. </t>
    </r>
    <r>
      <rPr>
        <b val="true"/>
        <sz val="9"/>
        <color rgb="FF000000"/>
        <rFont val="Arial"/>
        <family val="0"/>
        <charset val="1"/>
      </rPr>
      <t xml:space="preserve">Fotos: </t>
    </r>
    <r>
      <rPr>
        <sz val="9"/>
        <color rgb="FF000000"/>
        <rFont val="Arial"/>
        <family val="0"/>
        <charset val="1"/>
      </rPr>
      <t xml:space="preserve">0788-0791. </t>
    </r>
    <r>
      <rPr>
        <b val="true"/>
        <sz val="9"/>
        <color rgb="FF002060"/>
        <rFont val="Arial"/>
        <family val="0"/>
        <charset val="1"/>
      </rPr>
      <t xml:space="preserve">Cotação: </t>
    </r>
    <r>
      <rPr>
        <sz val="9"/>
        <color rgb="FF002060"/>
        <rFont val="Arial"/>
        <family val="0"/>
        <charset val="1"/>
      </rPr>
      <t xml:space="preserve">KSB RAS0051138 Rev. 10 (11/12/2023), item 16: TAG B-3118, MEGACPK 125-100-315, 1 un., Finame 03279333, R$ 69.291,60 sem impostos / R$ 80.938,11 com impostos (ICMS 5,1394 %, PIS/COFINS 9,25 %, IPI 0 %), 150 dias. 
</t>
    </r>
    <r>
      <rPr>
        <b val="true"/>
        <sz val="9"/>
        <color rgb="FF000000"/>
        <rFont val="Arial"/>
        <family val="0"/>
        <charset val="1"/>
      </rPr>
      <t xml:space="preserve">• B-3119: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produto gasolina; sucção 8", recalque 6"; fluxograma </t>
    </r>
    <r>
      <rPr>
        <strike val="true"/>
        <sz val="9"/>
        <color rgb="FFB38600"/>
        <rFont val="Arial"/>
        <family val="0"/>
        <charset val="1"/>
      </rPr>
      <t xml:space="preserve">DE-3100-1300-007</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B-3119</t>
    </r>
    <r>
      <rPr>
        <sz val="9"/>
        <color rgb="FF00703C"/>
        <rFont val="Arial"/>
        <family val="0"/>
        <charset val="1"/>
      </rPr>
      <t xml:space="preserve"> </t>
    </r>
    <r>
      <rPr>
        <strike val="true"/>
        <sz val="9"/>
        <color rgb="FF00703C"/>
        <rFont val="Arial"/>
        <family val="0"/>
        <charset val="1"/>
      </rPr>
      <t xml:space="preserve">BOMBA CENTRIFUGA</t>
    </r>
    <r>
      <rPr>
        <sz val="9"/>
        <color rgb="FF00703C"/>
        <rFont val="Arial"/>
        <family val="0"/>
        <charset val="1"/>
      </rPr>
      <t xml:space="preserve"> – local BPAM-SCAR-CET-13-04-01, equip. 000000121949, </t>
    </r>
    <r>
      <rPr>
        <strike val="true"/>
        <sz val="9"/>
        <color rgb="FF00703C"/>
        <rFont val="Arial"/>
        <family val="0"/>
        <charset val="1"/>
      </rPr>
      <t xml:space="preserve">ABC B</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KSB MCPK 125-100-315 EE, OP M482301627, Q 180 m3/h; H 32 mca; 1776 rpm; 159 kg | MOTOR: WEG W22Xdb 180M/L 247 kg 18,5 kW/25 CV 1780 rpm </t>
    </r>
    <r>
      <rPr>
        <strike val="true"/>
        <sz val="9"/>
        <color rgb="FF1F4E9A"/>
        <rFont val="Arial"/>
        <family val="0"/>
        <charset val="1"/>
      </rPr>
      <t xml:space="preserve">Ex db IIB T4 Gb</t>
    </r>
    <r>
      <rPr>
        <sz val="9"/>
        <color rgb="FF1F4E9A"/>
        <rFont val="Arial"/>
        <family val="0"/>
        <charset val="1"/>
      </rPr>
      <t xml:space="preserve">. </t>
    </r>
    <r>
      <rPr>
        <b val="true"/>
        <sz val="9"/>
        <color rgb="FF000000"/>
        <rFont val="Arial"/>
        <family val="0"/>
        <charset val="1"/>
      </rPr>
      <t xml:space="preserve">Obs.: </t>
    </r>
    <r>
      <rPr>
        <sz val="9"/>
        <color rgb="FF000000"/>
        <rFont val="Arial"/>
        <family val="0"/>
        <charset val="1"/>
      </rPr>
      <t xml:space="preserve">Modelo da placa = crítica (125-100-315). </t>
    </r>
    <r>
      <rPr>
        <strike val="true"/>
        <sz val="9"/>
        <color rgb="FF000000"/>
        <rFont val="Arial"/>
        <family val="0"/>
        <charset val="1"/>
      </rPr>
      <t xml:space="preserve">Produto do projeto: gasolina.</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0793-0796, 1068-1076. </t>
    </r>
    <r>
      <rPr>
        <b val="true"/>
        <sz val="9"/>
        <color rgb="FF002060"/>
        <rFont val="Arial"/>
        <family val="0"/>
        <charset val="1"/>
      </rPr>
      <t xml:space="preserve">Cotação: </t>
    </r>
    <r>
      <rPr>
        <sz val="9"/>
        <color rgb="FF002060"/>
        <rFont val="Arial"/>
        <family val="0"/>
        <charset val="1"/>
      </rPr>
      <t xml:space="preserve">KSB RAS0051138 Rev. 10 (11/12/2023), item 17: TAG B-3119, MEGACPK 125-100-315, 1 un., Finame 03279333, R$ 69.291,60 sem impostos / R$ 80.938,11 com impostos (ICMS 5,1394 %, PIS/COFINS 9,25 %, IPI 0 %), 150 dias. </t>
    </r>
  </si>
  <si>
    <t xml:space="preserve">B-3118</t>
  </si>
  <si>
    <r>
      <rPr>
        <b val="true"/>
        <sz val="9"/>
        <color rgb="FFB38600"/>
        <rFont val="Arial"/>
        <family val="0"/>
        <charset val="1"/>
      </rPr>
      <t xml:space="preserve">Projeto: </t>
    </r>
    <r>
      <rPr>
        <sz val="9"/>
        <color rgb="FFB38600"/>
        <rFont val="Arial"/>
        <family val="0"/>
        <charset val="1"/>
      </rPr>
      <t xml:space="preserve">LI-3100-6105-001: produto gasolina; sucção 8", recalque 6"; fluxograma DE-3100-1300-007.SAP: B-3118 BOMBA CENTRIFUGA – local BPAM-SCAR-CET-13-01-01, equip. 000000121928, ABC B.Placa/campo: KSB MCPK 125-100-315, OP M482301626, Q 180 m3/h; H 32 mca; 1776 rpm; 159 kg | MOTOR: WEG W22Xd | 180M/L | IPW55 247 kg | 220/380/440 V | 64,1/37,1/32,0 A | 18,5 kW / 25 CV | FS 1,00 | 1780 rpm | FP 0,82 | ISOL F | rend 92,4% | Ex db IIB T4 Gb | DNV 18.0055 X.</t>
    </r>
  </si>
  <si>
    <t xml:space="preserve">MCPK 125-100-315</t>
  </si>
  <si>
    <t xml:space="preserve">Q 180 m3/h; H 32 mca; 1776 rpm</t>
  </si>
  <si>
    <t xml:space="preserve">OP M482301626</t>
  </si>
  <si>
    <t xml:space="preserve">B-3118 / 000000121928</t>
  </si>
  <si>
    <t xml:space="preserve">Modelo da placa = crítica (125-100-315). Produto do projeto: gasolina.</t>
  </si>
  <si>
    <t xml:space="preserve">0788-0791</t>
  </si>
  <si>
    <t xml:space="preserve">KSB RAS0051138 Rev. 10 (11/12/2023), item 16: TAG B-3118, MEGACPK 125-100-315, 1 un., Finame 03279333, R$ 69.291,60 sem impostos / R$ 80.938,11 com impostos (ICMS 5,1394 %, PIS/COFINS 9,25 %, IPI 0 %), 150 dias.</t>
  </si>
  <si>
    <t xml:space="preserve">B-3119</t>
  </si>
  <si>
    <r>
      <rPr>
        <b val="true"/>
        <sz val="9"/>
        <color rgb="FFB38600"/>
        <rFont val="Arial"/>
        <family val="0"/>
        <charset val="1"/>
      </rPr>
      <t xml:space="preserve">Projeto: </t>
    </r>
    <r>
      <rPr>
        <sz val="9"/>
        <color rgb="FFB38600"/>
        <rFont val="Arial"/>
        <family val="0"/>
        <charset val="1"/>
      </rPr>
      <t xml:space="preserve">LI-3100-6105-001: produto gasolina; sucção 8", recalque 6"; fluxograma DE-3100-1300-007.SAP: B-3119 BOMBA CENTRIFUGA – local BPAM-SCAR-CET-13-04-01, equip. 000000121949, ABC B.Placa/campo: KSB MCPK 125-100-315 EE, OP M482301627, Q 180 m3/h; H 32 mca; 1776 rpm; 159 kg | MOTOR: WEG W22Xdb 180M/L 247 kg 18,5 kW/25 CV 1780 rpm Ex db IIB T4 Gb.</t>
    </r>
  </si>
  <si>
    <t xml:space="preserve">MCPK 125-100-315 EE</t>
  </si>
  <si>
    <t xml:space="preserve">OP M482301627</t>
  </si>
  <si>
    <t xml:space="preserve">B-3119 / 000000121949</t>
  </si>
  <si>
    <t xml:space="preserve">0793-0796, 1068-1076</t>
  </si>
  <si>
    <t xml:space="preserve">KSB RAS0051138 Rev. 10 (11/12/2023), item 17: TAG B-3119, MEGACPK 125-100-315, 1 un., Finame 03279333, R$ 69.291,60 sem impostos / R$ 80.938,11 com impostos (ICMS 5,1394 %, PIS/COFINS 9,25 %, IPI 0 %), 150 dias.</t>
  </si>
  <si>
    <t xml:space="preserve">8</t>
  </si>
  <si>
    <t xml:space="preserve">Bombas CETRAN 02 (ferroviário) – 125-100-315 (3 un.)</t>
  </si>
  <si>
    <r>
      <rPr>
        <b val="true"/>
        <sz val="9"/>
        <color rgb="FF000000"/>
        <rFont val="Arial"/>
        <family val="0"/>
        <charset val="1"/>
      </rPr>
      <t xml:space="preserve">Crítica: </t>
    </r>
    <r>
      <rPr>
        <sz val="9"/>
        <color rgb="FF000000"/>
        <rFont val="Arial"/>
        <family val="0"/>
        <charset val="1"/>
      </rPr>
      <t xml:space="preserve">Bomba – KSB megacpk 125-100-315 – 3 un. × R$ 102.853,99 = R$ 308.561,97; fornecedor KSB Brasil Ltda; Finame 03279333.NF: NF 34511 de 10/09/2024 – KSB Brasil Ltda (CNPJ 60.680.873/0009-71): "Conjunto bomba KSB", R$ 1.139.300,87. Atribuição: NF 34511 (decomposição aritmética única).SAP: 3 de 3 TAGs cadastradas: B-3120, B-3121, B-3122.Projeto: LI-3100-6105-001: óleo diesel S10, óleo diesel S500; fluxograma DE-3100-1300-007.</t>
    </r>
  </si>
  <si>
    <t xml:space="preserve">Q 180 m³/h; H 39 a 42 mca; motor 30 kW</t>
  </si>
  <si>
    <t xml:space="preserve">OP M482301628 a M482301630</t>
  </si>
  <si>
    <t xml:space="preserve">3 TAGs no SAP</t>
  </si>
  <si>
    <t xml:space="preserve">Placas KSB e motores WEG W22Xd 200M/L 30 kW/40 cv lidos em campo. ANP Fig. 169-171 sem leitura de placa. B-3120 a B-3123 são idênticas (30 kW); divisão 3 + 1 entre as linhas 8 e 9 pela ordem das TAGs, sem documento.</t>
  </si>
  <si>
    <t xml:space="preserve">Cotação KSB RAS0051138 Rev. 10 (11/12/2023), itens 18, 20 e 21 – TAGs B-3120, B-3122 e B-3123, KSB MEGACPK 125-100-315, R$ 88.053,92 sem impostos / R$ 102.853,99 com impostos cada = R$ 308.561,97 (= linha 8); Finame 03279333.</t>
  </si>
  <si>
    <t xml:space="preserve">CORREÇÃO: pela cotação KSB, as 3 bombas de R$ 102.853,99 (linha 8) são B-3120, B-3122 e B-3123 (itens 18, 20 e 21), e a bomba de R$ 102.010,24 (linha 9) é a B-3121 (item 19) – a base de 07/10 havia dividido B-3120/3121/3122 (linha 8) e B-3123 (linha 9) pela ordem das TAGs. Todas são MCPK 125-100-315 EE com motor WEG W22Xd 30 kW; a diferença de R$ 843,75 é de preço, não de equipamento.</t>
  </si>
  <si>
    <r>
      <rPr>
        <b val="true"/>
        <sz val="9"/>
        <color rgb="FF000000"/>
        <rFont val="Arial"/>
        <family val="0"/>
        <charset val="1"/>
      </rPr>
      <t xml:space="preserve">LINHA 8 – Bombas CETRAN 02 (ferroviário) – 125-100-315 (3 un.) [CONJUNTO]
Crítica: </t>
    </r>
    <r>
      <rPr>
        <sz val="9"/>
        <color rgb="FF000000"/>
        <rFont val="Arial"/>
        <family val="0"/>
        <charset val="1"/>
      </rPr>
      <t xml:space="preserve">Bomba – KSB megacpk 125-100-315 – 3 un. × R$ 102.853,99 = R$ 308.561,97; fornecedor KSB Brasil Ltda; Finame 03279333. </t>
    </r>
    <r>
      <rPr>
        <b val="true"/>
        <sz val="9"/>
        <color rgb="FFC00000"/>
        <rFont val="Arial"/>
        <family val="0"/>
        <charset val="1"/>
      </rPr>
      <t xml:space="preserve">NF: </t>
    </r>
    <r>
      <rPr>
        <sz val="9"/>
        <color rgb="FFC00000"/>
        <rFont val="Arial"/>
        <family val="0"/>
        <charset val="1"/>
      </rPr>
      <t xml:space="preserve">NF 34511 de 10/09/2024 – </t>
    </r>
    <r>
      <rPr>
        <strike val="true"/>
        <sz val="9"/>
        <color rgb="FFC00000"/>
        <rFont val="Arial"/>
        <family val="0"/>
        <charset val="1"/>
      </rPr>
      <t xml:space="preserve">KSB Brasil Ltda</t>
    </r>
    <r>
      <rPr>
        <sz val="9"/>
        <color rgb="FFC00000"/>
        <rFont val="Arial"/>
        <family val="0"/>
        <charset val="1"/>
      </rPr>
      <t xml:space="preserve"> (CNPJ 60.680.873/0009-71): "Conjunto bomba KSB", R$ 1.139.300,87. Atribuição: NF 34511 (decomposição aritmética única). </t>
    </r>
    <r>
      <rPr>
        <b val="true"/>
        <sz val="9"/>
        <color rgb="FF00703C"/>
        <rFont val="Arial"/>
        <family val="0"/>
        <charset val="1"/>
      </rPr>
      <t xml:space="preserve">SAP: </t>
    </r>
    <r>
      <rPr>
        <sz val="9"/>
        <color rgb="FF00703C"/>
        <rFont val="Arial"/>
        <family val="0"/>
        <charset val="1"/>
      </rPr>
      <t xml:space="preserve">3 de 3 TAGs cadastradas: B-3120, B-3121, B-3122. </t>
    </r>
    <r>
      <rPr>
        <b val="true"/>
        <sz val="9"/>
        <color rgb="FFB38600"/>
        <rFont val="Arial"/>
        <family val="0"/>
        <charset val="1"/>
      </rPr>
      <t xml:space="preserve">Projeto: </t>
    </r>
    <r>
      <rPr>
        <sz val="9"/>
        <color rgb="FFB38600"/>
        <rFont val="Arial"/>
        <family val="0"/>
        <charset val="1"/>
      </rPr>
      <t xml:space="preserve">LI-3100-6105-001: óleo diesel S10, óleo diesel S500; fluxograma DE-3100-1300-007. 
</t>
    </r>
    <r>
      <rPr>
        <b val="true"/>
        <sz val="9"/>
        <color rgb="FFC00000"/>
        <rFont val="Arial"/>
        <family val="0"/>
        <charset val="1"/>
      </rPr>
      <t xml:space="preserve">NF (colunas K-Q): </t>
    </r>
    <r>
      <rPr>
        <sz val="9"/>
        <color rgb="FFC00000"/>
        <rFont val="Arial"/>
        <family val="0"/>
        <charset val="1"/>
      </rPr>
      <t xml:space="preserve">NF nº 34511 de 10/09/2024 – </t>
    </r>
    <r>
      <rPr>
        <strike val="true"/>
        <sz val="9"/>
        <color rgb="FFC00000"/>
        <rFont val="Arial"/>
        <family val="0"/>
        <charset val="1"/>
      </rPr>
      <t xml:space="preserve">KSB Brasil Ltda</t>
    </r>
    <r>
      <rPr>
        <sz val="9"/>
        <color rgb="FFC00000"/>
        <rFont val="Arial"/>
        <family val="0"/>
        <charset val="1"/>
      </rPr>
      <t xml:space="preserve"> (</t>
    </r>
    <r>
      <rPr>
        <strike val="true"/>
        <sz val="9"/>
        <color rgb="FFC00000"/>
        <rFont val="Arial"/>
        <family val="0"/>
        <charset val="1"/>
      </rPr>
      <t xml:space="preserve">60.680.873/0009-71</t>
    </r>
    <r>
      <rPr>
        <sz val="9"/>
        <color rgb="FFC00000"/>
        <rFont val="Arial"/>
        <family val="0"/>
        <charset val="1"/>
      </rPr>
      <t xml:space="preserve">) – valor comprovado R$ 308.561,97. </t>
    </r>
    <r>
      <rPr>
        <b val="true"/>
        <sz val="9"/>
        <color rgb="FF000000"/>
        <rFont val="Arial"/>
        <family val="0"/>
        <charset val="1"/>
      </rPr>
      <t xml:space="preserve">Atribuição: </t>
    </r>
    <r>
      <rPr>
        <strike val="true"/>
        <sz val="9"/>
        <color rgb="FF000000"/>
        <rFont val="Arial"/>
        <family val="0"/>
        <charset val="1"/>
      </rPr>
      <t xml:space="preserve">NF 34511 (decomposição aritmética única)</t>
    </r>
    <r>
      <rPr>
        <sz val="9"/>
        <color rgb="FF000000"/>
        <rFont val="Arial"/>
        <family val="0"/>
        <charset val="1"/>
      </rPr>
      <t xml:space="preserve">. </t>
    </r>
    <r>
      <rPr>
        <b val="true"/>
        <sz val="9"/>
        <color rgb="FF000000"/>
        <rFont val="Arial"/>
        <family val="0"/>
        <charset val="1"/>
      </rPr>
      <t xml:space="preserve">Crítica (colunas N-P): </t>
    </r>
    <r>
      <rPr>
        <sz val="9"/>
        <color rgb="FF000000"/>
        <rFont val="Arial"/>
        <family val="0"/>
        <charset val="1"/>
      </rPr>
      <t xml:space="preserve">qtd 3, unitário R$ 102.853,99, total R$ 308.561,97. 
</t>
    </r>
    <r>
      <rPr>
        <b val="true"/>
        <sz val="9"/>
        <color rgb="FF000000"/>
        <rFont val="Arial"/>
        <family val="0"/>
        <charset val="1"/>
      </rPr>
      <t xml:space="preserve">Ficha (colunas E-J): </t>
    </r>
    <r>
      <rPr>
        <b val="true"/>
        <sz val="9"/>
        <color rgb="FF1F4E9A"/>
        <rFont val="Arial"/>
        <family val="0"/>
        <charset val="1"/>
      </rPr>
      <t xml:space="preserve">Marca: </t>
    </r>
    <r>
      <rPr>
        <sz val="9"/>
        <color rgb="FF1F4E9A"/>
        <rFont val="Arial"/>
        <family val="0"/>
        <charset val="1"/>
      </rPr>
      <t xml:space="preserve">KSB. </t>
    </r>
    <r>
      <rPr>
        <b val="true"/>
        <sz val="9"/>
        <color rgb="FF000000"/>
        <rFont val="Arial"/>
        <family val="0"/>
        <charset val="1"/>
      </rPr>
      <t xml:space="preserve">Modelo: </t>
    </r>
    <r>
      <rPr>
        <sz val="9"/>
        <color rgb="FF000000"/>
        <rFont val="Arial"/>
        <family val="0"/>
        <charset val="1"/>
      </rPr>
      <t xml:space="preserve">125-100-315. </t>
    </r>
    <r>
      <rPr>
        <b val="true"/>
        <sz val="9"/>
        <color rgb="FF1F4E9A"/>
        <rFont val="Arial"/>
        <family val="0"/>
        <charset val="1"/>
      </rPr>
      <t xml:space="preserve">Capacidade: </t>
    </r>
    <r>
      <rPr>
        <sz val="9"/>
        <color rgb="FF1F4E9A"/>
        <rFont val="Arial"/>
        <family val="0"/>
        <charset val="1"/>
      </rPr>
      <t xml:space="preserve">Q 180 m³/h; H 39 a 42 mca; motor 30 kW. </t>
    </r>
    <r>
      <rPr>
        <b val="true"/>
        <sz val="9"/>
        <color rgb="FF1F4E9A"/>
        <rFont val="Arial"/>
        <family val="0"/>
        <charset val="1"/>
      </rPr>
      <t xml:space="preserve">Série/OP: </t>
    </r>
    <r>
      <rPr>
        <sz val="9"/>
        <color rgb="FF1F4E9A"/>
        <rFont val="Arial"/>
        <family val="0"/>
        <charset val="1"/>
      </rPr>
      <t xml:space="preserve">OP M482301628 a M482301630. </t>
    </r>
    <r>
      <rPr>
        <b val="true"/>
        <sz val="9"/>
        <color rgb="FF00703C"/>
        <rFont val="Arial"/>
        <family val="0"/>
        <charset val="1"/>
      </rPr>
      <t xml:space="preserve">TAG/SAP: </t>
    </r>
    <r>
      <rPr>
        <sz val="9"/>
        <color rgb="FF00703C"/>
        <rFont val="Arial"/>
        <family val="0"/>
        <charset val="1"/>
      </rPr>
      <t xml:space="preserve">3 TAGs no SAP. </t>
    </r>
    <r>
      <rPr>
        <b val="true"/>
        <sz val="9"/>
        <color rgb="FF1F4E9A"/>
        <rFont val="Arial"/>
        <family val="0"/>
        <charset val="1"/>
      </rPr>
      <t xml:space="preserve">Fabricação: </t>
    </r>
    <r>
      <rPr>
        <sz val="9"/>
        <color rgb="FF1F4E9A"/>
        <rFont val="Arial"/>
        <family val="0"/>
        <charset val="1"/>
      </rPr>
      <t xml:space="preserve">2024. 
</t>
    </r>
    <r>
      <rPr>
        <b val="true"/>
        <sz val="9"/>
        <color rgb="FF000000"/>
        <rFont val="Arial"/>
        <family val="0"/>
        <charset val="1"/>
      </rPr>
      <t xml:space="preserve">Obs. (coluna T): </t>
    </r>
    <r>
      <rPr>
        <sz val="9"/>
        <color rgb="FF000000"/>
        <rFont val="Arial"/>
        <family val="0"/>
        <charset val="1"/>
      </rPr>
      <t xml:space="preserve">Placas KSB e motores WEG W22Xd 200M/L 30 kW/40 cv lidos em campo. ANP Fig. 169-171 sem leitura de placa. </t>
    </r>
    <r>
      <rPr>
        <strike val="true"/>
        <sz val="9"/>
        <color rgb="FF000000"/>
        <rFont val="Arial"/>
        <family val="0"/>
        <charset val="1"/>
      </rPr>
      <t xml:space="preserve">B-3120</t>
    </r>
    <r>
      <rPr>
        <sz val="9"/>
        <color rgb="FF000000"/>
        <rFont val="Arial"/>
        <family val="0"/>
        <charset val="1"/>
      </rPr>
      <t xml:space="preserve"> a B-3123 são idênticas (30 kW); divisão 3 + 1 entre as linhas 8 e 9 pela ordem das TAGs, sem documento. </t>
    </r>
    <r>
      <rPr>
        <b val="true"/>
        <sz val="9"/>
        <color rgb="FF000000"/>
        <rFont val="Arial"/>
        <family val="0"/>
        <charset val="1"/>
      </rPr>
      <t xml:space="preserve">Fotos (coluna U): </t>
    </r>
    <r>
      <rPr>
        <sz val="9"/>
        <color rgb="FF000000"/>
        <rFont val="Arial"/>
        <family val="0"/>
        <charset val="1"/>
      </rPr>
      <t xml:space="preserve">ver componentes. 
</t>
    </r>
    <r>
      <rPr>
        <b val="true"/>
        <sz val="9"/>
        <color rgb="FF002060"/>
        <rFont val="Arial"/>
        <family val="0"/>
        <charset val="1"/>
      </rPr>
      <t xml:space="preserve">Cotação OPE154: </t>
    </r>
    <r>
      <rPr>
        <sz val="9"/>
        <color rgb="FF002060"/>
        <rFont val="Arial"/>
        <family val="0"/>
        <charset val="1"/>
      </rPr>
      <t xml:space="preserve">Cotação KSB RAS0051138 Rev. 10 (11/12/2023), itens 18, 20 e 21 – TAGs B-3120, B-3122 e B-3123, KSB MEGACPK 125-100-315, R$ 88.053,92 sem impostos / R$ 102.853,99 com impostos cada = R$ 308.561,97 (= linha 8); Finame 03279333. 
</t>
    </r>
    <r>
      <rPr>
        <b val="true"/>
        <sz val="9"/>
        <color rgb="FF7030A0"/>
        <rFont val="Arial"/>
        <family val="0"/>
        <charset val="1"/>
      </rPr>
      <t xml:space="preserve">Novo v2 (achados / correções / proposições): </t>
    </r>
    <r>
      <rPr>
        <sz val="9"/>
        <color rgb="FF7030A0"/>
        <rFont val="Arial"/>
        <family val="0"/>
        <charset val="1"/>
      </rPr>
      <t xml:space="preserve">CORREÇÃO: pela cotação KSB, as 3 bombas de R$ 102.853,99 (linha 8) são B-3120, B-3122 e B-3123 (itens 18, 20 e 21), e a bomba de R$ 102.010,24 (linha 9) é a B-3121 (item 19) – a base de 07/10 havia dividido B-3120/3121/3122 (linha 8) e B-3123 (linha 9) pela ordem das TAGs. Todas são MCPK 125-100-315 EE com motor WEG W22Xd 30 kW; a diferença de R$ 843,75 é de preço, não de equipamento. 
</t>
    </r>
    <r>
      <rPr>
        <b val="true"/>
        <sz val="9"/>
        <color rgb="FF000000"/>
        <rFont val="Arial"/>
        <family val="0"/>
        <charset val="1"/>
      </rPr>
      <t xml:space="preserve">COMPONENTES (3):
• B-3120: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produto óleo diesel S10; sucção 8", recalque 6"; fluxograma </t>
    </r>
    <r>
      <rPr>
        <strike val="true"/>
        <sz val="9"/>
        <color rgb="FFB38600"/>
        <rFont val="Arial"/>
        <family val="0"/>
        <charset val="1"/>
      </rPr>
      <t xml:space="preserve">DE-3100-1300-007</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B-3120</t>
    </r>
    <r>
      <rPr>
        <sz val="9"/>
        <color rgb="FF00703C"/>
        <rFont val="Arial"/>
        <family val="0"/>
        <charset val="1"/>
      </rPr>
      <t xml:space="preserve"> BOMBA CENTRIFUGA – local BPAM-SCAR-CET-13-07-01, equip. 000000121967, ABC B. </t>
    </r>
    <r>
      <rPr>
        <b val="true"/>
        <sz val="9"/>
        <color rgb="FF1F4E9A"/>
        <rFont val="Arial"/>
        <family val="0"/>
        <charset val="1"/>
      </rPr>
      <t xml:space="preserve">Placa/campo: </t>
    </r>
    <r>
      <rPr>
        <sz val="9"/>
        <color rgb="FF1F4E9A"/>
        <rFont val="Arial"/>
        <family val="0"/>
        <charset val="1"/>
      </rPr>
      <t xml:space="preserve">KSB MCPK 125-100-315 EE, OP M482301628, Q 180 m3/h; 1775 rpm; 163 kg | MOTOR: </t>
    </r>
    <r>
      <rPr>
        <strike val="true"/>
        <sz val="9"/>
        <color rgb="FF1F4E9A"/>
        <rFont val="Arial"/>
        <family val="0"/>
        <charset val="1"/>
      </rPr>
      <t xml:space="preserve">WEG W22Xd | 200M/L</t>
    </r>
    <r>
      <rPr>
        <sz val="9"/>
        <color rgb="FF1F4E9A"/>
        <rFont val="Arial"/>
        <family val="0"/>
        <charset val="1"/>
      </rPr>
      <t xml:space="preserve"> | IPW55 317 kg | 220/380/440 V | 102/59,1/51,0 A | 30 kW / 40 CV | FS 1,00 | 1780 rpm | FP 0,83 | ISOL F | rend 93,0% | Ex db IIB T4 Gb | DNV 18.0055 X. </t>
    </r>
    <r>
      <rPr>
        <b val="true"/>
        <sz val="9"/>
        <color rgb="FF000000"/>
        <rFont val="Arial"/>
        <family val="0"/>
        <charset val="1"/>
      </rPr>
      <t xml:space="preserve">Obs.: </t>
    </r>
    <r>
      <rPr>
        <sz val="9"/>
        <color rgb="FF000000"/>
        <rFont val="Arial"/>
        <family val="0"/>
        <charset val="1"/>
      </rPr>
      <t xml:space="preserve">Modelo da placa = crítica (125-100-315). Produto do projeto: óleo diesel S10. </t>
    </r>
    <r>
      <rPr>
        <b val="true"/>
        <sz val="9"/>
        <color rgb="FF000000"/>
        <rFont val="Arial"/>
        <family val="0"/>
        <charset val="1"/>
      </rPr>
      <t xml:space="preserve">Fotos: </t>
    </r>
    <r>
      <rPr>
        <sz val="9"/>
        <color rgb="FF000000"/>
        <rFont val="Arial"/>
        <family val="0"/>
        <charset val="1"/>
      </rPr>
      <t xml:space="preserve">0797-0802. </t>
    </r>
    <r>
      <rPr>
        <b val="true"/>
        <sz val="9"/>
        <color rgb="FF002060"/>
        <rFont val="Arial"/>
        <family val="0"/>
        <charset val="1"/>
      </rPr>
      <t xml:space="preserve">Cotação: </t>
    </r>
    <r>
      <rPr>
        <sz val="9"/>
        <color rgb="FF002060"/>
        <rFont val="Arial"/>
        <family val="0"/>
        <charset val="1"/>
      </rPr>
      <t xml:space="preserve">KSB RAS0051138 Rev. 10 (11/12/2023), item 18: TAG B-3120, MEGACPK 125-100-315, 1 un., Finame 03279333, R$ 88.053,92 sem impostos / R$ 102.853,99 com impostos (ICMS 5,1394 %, PIS/COFINS 9,25 %, IPI 0 %), 150 dias. 
</t>
    </r>
    <r>
      <rPr>
        <b val="true"/>
        <sz val="9"/>
        <color rgb="FF000000"/>
        <rFont val="Arial"/>
        <family val="0"/>
        <charset val="1"/>
      </rPr>
      <t xml:space="preserve">• B-3122: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produto óleo diesel S500; sucção 8", recalque 6"; fluxograma </t>
    </r>
    <r>
      <rPr>
        <strike val="true"/>
        <sz val="9"/>
        <color rgb="FFB38600"/>
        <rFont val="Arial"/>
        <family val="0"/>
        <charset val="1"/>
      </rPr>
      <t xml:space="preserve">DE-3100-1300-007</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B-3122</t>
    </r>
    <r>
      <rPr>
        <sz val="9"/>
        <color rgb="FF00703C"/>
        <rFont val="Arial"/>
        <family val="0"/>
        <charset val="1"/>
      </rPr>
      <t xml:space="preserve"> </t>
    </r>
    <r>
      <rPr>
        <strike val="true"/>
        <sz val="9"/>
        <color rgb="FF00703C"/>
        <rFont val="Arial"/>
        <family val="0"/>
        <charset val="1"/>
      </rPr>
      <t xml:space="preserve">BOMBA CENTRIFUGA</t>
    </r>
    <r>
      <rPr>
        <sz val="9"/>
        <color rgb="FF00703C"/>
        <rFont val="Arial"/>
        <family val="0"/>
        <charset val="1"/>
      </rPr>
      <t xml:space="preserve"> – local BPAM-SCAR-CET-13-13-01, equip. 000000122006, </t>
    </r>
    <r>
      <rPr>
        <strike val="true"/>
        <sz val="9"/>
        <color rgb="FF00703C"/>
        <rFont val="Arial"/>
        <family val="0"/>
        <charset val="1"/>
      </rPr>
      <t xml:space="preserve">ABC B</t>
    </r>
    <r>
      <rPr>
        <sz val="9"/>
        <color rgb="FF00703C"/>
        <rFont val="Arial"/>
        <family val="0"/>
        <charset val="1"/>
      </rPr>
      <t xml:space="preserve">. </t>
    </r>
    <r>
      <rPr>
        <b val="true"/>
        <sz val="9"/>
        <color rgb="FF1F4E9A"/>
        <rFont val="Arial"/>
        <family val="0"/>
        <charset val="1"/>
      </rPr>
      <t xml:space="preserve">Placa/campo: </t>
    </r>
    <r>
      <rPr>
        <strike val="true"/>
        <sz val="9"/>
        <color rgb="FF1F4E9A"/>
        <rFont val="Arial"/>
        <family val="0"/>
        <charset val="1"/>
      </rPr>
      <t xml:space="preserve">KSB MCPK 125-100-315 EE</t>
    </r>
    <r>
      <rPr>
        <sz val="9"/>
        <color rgb="FF1F4E9A"/>
        <rFont val="Arial"/>
        <family val="0"/>
        <charset val="1"/>
      </rPr>
      <t xml:space="preserve">, OP M482301630, Q 180 m3/h; H 39 mca; 1775 rpm; 162 kg | MOTOR: </t>
    </r>
    <r>
      <rPr>
        <strike val="true"/>
        <sz val="9"/>
        <color rgb="FF1F4E9A"/>
        <rFont val="Arial"/>
        <family val="0"/>
        <charset val="1"/>
      </rPr>
      <t xml:space="preserve">WEG W22Xd | 200M/L</t>
    </r>
    <r>
      <rPr>
        <sz val="9"/>
        <color rgb="FF1F4E9A"/>
        <rFont val="Arial"/>
        <family val="0"/>
        <charset val="1"/>
      </rPr>
      <t xml:space="preserve"> | </t>
    </r>
    <r>
      <rPr>
        <strike val="true"/>
        <sz val="9"/>
        <color rgb="FF1F4E9A"/>
        <rFont val="Arial"/>
        <family val="0"/>
        <charset val="1"/>
      </rPr>
      <t xml:space="preserve">IPW55 317 kg | 220/380/440 V | 102/59,1/51,0 A | 30 kW / 40 CV | FS 1,00 | 1780 rpm | FP 0,83 | ISOL F | rend 93,0% | Ex db IIB T4 Gb | DNV 18.0055 X</t>
    </r>
    <r>
      <rPr>
        <sz val="9"/>
        <color rgb="FF1F4E9A"/>
        <rFont val="Arial"/>
        <family val="0"/>
        <charset val="1"/>
      </rPr>
      <t xml:space="preserve">. </t>
    </r>
    <r>
      <rPr>
        <b val="true"/>
        <sz val="9"/>
        <color rgb="FF000000"/>
        <rFont val="Arial"/>
        <family val="0"/>
        <charset val="1"/>
      </rPr>
      <t xml:space="preserve">Obs.: </t>
    </r>
    <r>
      <rPr>
        <sz val="9"/>
        <color rgb="FF000000"/>
        <rFont val="Arial"/>
        <family val="0"/>
        <charset val="1"/>
      </rPr>
      <t xml:space="preserve">Modelo da placa = crítica (125-100-315). Produto do projeto: óleo diesel S500. </t>
    </r>
    <r>
      <rPr>
        <b val="true"/>
        <sz val="9"/>
        <color rgb="FF000000"/>
        <rFont val="Arial"/>
        <family val="0"/>
        <charset val="1"/>
      </rPr>
      <t xml:space="preserve">Fotos: </t>
    </r>
    <r>
      <rPr>
        <sz val="9"/>
        <color rgb="FF000000"/>
        <rFont val="Arial"/>
        <family val="0"/>
        <charset val="1"/>
      </rPr>
      <t xml:space="preserve">0812-0818. </t>
    </r>
    <r>
      <rPr>
        <b val="true"/>
        <sz val="9"/>
        <color rgb="FF002060"/>
        <rFont val="Arial"/>
        <family val="0"/>
        <charset val="1"/>
      </rPr>
      <t xml:space="preserve">Cotação: </t>
    </r>
    <r>
      <rPr>
        <sz val="9"/>
        <color rgb="FF002060"/>
        <rFont val="Arial"/>
        <family val="0"/>
        <charset val="1"/>
      </rPr>
      <t xml:space="preserve">KSB RAS0051138 Rev. 10 (11/12/2023), item 20: TAG B-3122, MEGACPK 125-100-315, 1 un., Finame 03279333, R$ 88.053,92 sem impostos / R$ 102.853,99 com impostos (ICMS 5,1394 %, PIS/COFINS 9,25 %, IPI 0 %), 150 dias. 
</t>
    </r>
    <r>
      <rPr>
        <b val="true"/>
        <sz val="9"/>
        <color rgb="FF000000"/>
        <rFont val="Arial"/>
        <family val="0"/>
        <charset val="1"/>
      </rPr>
      <t xml:space="preserve">• B-3123: </t>
    </r>
    <r>
      <rPr>
        <b val="true"/>
        <sz val="9"/>
        <color rgb="FF7030A0"/>
        <rFont val="Arial"/>
        <family val="0"/>
        <charset val="1"/>
      </rPr>
      <t xml:space="preserve">[CORREÇÃO v2: componente da linha 8; na base de 07/10 estava na linha 9]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produto óleo diesel S500; sucção 8", recalque 6"; fluxograma </t>
    </r>
    <r>
      <rPr>
        <strike val="true"/>
        <sz val="9"/>
        <color rgb="FFB38600"/>
        <rFont val="Arial"/>
        <family val="0"/>
        <charset val="1"/>
      </rPr>
      <t xml:space="preserve">DE-3100-1300-007</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B-3123</t>
    </r>
    <r>
      <rPr>
        <sz val="9"/>
        <color rgb="FF00703C"/>
        <rFont val="Arial"/>
        <family val="0"/>
        <charset val="1"/>
      </rPr>
      <t xml:space="preserve"> </t>
    </r>
    <r>
      <rPr>
        <strike val="true"/>
        <sz val="9"/>
        <color rgb="FF00703C"/>
        <rFont val="Arial"/>
        <family val="0"/>
        <charset val="1"/>
      </rPr>
      <t xml:space="preserve">BOMBA CENTRIFUGA</t>
    </r>
    <r>
      <rPr>
        <sz val="9"/>
        <color rgb="FF00703C"/>
        <rFont val="Arial"/>
        <family val="0"/>
        <charset val="1"/>
      </rPr>
      <t xml:space="preserve"> – local BPAM-SCAR-CET-13-16-01, equip. 000000122027, </t>
    </r>
    <r>
      <rPr>
        <strike val="true"/>
        <sz val="9"/>
        <color rgb="FF00703C"/>
        <rFont val="Arial"/>
        <family val="0"/>
        <charset val="1"/>
      </rPr>
      <t xml:space="preserve">ABC B</t>
    </r>
    <r>
      <rPr>
        <sz val="9"/>
        <color rgb="FF00703C"/>
        <rFont val="Arial"/>
        <family val="0"/>
        <charset val="1"/>
      </rPr>
      <t xml:space="preserve">. </t>
    </r>
    <r>
      <rPr>
        <b val="true"/>
        <sz val="9"/>
        <color rgb="FF1F4E9A"/>
        <rFont val="Arial"/>
        <family val="0"/>
        <charset val="1"/>
      </rPr>
      <t xml:space="preserve">Placa/campo: </t>
    </r>
    <r>
      <rPr>
        <strike val="true"/>
        <sz val="9"/>
        <color rgb="FF1F4E9A"/>
        <rFont val="Arial"/>
        <family val="0"/>
        <charset val="1"/>
      </rPr>
      <t xml:space="preserve">KSB MCPK 125-100-315 EE</t>
    </r>
    <r>
      <rPr>
        <sz val="9"/>
        <color rgb="FF1F4E9A"/>
        <rFont val="Arial"/>
        <family val="0"/>
        <charset val="1"/>
      </rPr>
      <t xml:space="preserve">, OP M482301631, Q 180 m3/h; H 39 mca; 1775 rpm; 162 kg | MOTOR: </t>
    </r>
    <r>
      <rPr>
        <strike val="true"/>
        <sz val="9"/>
        <color rgb="FF1F4E9A"/>
        <rFont val="Arial"/>
        <family val="0"/>
        <charset val="1"/>
      </rPr>
      <t xml:space="preserve">WEG W22Xd | 200M/L</t>
    </r>
    <r>
      <rPr>
        <sz val="9"/>
        <color rgb="FF1F4E9A"/>
        <rFont val="Arial"/>
        <family val="0"/>
        <charset val="1"/>
      </rPr>
      <t xml:space="preserve"> | </t>
    </r>
    <r>
      <rPr>
        <strike val="true"/>
        <sz val="9"/>
        <color rgb="FF1F4E9A"/>
        <rFont val="Arial"/>
        <family val="0"/>
        <charset val="1"/>
      </rPr>
      <t xml:space="preserve">IPW55 317 kg | 220/380/440 V | 102/59,1/51,0 A | 30 kW / 40 CV | FS 1,00 | 1780 rpm | FP 0,83 | ISOL F | rend 93,0% | Ex db IIB T4 Gb | DNV 18.0055 X</t>
    </r>
    <r>
      <rPr>
        <sz val="9"/>
        <color rgb="FF1F4E9A"/>
        <rFont val="Arial"/>
        <family val="0"/>
        <charset val="1"/>
      </rPr>
      <t xml:space="preserve">. </t>
    </r>
    <r>
      <rPr>
        <b val="true"/>
        <sz val="9"/>
        <color rgb="FF000000"/>
        <rFont val="Arial"/>
        <family val="0"/>
        <charset val="1"/>
      </rPr>
      <t xml:space="preserve">Obs.: </t>
    </r>
    <r>
      <rPr>
        <sz val="9"/>
        <color rgb="FF000000"/>
        <rFont val="Arial"/>
        <family val="0"/>
        <charset val="1"/>
      </rPr>
      <t xml:space="preserve">Modelo da placa = crítica (125-100-315). </t>
    </r>
    <r>
      <rPr>
        <strike val="true"/>
        <sz val="9"/>
        <color rgb="FF000000"/>
        <rFont val="Arial"/>
        <family val="0"/>
        <charset val="1"/>
      </rPr>
      <t xml:space="preserve">Produto do projeto: óleo diesel S500.</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0819-0826. </t>
    </r>
    <r>
      <rPr>
        <b val="true"/>
        <sz val="9"/>
        <color rgb="FF002060"/>
        <rFont val="Arial"/>
        <family val="0"/>
        <charset val="1"/>
      </rPr>
      <t xml:space="preserve">Cotação: </t>
    </r>
    <r>
      <rPr>
        <sz val="9"/>
        <color rgb="FF002060"/>
        <rFont val="Arial"/>
        <family val="0"/>
        <charset val="1"/>
      </rPr>
      <t xml:space="preserve">KSB RAS0051138 Rev. 10 (11/12/2023), item 21: TAG B-3123, MEGACPK 125-100-315, 1 un., Finame 03279333, R$ 88.053,92 sem impostos / R$ 102.853,99 com impostos (ICMS 5,1394 %, PIS/COFINS 9,25 %, IPI 0 %), 150 dias. </t>
    </r>
    <r>
      <rPr>
        <b val="true"/>
        <sz val="9"/>
        <color rgb="FF7030A0"/>
        <rFont val="Arial"/>
        <family val="0"/>
        <charset val="1"/>
      </rPr>
      <t xml:space="preserve">Novo v2: </t>
    </r>
    <r>
      <rPr>
        <sz val="9"/>
        <color rgb="FF7030A0"/>
        <rFont val="Arial"/>
        <family val="0"/>
        <charset val="1"/>
      </rPr>
      <t xml:space="preserve">CORREÇÃO: componente da linha 8 (R$ 102.853,99, item 21 da cotação KSB), não da linha 9. </t>
    </r>
  </si>
  <si>
    <t xml:space="preserve">B-3120</t>
  </si>
  <si>
    <r>
      <rPr>
        <b val="true"/>
        <sz val="9"/>
        <color rgb="FFB38600"/>
        <rFont val="Arial"/>
        <family val="0"/>
        <charset val="1"/>
      </rPr>
      <t xml:space="preserve">Projeto: </t>
    </r>
    <r>
      <rPr>
        <sz val="9"/>
        <color rgb="FFB38600"/>
        <rFont val="Arial"/>
        <family val="0"/>
        <charset val="1"/>
      </rPr>
      <t xml:space="preserve">LI-3100-6105-001: produto óleo diesel S10; sucção 8", recalque 6"; fluxograma DE-3100-1300-007.SAP: B-3120 BOMBA CENTRIFUGA – local BPAM-SCAR-CET-13-07-01, equip. 000000121967, ABC B.Placa/campo: KSB MCPK 125-100-315 EE, OP M482301628, Q 180 m3/h; 1775 rpm; 163 kg | MOTOR: WEG W22Xd | 200M/L | IPW55 317 kg | 220/380/440 V | 102/59,1/51,0 A | 30 kW / 40 CV | FS 1,00 | 1780 rpm | FP 0,83 | ISOL F | rend 93,0% | Ex db IIB T4 Gb | DNV 18.0055 X.</t>
    </r>
  </si>
  <si>
    <t xml:space="preserve">Q 180 m3/h; 1775 rpm</t>
  </si>
  <si>
    <t xml:space="preserve">OP M482301628</t>
  </si>
  <si>
    <t xml:space="preserve">B-3120 / 000000121967</t>
  </si>
  <si>
    <t xml:space="preserve">Modelo da placa = crítica (125-100-315). Produto do projeto: óleo diesel S10.</t>
  </si>
  <si>
    <t xml:space="preserve">0797-0802</t>
  </si>
  <si>
    <t xml:space="preserve">KSB RAS0051138 Rev. 10 (11/12/2023), item 18: TAG B-3120, MEGACPK 125-100-315, 1 un., Finame 03279333, R$ 88.053,92 sem impostos / R$ 102.853,99 com impostos (ICMS 5,1394 %, PIS/COFINS 9,25 %, IPI 0 %), 150 dias.</t>
  </si>
  <si>
    <t xml:space="preserve">B-3121</t>
  </si>
  <si>
    <r>
      <rPr>
        <b val="true"/>
        <sz val="9"/>
        <color rgb="FFB38600"/>
        <rFont val="Arial"/>
        <family val="0"/>
        <charset val="1"/>
      </rPr>
      <t xml:space="preserve">Projeto: </t>
    </r>
    <r>
      <rPr>
        <sz val="9"/>
        <color rgb="FFB38600"/>
        <rFont val="Arial"/>
        <family val="0"/>
        <charset val="1"/>
      </rPr>
      <t xml:space="preserve">LI-3100-6105-001: produto óleo diesel S10; sucção 8", recalque 6"; fluxograma DE-3100-1300-007.SAP: B-3121 BOMBA CENTRIFUGA – local BPAM-SCAR-CET-13-10-01, equip. 000000121988, ABC B.Placa/campo: KSB MCPK 125-100-315 EE, OP M482301629, Q 180 m3/h; H 42 mca; 1775 rpm; 162 kg | MOTOR: WEG W22Xd | 200M/L | IPW55 317 kg | 220/380/440 V | 102/59,1/51,0 A | 30 kW / 40 CV | FS 1,00 | 1780 rpm | FP 0,83 | ISOL F | rend 93,0% | Ex db IIB T4 Gb | DNV 18.0055 X.</t>
    </r>
  </si>
  <si>
    <t xml:space="preserve">Q 180 m3/h; H 42 mca; 1775 rpm</t>
  </si>
  <si>
    <t xml:space="preserve">OP M482301629</t>
  </si>
  <si>
    <t xml:space="preserve">B-3121 / 000000121988</t>
  </si>
  <si>
    <t xml:space="preserve">0804-0809</t>
  </si>
  <si>
    <t xml:space="preserve">KSB RAS0051138 Rev. 10 (11/12/2023), item 19: TAG B-3121, MEGACPK 125-100-315, 1 un., Finame 03279333, R$ 87.331,58 sem impostos / R$ 102.010,24 com impostos (ICMS 5,1394 %, PIS/COFINS 9,25 %, IPI 0 %), 150 dias.</t>
  </si>
  <si>
    <t xml:space="preserve">[CORREÇÃO v2: componente da linha 9; na base de 07/10 estava na linha 8] CORREÇÃO: componente da linha 9 (R$ 102.010,24, item 19 da cotação KSB), não da linha 8.</t>
  </si>
  <si>
    <t xml:space="preserve">B-3122</t>
  </si>
  <si>
    <r>
      <rPr>
        <b val="true"/>
        <sz val="9"/>
        <color rgb="FFB38600"/>
        <rFont val="Arial"/>
        <family val="0"/>
        <charset val="1"/>
      </rPr>
      <t xml:space="preserve">Projeto: </t>
    </r>
    <r>
      <rPr>
        <sz val="9"/>
        <color rgb="FFB38600"/>
        <rFont val="Arial"/>
        <family val="0"/>
        <charset val="1"/>
      </rPr>
      <t xml:space="preserve">LI-3100-6105-001: produto óleo diesel S500; sucção 8", recalque 6"; fluxograma DE-3100-1300-007.SAP: B-3122 BOMBA CENTRIFUGA – local BPAM-SCAR-CET-13-13-01, equip. 000000122006, ABC B.Placa/campo: KSB MCPK 125-100-315 EE, OP M482301630, Q 180 m3/h; H 39 mca; 1775 rpm; 162 kg | MOTOR: WEG W22Xd | 200M/L | IPW55 317 kg | 220/380/440 V | 102/59,1/51,0 A | 30 kW / 40 CV | FS 1,00 | 1780 rpm | FP 0,83 | ISOL F | rend 93,0% | Ex db IIB T4 Gb | DNV 18.0055 X.</t>
    </r>
  </si>
  <si>
    <t xml:space="preserve">Q 180 m3/h; H 39 mca; 1775 rpm</t>
  </si>
  <si>
    <t xml:space="preserve">OP M482301630</t>
  </si>
  <si>
    <t xml:space="preserve">B-3122 / 000000122006</t>
  </si>
  <si>
    <t xml:space="preserve">Modelo da placa = crítica (125-100-315). Produto do projeto: óleo diesel S500.</t>
  </si>
  <si>
    <t xml:space="preserve">0812-0818</t>
  </si>
  <si>
    <t xml:space="preserve">KSB RAS0051138 Rev. 10 (11/12/2023), item 20: TAG B-3122, MEGACPK 125-100-315, 1 un., Finame 03279333, R$ 88.053,92 sem impostos / R$ 102.853,99 com impostos (ICMS 5,1394 %, PIS/COFINS 9,25 %, IPI 0 %), 150 dias.</t>
  </si>
  <si>
    <t xml:space="preserve">9</t>
  </si>
  <si>
    <t xml:space="preserve">Bomba CETRAN 02 (ferroviário) – 125-100-315 (1 un.)</t>
  </si>
  <si>
    <r>
      <rPr>
        <b val="true"/>
        <sz val="9"/>
        <color rgb="FF000000"/>
        <rFont val="Arial"/>
        <family val="0"/>
        <charset val="1"/>
      </rPr>
      <t xml:space="preserve">Crítica: </t>
    </r>
    <r>
      <rPr>
        <sz val="9"/>
        <color rgb="FF000000"/>
        <rFont val="Arial"/>
        <family val="0"/>
        <charset val="1"/>
      </rPr>
      <t xml:space="preserve">Bomba – KSB megacpk 125-100-315 – 1 un. × R$ 102.010,24 = R$ 102.010,24; fornecedor KSB Brasil Ltda; Finame 03279333.NF: NF 34511 de 10/09/2024 – KSB Brasil Ltda (CNPJ 60.680.873/0009-71): "Conjunto bomba KSB", R$ 1.139.300,87. Atribuição: NF 34511 (decomposição aritmética única).SAP: 1 de 1 TAGs cadastradas: B-3123.Projeto: LI-3100-6105-001: óleo diesel S500; fluxograma DE-3100-1300-007.</t>
    </r>
  </si>
  <si>
    <t xml:space="preserve">Q 180 m³/h; H 39 mca; motor 30 kW</t>
  </si>
  <si>
    <t xml:space="preserve">OP M482301631</t>
  </si>
  <si>
    <t xml:space="preserve">Placa KSB e motor WEG W22Xd 200M/L 30 kW lidos em campo. ANP Fig. 172 sem leitura de placa. B-3120 a B-3123 são idênticas (30 kW); divisão 3 + 1 entre as linhas 8 e 9 pela ordem das TAGs, sem documento.</t>
  </si>
  <si>
    <t xml:space="preserve">Cotação KSB RAS0051138 Rev. 10 (11/12/2023), item 19 – TAG B-3121, KSB MEGACPK 125-100-315, R$ 87.331,58 sem impostos / R$ 102.010,24 com impostos (= linha 9); Finame 03279333.</t>
  </si>
  <si>
    <t xml:space="preserve">CORREÇÃO: a bomba da linha 9 é a B-3121 (cotação KSB item 19, R$ 102.010,24), não a B-3123, que pertence à linha 8 (R$ 102.853,99).</t>
  </si>
  <si>
    <r>
      <rPr>
        <b val="true"/>
        <sz val="9"/>
        <color rgb="FF000000"/>
        <rFont val="Arial"/>
        <family val="0"/>
        <charset val="1"/>
      </rPr>
      <t xml:space="preserve">LINHA 9 – Bomba CETRAN 02 (ferroviário) – 125-100-315 (1 un.) [CONJUNTO]
Crítica: </t>
    </r>
    <r>
      <rPr>
        <sz val="9"/>
        <color rgb="FF000000"/>
        <rFont val="Arial"/>
        <family val="0"/>
        <charset val="1"/>
      </rPr>
      <t xml:space="preserve">Bomba – KSB megacpk 125-100-315 – 1 un. × R$ 102.010,24 = R$ 102.010,24; fornecedor KSB Brasil Ltda; Finame 03279333. </t>
    </r>
    <r>
      <rPr>
        <b val="true"/>
        <sz val="9"/>
        <color rgb="FFC00000"/>
        <rFont val="Arial"/>
        <family val="0"/>
        <charset val="1"/>
      </rPr>
      <t xml:space="preserve">NF: </t>
    </r>
    <r>
      <rPr>
        <sz val="9"/>
        <color rgb="FFC00000"/>
        <rFont val="Arial"/>
        <family val="0"/>
        <charset val="1"/>
      </rPr>
      <t xml:space="preserve">NF 34511 de 10/09/2024 – </t>
    </r>
    <r>
      <rPr>
        <strike val="true"/>
        <sz val="9"/>
        <color rgb="FFC00000"/>
        <rFont val="Arial"/>
        <family val="0"/>
        <charset val="1"/>
      </rPr>
      <t xml:space="preserve">KSB Brasil Ltda</t>
    </r>
    <r>
      <rPr>
        <sz val="9"/>
        <color rgb="FFC00000"/>
        <rFont val="Arial"/>
        <family val="0"/>
        <charset val="1"/>
      </rPr>
      <t xml:space="preserve"> (CNPJ 60.680.873/0009-71): "Conjunto bomba KSB", R$ 1.139.300,87. Atribuição: NF 34511 (decomposição aritmética única). </t>
    </r>
    <r>
      <rPr>
        <b val="true"/>
        <sz val="9"/>
        <color rgb="FF00703C"/>
        <rFont val="Arial"/>
        <family val="0"/>
        <charset val="1"/>
      </rPr>
      <t xml:space="preserve">SAP: </t>
    </r>
    <r>
      <rPr>
        <sz val="9"/>
        <color rgb="FF00703C"/>
        <rFont val="Arial"/>
        <family val="0"/>
        <charset val="1"/>
      </rPr>
      <t xml:space="preserve">1 de 1 TAGs cadastradas: B-3123. </t>
    </r>
    <r>
      <rPr>
        <b val="true"/>
        <sz val="9"/>
        <color rgb="FFB38600"/>
        <rFont val="Arial"/>
        <family val="0"/>
        <charset val="1"/>
      </rPr>
      <t xml:space="preserve">Projeto: </t>
    </r>
    <r>
      <rPr>
        <sz val="9"/>
        <color rgb="FFB38600"/>
        <rFont val="Arial"/>
        <family val="0"/>
        <charset val="1"/>
      </rPr>
      <t xml:space="preserve">LI-3100-6105-001: óleo diesel S500; fluxograma DE-3100-1300-007. 
</t>
    </r>
    <r>
      <rPr>
        <b val="true"/>
        <sz val="9"/>
        <color rgb="FFC00000"/>
        <rFont val="Arial"/>
        <family val="0"/>
        <charset val="1"/>
      </rPr>
      <t xml:space="preserve">NF (colunas K-Q): </t>
    </r>
    <r>
      <rPr>
        <sz val="9"/>
        <color rgb="FFC00000"/>
        <rFont val="Arial"/>
        <family val="0"/>
        <charset val="1"/>
      </rPr>
      <t xml:space="preserve">NF nº 34511 de 10/09/2024 – </t>
    </r>
    <r>
      <rPr>
        <strike val="true"/>
        <sz val="9"/>
        <color rgb="FFC00000"/>
        <rFont val="Arial"/>
        <family val="0"/>
        <charset val="1"/>
      </rPr>
      <t xml:space="preserve">KSB Brasil Ltda</t>
    </r>
    <r>
      <rPr>
        <sz val="9"/>
        <color rgb="FFC00000"/>
        <rFont val="Arial"/>
        <family val="0"/>
        <charset val="1"/>
      </rPr>
      <t xml:space="preserve"> (</t>
    </r>
    <r>
      <rPr>
        <strike val="true"/>
        <sz val="9"/>
        <color rgb="FFC00000"/>
        <rFont val="Arial"/>
        <family val="0"/>
        <charset val="1"/>
      </rPr>
      <t xml:space="preserve">60.680.873/0009-71</t>
    </r>
    <r>
      <rPr>
        <sz val="9"/>
        <color rgb="FFC00000"/>
        <rFont val="Arial"/>
        <family val="0"/>
        <charset val="1"/>
      </rPr>
      <t xml:space="preserve">) – valor comprovado R$ 102.010,24. </t>
    </r>
    <r>
      <rPr>
        <b val="true"/>
        <sz val="9"/>
        <color rgb="FF000000"/>
        <rFont val="Arial"/>
        <family val="0"/>
        <charset val="1"/>
      </rPr>
      <t xml:space="preserve">Atribuição: </t>
    </r>
    <r>
      <rPr>
        <strike val="true"/>
        <sz val="9"/>
        <color rgb="FF000000"/>
        <rFont val="Arial"/>
        <family val="0"/>
        <charset val="1"/>
      </rPr>
      <t xml:space="preserve">NF 34511 (decomposição aritmética única)</t>
    </r>
    <r>
      <rPr>
        <sz val="9"/>
        <color rgb="FF000000"/>
        <rFont val="Arial"/>
        <family val="0"/>
        <charset val="1"/>
      </rPr>
      <t xml:space="preserve">. </t>
    </r>
    <r>
      <rPr>
        <b val="true"/>
        <sz val="9"/>
        <color rgb="FF000000"/>
        <rFont val="Arial"/>
        <family val="0"/>
        <charset val="1"/>
      </rPr>
      <t xml:space="preserve">Crítica (colunas N-P): </t>
    </r>
    <r>
      <rPr>
        <sz val="9"/>
        <color rgb="FF000000"/>
        <rFont val="Arial"/>
        <family val="0"/>
        <charset val="1"/>
      </rPr>
      <t xml:space="preserve">qtd 1, unitário R$ 102.010,24, total R$ 102.010,24. 
</t>
    </r>
    <r>
      <rPr>
        <b val="true"/>
        <sz val="9"/>
        <color rgb="FF000000"/>
        <rFont val="Arial"/>
        <family val="0"/>
        <charset val="1"/>
      </rPr>
      <t xml:space="preserve">Ficha (colunas E-J): </t>
    </r>
    <r>
      <rPr>
        <b val="true"/>
        <sz val="9"/>
        <color rgb="FF1F4E9A"/>
        <rFont val="Arial"/>
        <family val="0"/>
        <charset val="1"/>
      </rPr>
      <t xml:space="preserve">Marca: </t>
    </r>
    <r>
      <rPr>
        <sz val="9"/>
        <color rgb="FF1F4E9A"/>
        <rFont val="Arial"/>
        <family val="0"/>
        <charset val="1"/>
      </rPr>
      <t xml:space="preserve">KSB. </t>
    </r>
    <r>
      <rPr>
        <b val="true"/>
        <sz val="9"/>
        <color rgb="FF000000"/>
        <rFont val="Arial"/>
        <family val="0"/>
        <charset val="1"/>
      </rPr>
      <t xml:space="preserve">Modelo: </t>
    </r>
    <r>
      <rPr>
        <sz val="9"/>
        <color rgb="FF000000"/>
        <rFont val="Arial"/>
        <family val="0"/>
        <charset val="1"/>
      </rPr>
      <t xml:space="preserve">125-100-315. </t>
    </r>
    <r>
      <rPr>
        <b val="true"/>
        <sz val="9"/>
        <color rgb="FF1F4E9A"/>
        <rFont val="Arial"/>
        <family val="0"/>
        <charset val="1"/>
      </rPr>
      <t xml:space="preserve">Capacidade: </t>
    </r>
    <r>
      <rPr>
        <sz val="9"/>
        <color rgb="FF1F4E9A"/>
        <rFont val="Arial"/>
        <family val="0"/>
        <charset val="1"/>
      </rPr>
      <t xml:space="preserve">Q 180 m³/h; H 39 mca; motor 30 kW. </t>
    </r>
    <r>
      <rPr>
        <b val="true"/>
        <sz val="9"/>
        <color rgb="FF1F4E9A"/>
        <rFont val="Arial"/>
        <family val="0"/>
        <charset val="1"/>
      </rPr>
      <t xml:space="preserve">Série/OP: </t>
    </r>
    <r>
      <rPr>
        <sz val="9"/>
        <color rgb="FF1F4E9A"/>
        <rFont val="Arial"/>
        <family val="0"/>
        <charset val="1"/>
      </rPr>
      <t xml:space="preserve">OP M482301631. </t>
    </r>
    <r>
      <rPr>
        <b val="true"/>
        <sz val="9"/>
        <color rgb="FF00703C"/>
        <rFont val="Arial"/>
        <family val="0"/>
        <charset val="1"/>
      </rPr>
      <t xml:space="preserve">TAG/SAP: </t>
    </r>
    <r>
      <rPr>
        <sz val="9"/>
        <color rgb="FF00703C"/>
        <rFont val="Arial"/>
        <family val="0"/>
        <charset val="1"/>
      </rPr>
      <t xml:space="preserve">1 TAGs no SAP. </t>
    </r>
    <r>
      <rPr>
        <b val="true"/>
        <sz val="9"/>
        <color rgb="FF1F4E9A"/>
        <rFont val="Arial"/>
        <family val="0"/>
        <charset val="1"/>
      </rPr>
      <t xml:space="preserve">Fabricação: </t>
    </r>
    <r>
      <rPr>
        <sz val="9"/>
        <color rgb="FF1F4E9A"/>
        <rFont val="Arial"/>
        <family val="0"/>
        <charset val="1"/>
      </rPr>
      <t xml:space="preserve">2024. 
</t>
    </r>
    <r>
      <rPr>
        <b val="true"/>
        <sz val="9"/>
        <color rgb="FF000000"/>
        <rFont val="Arial"/>
        <family val="0"/>
        <charset val="1"/>
      </rPr>
      <t xml:space="preserve">Obs. (coluna T): </t>
    </r>
    <r>
      <rPr>
        <sz val="9"/>
        <color rgb="FF000000"/>
        <rFont val="Arial"/>
        <family val="0"/>
        <charset val="1"/>
      </rPr>
      <t xml:space="preserve">Placa KSB e motor WEG W22Xd 200M/L 30 kW lidos em campo. ANP Fig. 172 sem leitura de placa. B-3120 a </t>
    </r>
    <r>
      <rPr>
        <strike val="true"/>
        <sz val="9"/>
        <color rgb="FF000000"/>
        <rFont val="Arial"/>
        <family val="0"/>
        <charset val="1"/>
      </rPr>
      <t xml:space="preserve">B-3123</t>
    </r>
    <r>
      <rPr>
        <sz val="9"/>
        <color rgb="FF000000"/>
        <rFont val="Arial"/>
        <family val="0"/>
        <charset val="1"/>
      </rPr>
      <t xml:space="preserve"> são idênticas (30 kW); divisão 3 + 1 entre as linhas 8 e 9 pela ordem das TAGs, sem documento. </t>
    </r>
    <r>
      <rPr>
        <b val="true"/>
        <sz val="9"/>
        <color rgb="FF000000"/>
        <rFont val="Arial"/>
        <family val="0"/>
        <charset val="1"/>
      </rPr>
      <t xml:space="preserve">Fotos (coluna U): </t>
    </r>
    <r>
      <rPr>
        <sz val="9"/>
        <color rgb="FF000000"/>
        <rFont val="Arial"/>
        <family val="0"/>
        <charset val="1"/>
      </rPr>
      <t xml:space="preserve">ver componentes. 
</t>
    </r>
    <r>
      <rPr>
        <b val="true"/>
        <sz val="9"/>
        <color rgb="FF002060"/>
        <rFont val="Arial"/>
        <family val="0"/>
        <charset val="1"/>
      </rPr>
      <t xml:space="preserve">Cotação OPE154: </t>
    </r>
    <r>
      <rPr>
        <sz val="9"/>
        <color rgb="FF002060"/>
        <rFont val="Arial"/>
        <family val="0"/>
        <charset val="1"/>
      </rPr>
      <t xml:space="preserve">Cotação KSB RAS0051138 Rev. 10 (11/12/2023), item 19 – TAG B-3121, KSB MEGACPK 125-100-315, R$ 87.331,58 sem impostos / R$ 102.010,24 com impostos (= linha 9); Finame 03279333. 
</t>
    </r>
    <r>
      <rPr>
        <b val="true"/>
        <sz val="9"/>
        <color rgb="FF7030A0"/>
        <rFont val="Arial"/>
        <family val="0"/>
        <charset val="1"/>
      </rPr>
      <t xml:space="preserve">Novo v2 (achados / correções / proposições): </t>
    </r>
    <r>
      <rPr>
        <sz val="9"/>
        <color rgb="FF7030A0"/>
        <rFont val="Arial"/>
        <family val="0"/>
        <charset val="1"/>
      </rPr>
      <t xml:space="preserve">CORREÇÃO: a bomba da linha 9 é a B-3121 (cotação KSB item 19, R$ 102.010,24), não a B-3123, que pertence à linha 8 (R$ 102.853,99). 
</t>
    </r>
    <r>
      <rPr>
        <b val="true"/>
        <sz val="9"/>
        <color rgb="FF000000"/>
        <rFont val="Arial"/>
        <family val="0"/>
        <charset val="1"/>
      </rPr>
      <t xml:space="preserve">COMPONENTES (1):
• B-3121: </t>
    </r>
    <r>
      <rPr>
        <b val="true"/>
        <sz val="9"/>
        <color rgb="FF7030A0"/>
        <rFont val="Arial"/>
        <family val="0"/>
        <charset val="1"/>
      </rPr>
      <t xml:space="preserve">[CORREÇÃO v2: componente da linha 9; na base de 07/10 estava na linha 8]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produto óleo diesel S10; sucção 8", recalque 6"; fluxograma </t>
    </r>
    <r>
      <rPr>
        <strike val="true"/>
        <sz val="9"/>
        <color rgb="FFB38600"/>
        <rFont val="Arial"/>
        <family val="0"/>
        <charset val="1"/>
      </rPr>
      <t xml:space="preserve">DE-3100-1300-007</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B-3121</t>
    </r>
    <r>
      <rPr>
        <sz val="9"/>
        <color rgb="FF00703C"/>
        <rFont val="Arial"/>
        <family val="0"/>
        <charset val="1"/>
      </rPr>
      <t xml:space="preserve"> BOMBA CENTRIFUGA – local BPAM-SCAR-CET-13-10-01, equip. 000000121988, ABC B. </t>
    </r>
    <r>
      <rPr>
        <b val="true"/>
        <sz val="9"/>
        <color rgb="FF1F4E9A"/>
        <rFont val="Arial"/>
        <family val="0"/>
        <charset val="1"/>
      </rPr>
      <t xml:space="preserve">Placa/campo: </t>
    </r>
    <r>
      <rPr>
        <sz val="9"/>
        <color rgb="FF1F4E9A"/>
        <rFont val="Arial"/>
        <family val="0"/>
        <charset val="1"/>
      </rPr>
      <t xml:space="preserve">KSB MCPK 125-100-315 EE, OP M482301629, Q 180 m3/h; H 42 mca; 1775 rpm; 162 kg | MOTOR: </t>
    </r>
    <r>
      <rPr>
        <strike val="true"/>
        <sz val="9"/>
        <color rgb="FF1F4E9A"/>
        <rFont val="Arial"/>
        <family val="0"/>
        <charset val="1"/>
      </rPr>
      <t xml:space="preserve">WEG W22Xd | 200M/L</t>
    </r>
    <r>
      <rPr>
        <sz val="9"/>
        <color rgb="FF1F4E9A"/>
        <rFont val="Arial"/>
        <family val="0"/>
        <charset val="1"/>
      </rPr>
      <t xml:space="preserve"> | IPW55 317 kg | 220/380/440 V | 102/59,1/51,0 A | 30 kW / 40 CV | FS 1,00 | 1780 rpm | FP 0,83 | ISOL F | rend 93,0% | Ex db IIB T4 Gb | DNV 18.0055 X. </t>
    </r>
    <r>
      <rPr>
        <b val="true"/>
        <sz val="9"/>
        <color rgb="FF000000"/>
        <rFont val="Arial"/>
        <family val="0"/>
        <charset val="1"/>
      </rPr>
      <t xml:space="preserve">Obs.: </t>
    </r>
    <r>
      <rPr>
        <sz val="9"/>
        <color rgb="FF000000"/>
        <rFont val="Arial"/>
        <family val="0"/>
        <charset val="1"/>
      </rPr>
      <t xml:space="preserve">Modelo da placa = crítica (125-100-315). Produto do projeto: óleo diesel S10. </t>
    </r>
    <r>
      <rPr>
        <b val="true"/>
        <sz val="9"/>
        <color rgb="FF000000"/>
        <rFont val="Arial"/>
        <family val="0"/>
        <charset val="1"/>
      </rPr>
      <t xml:space="preserve">Fotos: </t>
    </r>
    <r>
      <rPr>
        <sz val="9"/>
        <color rgb="FF000000"/>
        <rFont val="Arial"/>
        <family val="0"/>
        <charset val="1"/>
      </rPr>
      <t xml:space="preserve">0804-0809. </t>
    </r>
    <r>
      <rPr>
        <b val="true"/>
        <sz val="9"/>
        <color rgb="FF002060"/>
        <rFont val="Arial"/>
        <family val="0"/>
        <charset val="1"/>
      </rPr>
      <t xml:space="preserve">Cotação: </t>
    </r>
    <r>
      <rPr>
        <sz val="9"/>
        <color rgb="FF002060"/>
        <rFont val="Arial"/>
        <family val="0"/>
        <charset val="1"/>
      </rPr>
      <t xml:space="preserve">KSB RAS0051138 Rev. 10 (11/12/2023), item 19: TAG B-3121, MEGACPK 125-100-315, 1 un., Finame 03279333, R$ 87.331,58 sem impostos / R$ 102.010,24 com impostos (ICMS 5,1394 %, PIS/COFINS 9,25 %, IPI 0 %), 150 dias. </t>
    </r>
    <r>
      <rPr>
        <b val="true"/>
        <sz val="9"/>
        <color rgb="FF7030A0"/>
        <rFont val="Arial"/>
        <family val="0"/>
        <charset val="1"/>
      </rPr>
      <t xml:space="preserve">Novo v2: </t>
    </r>
    <r>
      <rPr>
        <sz val="9"/>
        <color rgb="FF7030A0"/>
        <rFont val="Arial"/>
        <family val="0"/>
        <charset val="1"/>
      </rPr>
      <t xml:space="preserve">CORREÇÃO: componente da linha 9 (R$ 102.010,24, item 19 da cotação KSB), não da linha 8. </t>
    </r>
  </si>
  <si>
    <t xml:space="preserve">B-3123</t>
  </si>
  <si>
    <r>
      <rPr>
        <b val="true"/>
        <sz val="9"/>
        <color rgb="FFB38600"/>
        <rFont val="Arial"/>
        <family val="0"/>
        <charset val="1"/>
      </rPr>
      <t xml:space="preserve">Projeto: </t>
    </r>
    <r>
      <rPr>
        <sz val="9"/>
        <color rgb="FFB38600"/>
        <rFont val="Arial"/>
        <family val="0"/>
        <charset val="1"/>
      </rPr>
      <t xml:space="preserve">LI-3100-6105-001: produto óleo diesel S500; sucção 8", recalque 6"; fluxograma DE-3100-1300-007.SAP: B-3123 BOMBA CENTRIFUGA – local BPAM-SCAR-CET-13-16-01, equip. 000000122027, ABC B.Placa/campo: KSB MCPK 125-100-315 EE, OP M482301631, Q 180 m3/h; H 39 mca; 1775 rpm; 162 kg | MOTOR: WEG W22Xd | 200M/L | IPW55 317 kg | 220/380/440 V | 102/59,1/51,0 A | 30 kW / 40 CV | FS 1,00 | 1780 rpm | FP 0,83 | ISOL F | rend 93,0% | Ex db IIB T4 Gb | DNV 18.0055 X.</t>
    </r>
  </si>
  <si>
    <t xml:space="preserve">B-3123 / 000000122027</t>
  </si>
  <si>
    <t xml:space="preserve">0819-0826</t>
  </si>
  <si>
    <t xml:space="preserve">KSB RAS0051138 Rev. 10 (11/12/2023), item 21: TAG B-3123, MEGACPK 125-100-315, 1 un., Finame 03279333, R$ 88.053,92 sem impostos / R$ 102.853,99 com impostos (ICMS 5,1394 %, PIS/COFINS 9,25 %, IPI 0 %), 150 dias.</t>
  </si>
  <si>
    <t xml:space="preserve">[CORREÇÃO v2: componente da linha 8; na base de 07/10 estava na linha 9] CORREÇÃO: componente da linha 8 (R$ 102.853,99, item 21 da cotação KSB), não da linha 9.</t>
  </si>
  <si>
    <t xml:space="preserve">10</t>
  </si>
  <si>
    <t xml:space="preserve">Bombas de efluentes/drenagem – Megaflow V 80-250 K (2 un.)</t>
  </si>
  <si>
    <r>
      <rPr>
        <b val="true"/>
        <sz val="9"/>
        <color rgb="FF000000"/>
        <rFont val="Arial"/>
        <family val="0"/>
        <charset val="1"/>
      </rPr>
      <t xml:space="preserve">Crítica: </t>
    </r>
    <r>
      <rPr>
        <sz val="9"/>
        <color rgb="FF000000"/>
        <rFont val="Arial"/>
        <family val="0"/>
        <charset val="1"/>
      </rPr>
      <t xml:space="preserve">Bomba – KSB megaflow V 80-250 K – 2 un. × R$ 94.086,20 = R$ 188.172,40; fornecedor KSB Brasil Ltda; Finame 03279333.NF: NF 34511 de 10/09/2024 – KSB Brasil Ltda (CNPJ 60.680.873/0009-71): "Conjunto bomba KSB", R$ 1.139.300,87. Atribuição: NF 34511 (decomposição aritmética única).SAP: TAGs não constam na base SAP (seleção).Projeto: LI-3100-6105-001: drenagem; fluxograma DE-3100-1400-002.</t>
    </r>
  </si>
  <si>
    <t xml:space="preserve">megaflow V 80-250 K</t>
  </si>
  <si>
    <t xml:space="preserve">Q 35 m³/h; H 25 mca; motor 15 kW</t>
  </si>
  <si>
    <t xml:space="preserve">OP M502300011 e M502300012</t>
  </si>
  <si>
    <t xml:space="preserve">Placas KSB Megaflow V 80-250 K (verticais) lidas no lote 3 – corrige a ressalva antiga de "bombas subterrâneas sem placa". Não constam na base SAP (seleção). Projeto: drenagem (DE-3100-1400-002). Dois pares distintos (B-3130/3131: Q 35 m³/h, H 25 mca, 15 kW; B-3132/3133: Q 50 m³/h, H 10 mca). Pela NF, a linha 11 é a NF 543048 e a linha 10 está na NF 34511, mas nenhuma das duas identifica o par; atribuição pela ordem das TAGs.</t>
  </si>
  <si>
    <t xml:space="preserve">Cotação KSB RAS0051138 Rev. 10 (11/12/2023), item 22 – TAGs B-3130 / B-3131, KSB MEGAFLOW V 80-250 K, 2 un., R$ 80.547,76 sem impostos / R$ 94.086,20 com impostos cada = R$ 188.172,40 (= linha 10); Finame 03279333. Escopo MEGAFLOW V: bomba centrífuga vertical com placa-base e trilhos de fundação em aço carbono, coluna de suspensão, crivo de sucção, acoplamento sem espaçador, proteção anticentelhante, manifold para lubrificação do mancal por líquido limpo externo (cliente), motor WEG W22Xdb IR2 Ex, plaqueta AISI 304.</t>
  </si>
  <si>
    <t xml:space="preserve">Cotação = crítica (item 22, B-3130/B-3131, R$ 94.086,20 cada) – a atribuição "pela ordem das TAGs" está agora documentada: o par de Q 35 m³/h / H 25 mca / 15 kW é o de preço maior. Contexto: MEGAFLOW V = bomba vertical de poço (drenagem/efluentes) com motor Ex; a LI-3100-6105 classifica como drenagem (DE-3100-1400-002).</t>
  </si>
  <si>
    <r>
      <rPr>
        <b val="true"/>
        <sz val="9"/>
        <color rgb="FF000000"/>
        <rFont val="Arial"/>
        <family val="0"/>
        <charset val="1"/>
      </rPr>
      <t xml:space="preserve">LINHA 10 – Bombas de efluentes/drenagem – Megaflow V 80-250 K (2 un.) [CONJUNTO]
Crítica: </t>
    </r>
    <r>
      <rPr>
        <sz val="9"/>
        <color rgb="FF000000"/>
        <rFont val="Arial"/>
        <family val="0"/>
        <charset val="1"/>
      </rPr>
      <t xml:space="preserve">Bomba – KSB megaflow V 80-250 K – 2 un. × R$ 94.086,20 = R$ 188.172,40; fornecedor KSB Brasil Ltda; Finame 03279333. </t>
    </r>
    <r>
      <rPr>
        <b val="true"/>
        <sz val="9"/>
        <color rgb="FFC00000"/>
        <rFont val="Arial"/>
        <family val="0"/>
        <charset val="1"/>
      </rPr>
      <t xml:space="preserve">NF: </t>
    </r>
    <r>
      <rPr>
        <sz val="9"/>
        <color rgb="FFC00000"/>
        <rFont val="Arial"/>
        <family val="0"/>
        <charset val="1"/>
      </rPr>
      <t xml:space="preserve">NF 34511 de 10/09/2024 – </t>
    </r>
    <r>
      <rPr>
        <strike val="true"/>
        <sz val="9"/>
        <color rgb="FFC00000"/>
        <rFont val="Arial"/>
        <family val="0"/>
        <charset val="1"/>
      </rPr>
      <t xml:space="preserve">KSB Brasil Ltda</t>
    </r>
    <r>
      <rPr>
        <sz val="9"/>
        <color rgb="FFC00000"/>
        <rFont val="Arial"/>
        <family val="0"/>
        <charset val="1"/>
      </rPr>
      <t xml:space="preserve"> (CNPJ 60.680.873/0009-71): "Conjunto bomba KSB", R$ 1.139.300,87. Atribuição: NF 34511 (decomposição aritmética única). </t>
    </r>
    <r>
      <rPr>
        <b val="true"/>
        <sz val="9"/>
        <color rgb="FF00703C"/>
        <rFont val="Arial"/>
        <family val="0"/>
        <charset val="1"/>
      </rPr>
      <t xml:space="preserve">SAP: </t>
    </r>
    <r>
      <rPr>
        <sz val="9"/>
        <color rgb="FF00703C"/>
        <rFont val="Arial"/>
        <family val="0"/>
        <charset val="1"/>
      </rPr>
      <t xml:space="preserve">TAGs não constam na base SAP (seleção). </t>
    </r>
    <r>
      <rPr>
        <b val="true"/>
        <sz val="9"/>
        <color rgb="FFB38600"/>
        <rFont val="Arial"/>
        <family val="0"/>
        <charset val="1"/>
      </rPr>
      <t xml:space="preserve">Projeto: </t>
    </r>
    <r>
      <rPr>
        <sz val="9"/>
        <color rgb="FFB38600"/>
        <rFont val="Arial"/>
        <family val="0"/>
        <charset val="1"/>
      </rPr>
      <t xml:space="preserve">LI-3100-6105-001: drenagem; fluxograma DE-3100-1400-002. 
</t>
    </r>
    <r>
      <rPr>
        <b val="true"/>
        <sz val="9"/>
        <color rgb="FFC00000"/>
        <rFont val="Arial"/>
        <family val="0"/>
        <charset val="1"/>
      </rPr>
      <t xml:space="preserve">NF (colunas K-Q): </t>
    </r>
    <r>
      <rPr>
        <sz val="9"/>
        <color rgb="FFC00000"/>
        <rFont val="Arial"/>
        <family val="0"/>
        <charset val="1"/>
      </rPr>
      <t xml:space="preserve">NF nº 34511 de 10/09/2024 – </t>
    </r>
    <r>
      <rPr>
        <strike val="true"/>
        <sz val="9"/>
        <color rgb="FFC00000"/>
        <rFont val="Arial"/>
        <family val="0"/>
        <charset val="1"/>
      </rPr>
      <t xml:space="preserve">KSB Brasil Ltda</t>
    </r>
    <r>
      <rPr>
        <sz val="9"/>
        <color rgb="FFC00000"/>
        <rFont val="Arial"/>
        <family val="0"/>
        <charset val="1"/>
      </rPr>
      <t xml:space="preserve"> (</t>
    </r>
    <r>
      <rPr>
        <strike val="true"/>
        <sz val="9"/>
        <color rgb="FFC00000"/>
        <rFont val="Arial"/>
        <family val="0"/>
        <charset val="1"/>
      </rPr>
      <t xml:space="preserve">60.680.873/0009-71</t>
    </r>
    <r>
      <rPr>
        <sz val="9"/>
        <color rgb="FFC00000"/>
        <rFont val="Arial"/>
        <family val="0"/>
        <charset val="1"/>
      </rPr>
      <t xml:space="preserve">) – valor comprovado R$ 188.172,40. </t>
    </r>
    <r>
      <rPr>
        <b val="true"/>
        <sz val="9"/>
        <color rgb="FF000000"/>
        <rFont val="Arial"/>
        <family val="0"/>
        <charset val="1"/>
      </rPr>
      <t xml:space="preserve">Atribuição: </t>
    </r>
    <r>
      <rPr>
        <strike val="true"/>
        <sz val="9"/>
        <color rgb="FF000000"/>
        <rFont val="Arial"/>
        <family val="0"/>
        <charset val="1"/>
      </rPr>
      <t xml:space="preserve">NF 34511 (decomposição aritmética única)</t>
    </r>
    <r>
      <rPr>
        <sz val="9"/>
        <color rgb="FF000000"/>
        <rFont val="Arial"/>
        <family val="0"/>
        <charset val="1"/>
      </rPr>
      <t xml:space="preserve">. </t>
    </r>
    <r>
      <rPr>
        <b val="true"/>
        <sz val="9"/>
        <color rgb="FF000000"/>
        <rFont val="Arial"/>
        <family val="0"/>
        <charset val="1"/>
      </rPr>
      <t xml:space="preserve">Crítica (colunas N-P): </t>
    </r>
    <r>
      <rPr>
        <sz val="9"/>
        <color rgb="FF000000"/>
        <rFont val="Arial"/>
        <family val="0"/>
        <charset val="1"/>
      </rPr>
      <t xml:space="preserve">qtd 2, unitário R$ 94.086,20, total R$ 188.172,40. 
</t>
    </r>
    <r>
      <rPr>
        <b val="true"/>
        <sz val="9"/>
        <color rgb="FF000000"/>
        <rFont val="Arial"/>
        <family val="0"/>
        <charset val="1"/>
      </rPr>
      <t xml:space="preserve">Ficha (colunas E-J): </t>
    </r>
    <r>
      <rPr>
        <b val="true"/>
        <sz val="9"/>
        <color rgb="FF1F4E9A"/>
        <rFont val="Arial"/>
        <family val="0"/>
        <charset val="1"/>
      </rPr>
      <t xml:space="preserve">Marca: </t>
    </r>
    <r>
      <rPr>
        <sz val="9"/>
        <color rgb="FF1F4E9A"/>
        <rFont val="Arial"/>
        <family val="0"/>
        <charset val="1"/>
      </rPr>
      <t xml:space="preserve">KSB. </t>
    </r>
    <r>
      <rPr>
        <b val="true"/>
        <sz val="9"/>
        <color rgb="FF000000"/>
        <rFont val="Arial"/>
        <family val="0"/>
        <charset val="1"/>
      </rPr>
      <t xml:space="preserve">Modelo: </t>
    </r>
    <r>
      <rPr>
        <strike val="true"/>
        <sz val="9"/>
        <color rgb="FF000000"/>
        <rFont val="Arial"/>
        <family val="0"/>
        <charset val="1"/>
      </rPr>
      <t xml:space="preserve">megaflow V 80-250 K</t>
    </r>
    <r>
      <rPr>
        <sz val="9"/>
        <color rgb="FF000000"/>
        <rFont val="Arial"/>
        <family val="0"/>
        <charset val="1"/>
      </rPr>
      <t xml:space="preserve">. </t>
    </r>
    <r>
      <rPr>
        <b val="true"/>
        <sz val="9"/>
        <color rgb="FF1F4E9A"/>
        <rFont val="Arial"/>
        <family val="0"/>
        <charset val="1"/>
      </rPr>
      <t xml:space="preserve">Capacidade: </t>
    </r>
    <r>
      <rPr>
        <sz val="9"/>
        <color rgb="FF1F4E9A"/>
        <rFont val="Arial"/>
        <family val="0"/>
        <charset val="1"/>
      </rPr>
      <t xml:space="preserve">Q 35 m³/h; H 25 mca; motor 15 kW. </t>
    </r>
    <r>
      <rPr>
        <b val="true"/>
        <sz val="9"/>
        <color rgb="FF1F4E9A"/>
        <rFont val="Arial"/>
        <family val="0"/>
        <charset val="1"/>
      </rPr>
      <t xml:space="preserve">Série/OP: </t>
    </r>
    <r>
      <rPr>
        <sz val="9"/>
        <color rgb="FF1F4E9A"/>
        <rFont val="Arial"/>
        <family val="0"/>
        <charset val="1"/>
      </rPr>
      <t xml:space="preserve">OP M502300011 e M502300012. </t>
    </r>
    <r>
      <rPr>
        <b val="true"/>
        <sz val="9"/>
        <color rgb="FF00703C"/>
        <rFont val="Arial"/>
        <family val="0"/>
        <charset val="1"/>
      </rPr>
      <t xml:space="preserve">TAG/SAP: </t>
    </r>
    <r>
      <rPr>
        <sz val="9"/>
        <color rgb="FF00703C"/>
        <rFont val="Arial"/>
        <family val="0"/>
        <charset val="1"/>
      </rPr>
      <t xml:space="preserve">não consta na base SAP (seleção). </t>
    </r>
    <r>
      <rPr>
        <b val="true"/>
        <sz val="9"/>
        <color rgb="FF1F4E9A"/>
        <rFont val="Arial"/>
        <family val="0"/>
        <charset val="1"/>
      </rPr>
      <t xml:space="preserve">Fabricação: </t>
    </r>
    <r>
      <rPr>
        <sz val="9"/>
        <color rgb="FF1F4E9A"/>
        <rFont val="Arial"/>
        <family val="0"/>
        <charset val="1"/>
      </rPr>
      <t xml:space="preserve">2024. 
</t>
    </r>
    <r>
      <rPr>
        <b val="true"/>
        <sz val="9"/>
        <color rgb="FF000000"/>
        <rFont val="Arial"/>
        <family val="0"/>
        <charset val="1"/>
      </rPr>
      <t xml:space="preserve">Obs. (coluna T): </t>
    </r>
    <r>
      <rPr>
        <sz val="9"/>
        <color rgb="FF000000"/>
        <rFont val="Arial"/>
        <family val="0"/>
        <charset val="1"/>
      </rPr>
      <t xml:space="preserve">Placas KSB Megaflow V 80-250 K (verticais) lidas no lote 3 – corrige a ressalva antiga de "bombas subterrâneas sem placa". Não constam na base SAP (seleção). Projeto: drenagem (</t>
    </r>
    <r>
      <rPr>
        <strike val="true"/>
        <sz val="9"/>
        <color rgb="FF000000"/>
        <rFont val="Arial"/>
        <family val="0"/>
        <charset val="1"/>
      </rPr>
      <t xml:space="preserve">DE-3100-1400-002</t>
    </r>
    <r>
      <rPr>
        <sz val="9"/>
        <color rgb="FF000000"/>
        <rFont val="Arial"/>
        <family val="0"/>
        <charset val="1"/>
      </rPr>
      <t xml:space="preserve">). Dois pares distintos (B-3130/3131: Q 35 m³/h, H 25 mca, 15 kW; B-3132/3133: Q 50 m³/h, H 10 mca). Pela NF, a linha 11 é a NF 543048 e a linha 10 está na NF 34511, mas nenhuma das duas identifica o par; atribuição pela ordem das TAGs. </t>
    </r>
    <r>
      <rPr>
        <b val="true"/>
        <sz val="9"/>
        <color rgb="FF000000"/>
        <rFont val="Arial"/>
        <family val="0"/>
        <charset val="1"/>
      </rPr>
      <t xml:space="preserve">Fotos (coluna U): </t>
    </r>
    <r>
      <rPr>
        <sz val="9"/>
        <color rgb="FF000000"/>
        <rFont val="Arial"/>
        <family val="0"/>
        <charset val="1"/>
      </rPr>
      <t xml:space="preserve">ver componentes. 
</t>
    </r>
    <r>
      <rPr>
        <b val="true"/>
        <sz val="9"/>
        <color rgb="FF002060"/>
        <rFont val="Arial"/>
        <family val="0"/>
        <charset val="1"/>
      </rPr>
      <t xml:space="preserve">Cotação OPE154: </t>
    </r>
    <r>
      <rPr>
        <sz val="9"/>
        <color rgb="FF002060"/>
        <rFont val="Arial"/>
        <family val="0"/>
        <charset val="1"/>
      </rPr>
      <t xml:space="preserve">Cotação KSB RAS0051138 Rev. 10 (11/12/2023), item 22 – TAGs B-3130 / B-3131, KSB MEGAFLOW V 80-250 K, 2 un., R$ 80.547,76 sem impostos / R$ 94.086,20 com impostos cada = R$ 188.172,40 (= linha 10); Finame 03279333. Escopo MEGAFLOW V: bomba centrífuga vertical com placa-base e trilhos de fundação em aço carbono, coluna de suspensão, crivo de sucção, acoplamento sem espaçador, proteção anticentelhante, manifold para lubrificação do mancal por líquido limpo externo (cliente), motor WEG W22Xdb IR2 Ex, plaqueta AISI 304. 
</t>
    </r>
    <r>
      <rPr>
        <b val="true"/>
        <sz val="9"/>
        <color rgb="FF7030A0"/>
        <rFont val="Arial"/>
        <family val="0"/>
        <charset val="1"/>
      </rPr>
      <t xml:space="preserve">Novo v2 (achados / correções / proposições): </t>
    </r>
    <r>
      <rPr>
        <sz val="9"/>
        <color rgb="FF7030A0"/>
        <rFont val="Arial"/>
        <family val="0"/>
        <charset val="1"/>
      </rPr>
      <t xml:space="preserve">Cotação = crítica (item 22, B-3130/B-3131, R$ 94.086,20 cada) – a atribuição "pela ordem das TAGs" está agora documentada: o par de Q 35 m³/h / H 25 mca / 15 kW é o de preço maior. Contexto: MEGAFLOW V = bomba vertical de poço (drenagem/efluentes) com motor Ex; a LI-3100-6105 classifica como drenagem (DE-3100-1400-002). 
</t>
    </r>
    <r>
      <rPr>
        <b val="true"/>
        <sz val="9"/>
        <color rgb="FF000000"/>
        <rFont val="Arial"/>
        <family val="0"/>
        <charset val="1"/>
      </rPr>
      <t xml:space="preserve">COMPONENTES (2):
• B-3130: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produto drenagem; sucção -, recalque 3"; fluxograma </t>
    </r>
    <r>
      <rPr>
        <strike val="true"/>
        <sz val="9"/>
        <color rgb="FFB38600"/>
        <rFont val="Arial"/>
        <family val="0"/>
        <charset val="1"/>
      </rPr>
      <t xml:space="preserve">DE-3100-1400-002</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não consta na base SAP (seleção)</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KSB MEGAFLOW V 80-250 K (vertical), OP M502300011, Q 35 m3/h; H 25 mca; 1775 rpm; 445 kg (total 650 kg) | MOTOR: WEG 220/380/440 V; 15 kW; 1775 rpm; FS 1,00; REG S1. </t>
    </r>
    <r>
      <rPr>
        <b val="true"/>
        <sz val="9"/>
        <color rgb="FF000000"/>
        <rFont val="Arial"/>
        <family val="0"/>
        <charset val="1"/>
      </rPr>
      <t xml:space="preserve">Obs.: </t>
    </r>
    <r>
      <rPr>
        <sz val="9"/>
        <color rgb="FF000000"/>
        <rFont val="Arial"/>
        <family val="0"/>
        <charset val="1"/>
      </rPr>
      <t xml:space="preserve">Modelo da placa = crítica (</t>
    </r>
    <r>
      <rPr>
        <strike val="true"/>
        <sz val="9"/>
        <color rgb="FF000000"/>
        <rFont val="Arial"/>
        <family val="0"/>
        <charset val="1"/>
      </rPr>
      <t xml:space="preserve">megaflow V 80-250 K</t>
    </r>
    <r>
      <rPr>
        <sz val="9"/>
        <color rgb="FF000000"/>
        <rFont val="Arial"/>
        <family val="0"/>
        <charset val="1"/>
      </rPr>
      <t xml:space="preserve">). Projeto: bomba de drenagem (recalque 3"). Sem cadastro SAP. </t>
    </r>
    <r>
      <rPr>
        <b val="true"/>
        <sz val="9"/>
        <color rgb="FF000000"/>
        <rFont val="Arial"/>
        <family val="0"/>
        <charset val="1"/>
      </rPr>
      <t xml:space="preserve">Fotos: </t>
    </r>
    <r>
      <rPr>
        <sz val="9"/>
        <color rgb="FF000000"/>
        <rFont val="Arial"/>
        <family val="0"/>
        <charset val="1"/>
      </rPr>
      <t xml:space="preserve">0779-0780, 1077-1082. </t>
    </r>
    <r>
      <rPr>
        <b val="true"/>
        <sz val="9"/>
        <color rgb="FF002060"/>
        <rFont val="Arial"/>
        <family val="0"/>
        <charset val="1"/>
      </rPr>
      <t xml:space="preserve">Cotação: </t>
    </r>
    <r>
      <rPr>
        <sz val="9"/>
        <color rgb="FF002060"/>
        <rFont val="Arial"/>
        <family val="0"/>
        <charset val="1"/>
      </rPr>
      <t xml:space="preserve">KSB RAS0051138 Rev. 10, item 22: TAGs B-3130 / B-3131, MEGAFLOW V 80-250 K, R$ 80.547,76 sem impostos / R$ 94.086,20 com impostos por unidade. 
</t>
    </r>
    <r>
      <rPr>
        <b val="true"/>
        <sz val="9"/>
        <color rgb="FF000000"/>
        <rFont val="Arial"/>
        <family val="0"/>
        <charset val="1"/>
      </rPr>
      <t xml:space="preserve">• B-3131: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produto drenagem; sucção -, recalque 3"; fluxograma </t>
    </r>
    <r>
      <rPr>
        <strike val="true"/>
        <sz val="9"/>
        <color rgb="FFB38600"/>
        <rFont val="Arial"/>
        <family val="0"/>
        <charset val="1"/>
      </rPr>
      <t xml:space="preserve">DE-3100-1400-002</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não consta na base SAP (seleção)</t>
    </r>
    <r>
      <rPr>
        <sz val="9"/>
        <color rgb="FF00703C"/>
        <rFont val="Arial"/>
        <family val="0"/>
        <charset val="1"/>
      </rPr>
      <t xml:space="preserve">. </t>
    </r>
    <r>
      <rPr>
        <b val="true"/>
        <sz val="9"/>
        <color rgb="FF1F4E9A"/>
        <rFont val="Arial"/>
        <family val="0"/>
        <charset val="1"/>
      </rPr>
      <t xml:space="preserve">Placa/campo: </t>
    </r>
    <r>
      <rPr>
        <strike val="true"/>
        <sz val="9"/>
        <color rgb="FF1F4E9A"/>
        <rFont val="Arial"/>
        <family val="0"/>
        <charset val="1"/>
      </rPr>
      <t xml:space="preserve">KSB MEGAFLOW V 80-250 K (vertical)</t>
    </r>
    <r>
      <rPr>
        <sz val="9"/>
        <color rgb="FF1F4E9A"/>
        <rFont val="Arial"/>
        <family val="0"/>
        <charset val="1"/>
      </rPr>
      <t xml:space="preserve">, OP M502300012, Q 35 m3/h; H 25 mca; 1775 rpm; 445 kg | MOTOR: WEG 220/380/440 V; 15 kW; 1775 rpm. </t>
    </r>
    <r>
      <rPr>
        <b val="true"/>
        <sz val="9"/>
        <color rgb="FF000000"/>
        <rFont val="Arial"/>
        <family val="0"/>
        <charset val="1"/>
      </rPr>
      <t xml:space="preserve">Obs.: </t>
    </r>
    <r>
      <rPr>
        <sz val="9"/>
        <color rgb="FF000000"/>
        <rFont val="Arial"/>
        <family val="0"/>
        <charset val="1"/>
      </rPr>
      <t xml:space="preserve">Modelo da placa = crítica (</t>
    </r>
    <r>
      <rPr>
        <strike val="true"/>
        <sz val="9"/>
        <color rgb="FF000000"/>
        <rFont val="Arial"/>
        <family val="0"/>
        <charset val="1"/>
      </rPr>
      <t xml:space="preserve">megaflow V 80-250 K</t>
    </r>
    <r>
      <rPr>
        <sz val="9"/>
        <color rgb="FF000000"/>
        <rFont val="Arial"/>
        <family val="0"/>
        <charset val="1"/>
      </rPr>
      <t xml:space="preserve">). </t>
    </r>
    <r>
      <rPr>
        <strike val="true"/>
        <sz val="9"/>
        <color rgb="FF000000"/>
        <rFont val="Arial"/>
        <family val="0"/>
        <charset val="1"/>
      </rPr>
      <t xml:space="preserve">Projeto: bomba de drenagem (recalque 3"). Sem cadastro SAP.</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0771-0776, 1083-1086. </t>
    </r>
    <r>
      <rPr>
        <b val="true"/>
        <sz val="9"/>
        <color rgb="FF002060"/>
        <rFont val="Arial"/>
        <family val="0"/>
        <charset val="1"/>
      </rPr>
      <t xml:space="preserve">Cotação: </t>
    </r>
    <r>
      <rPr>
        <sz val="9"/>
        <color rgb="FF002060"/>
        <rFont val="Arial"/>
        <family val="0"/>
        <charset val="1"/>
      </rPr>
      <t xml:space="preserve">KSB RAS0051138 Rev. 10, item 22: TAGs B-3130 / B-3131, MEGAFLOW V 80-250 K, R$ 80.547,76 sem impostos / R$ 94.086,20 com impostos por unidade. </t>
    </r>
  </si>
  <si>
    <t xml:space="preserve">B-3130</t>
  </si>
  <si>
    <r>
      <rPr>
        <b val="true"/>
        <sz val="9"/>
        <color rgb="FFB38600"/>
        <rFont val="Arial"/>
        <family val="0"/>
        <charset val="1"/>
      </rPr>
      <t xml:space="preserve">Projeto: </t>
    </r>
    <r>
      <rPr>
        <sz val="9"/>
        <color rgb="FFB38600"/>
        <rFont val="Arial"/>
        <family val="0"/>
        <charset val="1"/>
      </rPr>
      <t xml:space="preserve">LI-3100-6105-001: produto drenagem; sucção -, recalque 3"; fluxograma DE-3100-1400-002.SAP: não consta na base SAP (seleção).Placa/campo: KSB MEGAFLOW V 80-250 K (vertical), OP M502300011, Q 35 m3/h; H 25 mca; 1775 rpm; 445 kg (total 650 kg) | MOTOR: WEG 220/380/440 V; 15 kW; 1775 rpm; FS 1,00; REG S1.</t>
    </r>
  </si>
  <si>
    <t xml:space="preserve">MEGAFLOW V 80-250 K (vertical)</t>
  </si>
  <si>
    <t xml:space="preserve">Q 35 m3/h; H 25 mca; 1775 rpm</t>
  </si>
  <si>
    <t xml:space="preserve">OP M502300011</t>
  </si>
  <si>
    <t xml:space="preserve">Modelo da placa = crítica (megaflow V 80-250 K). Projeto: bomba de drenagem (recalque 3"). Sem cadastro SAP.</t>
  </si>
  <si>
    <t xml:space="preserve">0779-0780, 1077-1082</t>
  </si>
  <si>
    <t xml:space="preserve">KSB RAS0051138 Rev. 10, item 22: TAGs B-3130 / B-3131, MEGAFLOW V 80-250 K, R$ 80.547,76 sem impostos / R$ 94.086,20 com impostos por unidade.</t>
  </si>
  <si>
    <t xml:space="preserve">B-3131</t>
  </si>
  <si>
    <r>
      <rPr>
        <b val="true"/>
        <sz val="9"/>
        <color rgb="FFB38600"/>
        <rFont val="Arial"/>
        <family val="0"/>
        <charset val="1"/>
      </rPr>
      <t xml:space="preserve">Projeto: </t>
    </r>
    <r>
      <rPr>
        <sz val="9"/>
        <color rgb="FFB38600"/>
        <rFont val="Arial"/>
        <family val="0"/>
        <charset val="1"/>
      </rPr>
      <t xml:space="preserve">LI-3100-6105-001: produto drenagem; sucção -, recalque 3"; fluxograma DE-3100-1400-002.SAP: não consta na base SAP (seleção).Placa/campo: KSB MEGAFLOW V 80-250 K (vertical), OP M502300012, Q 35 m3/h; H 25 mca; 1775 rpm; 445 kg | MOTOR: WEG 220/380/440 V; 15 kW; 1775 rpm.</t>
    </r>
  </si>
  <si>
    <t xml:space="preserve">OP M502300012</t>
  </si>
  <si>
    <t xml:space="preserve">0771-0776, 1083-1086</t>
  </si>
  <si>
    <t xml:space="preserve">11</t>
  </si>
  <si>
    <r>
      <rPr>
        <b val="true"/>
        <sz val="9"/>
        <color rgb="FF000000"/>
        <rFont val="Arial"/>
        <family val="0"/>
        <charset val="1"/>
      </rPr>
      <t xml:space="preserve">Crítica: </t>
    </r>
    <r>
      <rPr>
        <sz val="9"/>
        <color rgb="FF000000"/>
        <rFont val="Arial"/>
        <family val="0"/>
        <charset val="1"/>
      </rPr>
      <t xml:space="preserve">Bomba – KSB megaflow V 80-250 K – 2 un. × R$ 81.243,34 = R$ 162.486,68; fornecedor KSB Brasil Ltda; Finame 02171533.NF: NF 543048 de 09/09/2024 – KSB Brasil Ltda (CNPJ 60.680.873/0001-14): "Bomba Megaflow V80-250K", R$ 233.546,68. Atribuição: por descrição (Megaflow); excede a linha em R$ 71.060,00.SAP: TAGs não constam na base SAP (seleção).Projeto: LI-3100-6105-001: drenagem; fluxograma DE-3100-1400-002.</t>
    </r>
  </si>
  <si>
    <t xml:space="preserve">Q 50 m³/h; H 10 mca</t>
  </si>
  <si>
    <t xml:space="preserve">OP M502300013 e M502300014</t>
  </si>
  <si>
    <t xml:space="preserve">543048</t>
  </si>
  <si>
    <t xml:space="preserve">09/09/2024</t>
  </si>
  <si>
    <t xml:space="preserve">por descrição (Megaflow); excede a linha em R$ 71.060,00</t>
  </si>
  <si>
    <t xml:space="preserve">Ver linha 10. NF 543048 excede a linha 11 em R$ 71.060,00 – pedir explicação à KSB/Ultracargo. Dois pares distintos (B-3130/3131: Q 35 m³/h, H 25 mca, 15 kW; B-3132/3133: Q 50 m³/h, H 10 mca). Pela NF, a linha 11 é a NF 543048 e a linha 10 está na NF 34511, mas nenhuma das duas identifica o par; atribuição pela ordem das TAGs.</t>
  </si>
  <si>
    <t xml:space="preserve">Cotação KSB RAS0051138 Rev. 10 (11/12/2023), item 23 – TAGs B-3132 / B-3133, KSB MEGAFLOW V 80-250 K, 2 un., R$ 69.552,91 sem impostos / R$ 81.243,34 com impostos cada = R$ 162.486,68 (= linha 11); Finame 03279333 (a crítica cita Finame 02171533).</t>
  </si>
  <si>
    <t xml:space="preserve">Cotação = crítica (item 23, B-3132/B-3133, R$ 81.243,34 cada; Q 50 m³/h / H 10 mca). Divergência de Finame: crítica 02171533 × cotação 03279333. A NF 543048 (R$ 233.546,68) excede a cotação em R$ 71.060,00 e esse excesso não tem contrapartida na proposta KSB – pedir a NF detalhada (pode conter sobressalentes, serviços ou diferença tributária).</t>
  </si>
  <si>
    <r>
      <rPr>
        <b val="true"/>
        <sz val="9"/>
        <color rgb="FF000000"/>
        <rFont val="Arial"/>
        <family val="0"/>
        <charset val="1"/>
      </rPr>
      <t xml:space="preserve">LINHA 11 – Bombas de efluentes/drenagem – Megaflow V 80-250 K (2 un.) [CONJUNTO]
Crítica: </t>
    </r>
    <r>
      <rPr>
        <sz val="9"/>
        <color rgb="FF000000"/>
        <rFont val="Arial"/>
        <family val="0"/>
        <charset val="1"/>
      </rPr>
      <t xml:space="preserve">Bomba – KSB megaflow V 80-250 K – 2 un. × R$ 81.243,34 = R$ 162.486,68; fornecedor KSB Brasil Ltda; Finame 02171533. </t>
    </r>
    <r>
      <rPr>
        <b val="true"/>
        <sz val="9"/>
        <color rgb="FFC00000"/>
        <rFont val="Arial"/>
        <family val="0"/>
        <charset val="1"/>
      </rPr>
      <t xml:space="preserve">NF: </t>
    </r>
    <r>
      <rPr>
        <sz val="9"/>
        <color rgb="FFC00000"/>
        <rFont val="Arial"/>
        <family val="0"/>
        <charset val="1"/>
      </rPr>
      <t xml:space="preserve">NF 543048 de 09/09/2024 – </t>
    </r>
    <r>
      <rPr>
        <strike val="true"/>
        <sz val="9"/>
        <color rgb="FFC00000"/>
        <rFont val="Arial"/>
        <family val="0"/>
        <charset val="1"/>
      </rPr>
      <t xml:space="preserve">KSB Brasil Ltda</t>
    </r>
    <r>
      <rPr>
        <sz val="9"/>
        <color rgb="FFC00000"/>
        <rFont val="Arial"/>
        <family val="0"/>
        <charset val="1"/>
      </rPr>
      <t xml:space="preserve"> (CNPJ 60.680.873/0001-14): "Bomba Megaflow V80-250K", R$ 233.546,68. Atribuição: por descrição (Megaflow); excede a linha em R$ 71.060,00. </t>
    </r>
    <r>
      <rPr>
        <b val="true"/>
        <sz val="9"/>
        <color rgb="FF00703C"/>
        <rFont val="Arial"/>
        <family val="0"/>
        <charset val="1"/>
      </rPr>
      <t xml:space="preserve">SAP: </t>
    </r>
    <r>
      <rPr>
        <sz val="9"/>
        <color rgb="FF00703C"/>
        <rFont val="Arial"/>
        <family val="0"/>
        <charset val="1"/>
      </rPr>
      <t xml:space="preserve">TAGs não constam na base SAP (seleção). </t>
    </r>
    <r>
      <rPr>
        <b val="true"/>
        <sz val="9"/>
        <color rgb="FFB38600"/>
        <rFont val="Arial"/>
        <family val="0"/>
        <charset val="1"/>
      </rPr>
      <t xml:space="preserve">Projeto: </t>
    </r>
    <r>
      <rPr>
        <sz val="9"/>
        <color rgb="FFB38600"/>
        <rFont val="Arial"/>
        <family val="0"/>
        <charset val="1"/>
      </rPr>
      <t xml:space="preserve">LI-3100-6105-001: drenagem; fluxograma DE-3100-1400-002. 
</t>
    </r>
    <r>
      <rPr>
        <b val="true"/>
        <sz val="9"/>
        <color rgb="FFC00000"/>
        <rFont val="Arial"/>
        <family val="0"/>
        <charset val="1"/>
      </rPr>
      <t xml:space="preserve">NF (colunas K-Q): </t>
    </r>
    <r>
      <rPr>
        <sz val="9"/>
        <color rgb="FFC00000"/>
        <rFont val="Arial"/>
        <family val="0"/>
        <charset val="1"/>
      </rPr>
      <t xml:space="preserve">NF nº 543048 de 09/09/2024 – </t>
    </r>
    <r>
      <rPr>
        <strike val="true"/>
        <sz val="9"/>
        <color rgb="FFC00000"/>
        <rFont val="Arial"/>
        <family val="0"/>
        <charset val="1"/>
      </rPr>
      <t xml:space="preserve">KSB Brasil Ltda</t>
    </r>
    <r>
      <rPr>
        <sz val="9"/>
        <color rgb="FFC00000"/>
        <rFont val="Arial"/>
        <family val="0"/>
        <charset val="1"/>
      </rPr>
      <t xml:space="preserve"> (</t>
    </r>
    <r>
      <rPr>
        <strike val="true"/>
        <sz val="9"/>
        <color rgb="FFC00000"/>
        <rFont val="Arial"/>
        <family val="0"/>
        <charset val="1"/>
      </rPr>
      <t xml:space="preserve">60.680.873/0001-14</t>
    </r>
    <r>
      <rPr>
        <sz val="9"/>
        <color rgb="FFC00000"/>
        <rFont val="Arial"/>
        <family val="0"/>
        <charset val="1"/>
      </rPr>
      <t xml:space="preserve">) – valor comprovado R$ 233.546,68. </t>
    </r>
    <r>
      <rPr>
        <b val="true"/>
        <sz val="9"/>
        <color rgb="FF000000"/>
        <rFont val="Arial"/>
        <family val="0"/>
        <charset val="1"/>
      </rPr>
      <t xml:space="preserve">Atribuição: </t>
    </r>
    <r>
      <rPr>
        <sz val="9"/>
        <color rgb="FF000000"/>
        <rFont val="Arial"/>
        <family val="0"/>
        <charset val="1"/>
      </rPr>
      <t xml:space="preserve">por descrição (Megaflow); excede a linha em R$ 71.060,00. </t>
    </r>
    <r>
      <rPr>
        <b val="true"/>
        <sz val="9"/>
        <color rgb="FF000000"/>
        <rFont val="Arial"/>
        <family val="0"/>
        <charset val="1"/>
      </rPr>
      <t xml:space="preserve">Crítica (colunas N-P): </t>
    </r>
    <r>
      <rPr>
        <sz val="9"/>
        <color rgb="FF000000"/>
        <rFont val="Arial"/>
        <family val="0"/>
        <charset val="1"/>
      </rPr>
      <t xml:space="preserve">qtd 2, unitário R$ 81.243,34, total R$ 162.486,68. 
</t>
    </r>
    <r>
      <rPr>
        <b val="true"/>
        <sz val="9"/>
        <color rgb="FF000000"/>
        <rFont val="Arial"/>
        <family val="0"/>
        <charset val="1"/>
      </rPr>
      <t xml:space="preserve">Ficha (colunas E-J): </t>
    </r>
    <r>
      <rPr>
        <b val="true"/>
        <sz val="9"/>
        <color rgb="FF1F4E9A"/>
        <rFont val="Arial"/>
        <family val="0"/>
        <charset val="1"/>
      </rPr>
      <t xml:space="preserve">Marca: </t>
    </r>
    <r>
      <rPr>
        <sz val="9"/>
        <color rgb="FF1F4E9A"/>
        <rFont val="Arial"/>
        <family val="0"/>
        <charset val="1"/>
      </rPr>
      <t xml:space="preserve">KSB. </t>
    </r>
    <r>
      <rPr>
        <b val="true"/>
        <sz val="9"/>
        <color rgb="FF000000"/>
        <rFont val="Arial"/>
        <family val="0"/>
        <charset val="1"/>
      </rPr>
      <t xml:space="preserve">Modelo: </t>
    </r>
    <r>
      <rPr>
        <strike val="true"/>
        <sz val="9"/>
        <color rgb="FF000000"/>
        <rFont val="Arial"/>
        <family val="0"/>
        <charset val="1"/>
      </rPr>
      <t xml:space="preserve">megaflow V 80-250 K</t>
    </r>
    <r>
      <rPr>
        <sz val="9"/>
        <color rgb="FF000000"/>
        <rFont val="Arial"/>
        <family val="0"/>
        <charset val="1"/>
      </rPr>
      <t xml:space="preserve">. </t>
    </r>
    <r>
      <rPr>
        <b val="true"/>
        <sz val="9"/>
        <color rgb="FF1F4E9A"/>
        <rFont val="Arial"/>
        <family val="0"/>
        <charset val="1"/>
      </rPr>
      <t xml:space="preserve">Capacidade: </t>
    </r>
    <r>
      <rPr>
        <sz val="9"/>
        <color rgb="FF1F4E9A"/>
        <rFont val="Arial"/>
        <family val="0"/>
        <charset val="1"/>
      </rPr>
      <t xml:space="preserve">Q 50 m³/h; H 10 mca. </t>
    </r>
    <r>
      <rPr>
        <b val="true"/>
        <sz val="9"/>
        <color rgb="FF1F4E9A"/>
        <rFont val="Arial"/>
        <family val="0"/>
        <charset val="1"/>
      </rPr>
      <t xml:space="preserve">Série/OP: </t>
    </r>
    <r>
      <rPr>
        <sz val="9"/>
        <color rgb="FF1F4E9A"/>
        <rFont val="Arial"/>
        <family val="0"/>
        <charset val="1"/>
      </rPr>
      <t xml:space="preserve">OP M502300013 e M502300014. </t>
    </r>
    <r>
      <rPr>
        <b val="true"/>
        <sz val="9"/>
        <color rgb="FF00703C"/>
        <rFont val="Arial"/>
        <family val="0"/>
        <charset val="1"/>
      </rPr>
      <t xml:space="preserve">TAG/SAP: </t>
    </r>
    <r>
      <rPr>
        <sz val="9"/>
        <color rgb="FF00703C"/>
        <rFont val="Arial"/>
        <family val="0"/>
        <charset val="1"/>
      </rPr>
      <t xml:space="preserve">não consta na base SAP (seleção). </t>
    </r>
    <r>
      <rPr>
        <b val="true"/>
        <sz val="9"/>
        <color rgb="FF1F4E9A"/>
        <rFont val="Arial"/>
        <family val="0"/>
        <charset val="1"/>
      </rPr>
      <t xml:space="preserve">Fabricação: </t>
    </r>
    <r>
      <rPr>
        <sz val="9"/>
        <color rgb="FF1F4E9A"/>
        <rFont val="Arial"/>
        <family val="0"/>
        <charset val="1"/>
      </rPr>
      <t xml:space="preserve">2024. 
</t>
    </r>
    <r>
      <rPr>
        <b val="true"/>
        <sz val="9"/>
        <color rgb="FF000000"/>
        <rFont val="Arial"/>
        <family val="0"/>
        <charset val="1"/>
      </rPr>
      <t xml:space="preserve">Obs. (coluna T): </t>
    </r>
    <r>
      <rPr>
        <sz val="9"/>
        <color rgb="FF000000"/>
        <rFont val="Arial"/>
        <family val="0"/>
        <charset val="1"/>
      </rPr>
      <t xml:space="preserve">Ver linha 10. NF 543048 excede a linha 11 em R$ 71.060,00 – pedir explicação à KSB/Ultracargo. Dois pares distintos (B-3130/3131: Q 35 m³/h, H 25 mca, 15 kW; B-3132/3133: Q 50 m³/h, H 10 mca). Pela NF, a linha 11 é a NF 543048 e a linha 10 está na NF 34511, mas nenhuma das duas identifica o par; atribuição pela ordem das TAGs. </t>
    </r>
    <r>
      <rPr>
        <b val="true"/>
        <sz val="9"/>
        <color rgb="FF000000"/>
        <rFont val="Arial"/>
        <family val="0"/>
        <charset val="1"/>
      </rPr>
      <t xml:space="preserve">Fotos (coluna U): </t>
    </r>
    <r>
      <rPr>
        <sz val="9"/>
        <color rgb="FF000000"/>
        <rFont val="Arial"/>
        <family val="0"/>
        <charset val="1"/>
      </rPr>
      <t xml:space="preserve">ver componentes. 
</t>
    </r>
    <r>
      <rPr>
        <b val="true"/>
        <sz val="9"/>
        <color rgb="FF002060"/>
        <rFont val="Arial"/>
        <family val="0"/>
        <charset val="1"/>
      </rPr>
      <t xml:space="preserve">Cotação OPE154: </t>
    </r>
    <r>
      <rPr>
        <sz val="9"/>
        <color rgb="FF002060"/>
        <rFont val="Arial"/>
        <family val="0"/>
        <charset val="1"/>
      </rPr>
      <t xml:space="preserve">Cotação KSB RAS0051138 Rev. 10 (11/12/2023), item 23 – TAGs B-3132 / B-3133, KSB MEGAFLOW V 80-250 K, 2 un., R$ 69.552,91 sem impostos / R$ 81.243,34 com impostos cada = R$ 162.486,68 (= linha 11); Finame 03279333 (a crítica cita Finame 02171533). 
</t>
    </r>
    <r>
      <rPr>
        <b val="true"/>
        <sz val="9"/>
        <color rgb="FF7030A0"/>
        <rFont val="Arial"/>
        <family val="0"/>
        <charset val="1"/>
      </rPr>
      <t xml:space="preserve">Novo v2 (achados / correções / proposições): </t>
    </r>
    <r>
      <rPr>
        <sz val="9"/>
        <color rgb="FF7030A0"/>
        <rFont val="Arial"/>
        <family val="0"/>
        <charset val="1"/>
      </rPr>
      <t xml:space="preserve">Cotação = crítica (item 23, B-3132/B-3133, R$ 81.243,34 cada; Q 50 m³/h / H 10 mca). Divergência de Finame: crítica 02171533 × cotação 03279333. A NF 543048 (R$ 233.546,68) excede a cotação em R$ 71.060,00 e esse excesso não tem contrapartida na proposta KSB – pedir a NF detalhada (pode conter sobressalentes, serviços ou diferença tributária). 
</t>
    </r>
    <r>
      <rPr>
        <b val="true"/>
        <sz val="9"/>
        <color rgb="FF000000"/>
        <rFont val="Arial"/>
        <family val="0"/>
        <charset val="1"/>
      </rPr>
      <t xml:space="preserve">COMPONENTES (2):
• B-3132: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produto drenagem; sucção -, recalque 3"; fluxograma </t>
    </r>
    <r>
      <rPr>
        <strike val="true"/>
        <sz val="9"/>
        <color rgb="FFB38600"/>
        <rFont val="Arial"/>
        <family val="0"/>
        <charset val="1"/>
      </rPr>
      <t xml:space="preserve">DE-3100-1400-002</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não consta na base SAP (seleção)</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KSB MEGAFLOW V 80-250 K (vertical), OP M502300013, Q 50 m3/h; H 10 mca; 1740 rpm; 570 kg (total 650 kg). </t>
    </r>
    <r>
      <rPr>
        <b val="true"/>
        <sz val="9"/>
        <color rgb="FF000000"/>
        <rFont val="Arial"/>
        <family val="0"/>
        <charset val="1"/>
      </rPr>
      <t xml:space="preserve">Obs.: </t>
    </r>
    <r>
      <rPr>
        <sz val="9"/>
        <color rgb="FF000000"/>
        <rFont val="Arial"/>
        <family val="0"/>
        <charset val="1"/>
      </rPr>
      <t xml:space="preserve">Modelo da placa = crítica (</t>
    </r>
    <r>
      <rPr>
        <strike val="true"/>
        <sz val="9"/>
        <color rgb="FF000000"/>
        <rFont val="Arial"/>
        <family val="0"/>
        <charset val="1"/>
      </rPr>
      <t xml:space="preserve">megaflow V 80-250 K</t>
    </r>
    <r>
      <rPr>
        <sz val="9"/>
        <color rgb="FF000000"/>
        <rFont val="Arial"/>
        <family val="0"/>
        <charset val="1"/>
      </rPr>
      <t xml:space="preserve">). Projeto: bomba de drenagem (recalque 3"). Sem cadastro SAP. </t>
    </r>
    <r>
      <rPr>
        <b val="true"/>
        <sz val="9"/>
        <color rgb="FF000000"/>
        <rFont val="Arial"/>
        <family val="0"/>
        <charset val="1"/>
      </rPr>
      <t xml:space="preserve">Fotos: </t>
    </r>
    <r>
      <rPr>
        <sz val="9"/>
        <color rgb="FF000000"/>
        <rFont val="Arial"/>
        <family val="0"/>
        <charset val="1"/>
      </rPr>
      <t xml:space="preserve">0177-0179, 1047, 1048, 1052-1056. </t>
    </r>
    <r>
      <rPr>
        <b val="true"/>
        <sz val="9"/>
        <color rgb="FF002060"/>
        <rFont val="Arial"/>
        <family val="0"/>
        <charset val="1"/>
      </rPr>
      <t xml:space="preserve">Cotação: </t>
    </r>
    <r>
      <rPr>
        <sz val="9"/>
        <color rgb="FF002060"/>
        <rFont val="Arial"/>
        <family val="0"/>
        <charset val="1"/>
      </rPr>
      <t xml:space="preserve">KSB RAS0051138 Rev. 10, item 23: TAGs B-3132 / B-3133, MEGAFLOW V 80-250 K, R$ 69.552,91 sem impostos / R$ 81.243,34 com impostos por unidade. 
</t>
    </r>
    <r>
      <rPr>
        <b val="true"/>
        <sz val="9"/>
        <color rgb="FF000000"/>
        <rFont val="Arial"/>
        <family val="0"/>
        <charset val="1"/>
      </rPr>
      <t xml:space="preserve">• B-3133: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produto drenagem; sucção -, recalque 3"; fluxograma </t>
    </r>
    <r>
      <rPr>
        <strike val="true"/>
        <sz val="9"/>
        <color rgb="FFB38600"/>
        <rFont val="Arial"/>
        <family val="0"/>
        <charset val="1"/>
      </rPr>
      <t xml:space="preserve">DE-3100-1400-002</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não consta na base SAP (seleção)</t>
    </r>
    <r>
      <rPr>
        <sz val="9"/>
        <color rgb="FF00703C"/>
        <rFont val="Arial"/>
        <family val="0"/>
        <charset val="1"/>
      </rPr>
      <t xml:space="preserve">. </t>
    </r>
    <r>
      <rPr>
        <b val="true"/>
        <sz val="9"/>
        <color rgb="FF1F4E9A"/>
        <rFont val="Arial"/>
        <family val="0"/>
        <charset val="1"/>
      </rPr>
      <t xml:space="preserve">Placa/campo: </t>
    </r>
    <r>
      <rPr>
        <strike val="true"/>
        <sz val="9"/>
        <color rgb="FF1F4E9A"/>
        <rFont val="Arial"/>
        <family val="0"/>
        <charset val="1"/>
      </rPr>
      <t xml:space="preserve">KSB MEGAFLOW V 80-250 K (vertical)</t>
    </r>
    <r>
      <rPr>
        <sz val="9"/>
        <color rgb="FF1F4E9A"/>
        <rFont val="Arial"/>
        <family val="0"/>
        <charset val="1"/>
      </rPr>
      <t xml:space="preserve">, OP M502300014, Q 50 m3/h; H 10 mca; 1740 rpm; 570 kg (total 650 kg). </t>
    </r>
    <r>
      <rPr>
        <b val="true"/>
        <sz val="9"/>
        <color rgb="FF000000"/>
        <rFont val="Arial"/>
        <family val="0"/>
        <charset val="1"/>
      </rPr>
      <t xml:space="preserve">Obs.: </t>
    </r>
    <r>
      <rPr>
        <sz val="9"/>
        <color rgb="FF000000"/>
        <rFont val="Arial"/>
        <family val="0"/>
        <charset val="1"/>
      </rPr>
      <t xml:space="preserve">Modelo da placa = crítica (</t>
    </r>
    <r>
      <rPr>
        <strike val="true"/>
        <sz val="9"/>
        <color rgb="FF000000"/>
        <rFont val="Arial"/>
        <family val="0"/>
        <charset val="1"/>
      </rPr>
      <t xml:space="preserve">megaflow V 80-250 K</t>
    </r>
    <r>
      <rPr>
        <sz val="9"/>
        <color rgb="FF000000"/>
        <rFont val="Arial"/>
        <family val="0"/>
        <charset val="1"/>
      </rPr>
      <t xml:space="preserve">). </t>
    </r>
    <r>
      <rPr>
        <strike val="true"/>
        <sz val="9"/>
        <color rgb="FF000000"/>
        <rFont val="Arial"/>
        <family val="0"/>
        <charset val="1"/>
      </rPr>
      <t xml:space="preserve">Projeto: bomba de drenagem (recalque 3"). Sem cadastro SAP.</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0175, 0176, 1049-1051. </t>
    </r>
    <r>
      <rPr>
        <b val="true"/>
        <sz val="9"/>
        <color rgb="FF002060"/>
        <rFont val="Arial"/>
        <family val="0"/>
        <charset val="1"/>
      </rPr>
      <t xml:space="preserve">Cotação: </t>
    </r>
    <r>
      <rPr>
        <sz val="9"/>
        <color rgb="FF002060"/>
        <rFont val="Arial"/>
        <family val="0"/>
        <charset val="1"/>
      </rPr>
      <t xml:space="preserve">KSB RAS0051138 Rev. 10, item 23: TAGs B-3132 / B-3133, MEGAFLOW V 80-250 K, R$ 69.552,91 sem impostos / R$ 81.243,34 com impostos por unidade. </t>
    </r>
  </si>
  <si>
    <t xml:space="preserve">B-3132</t>
  </si>
  <si>
    <r>
      <rPr>
        <b val="true"/>
        <sz val="9"/>
        <color rgb="FFB38600"/>
        <rFont val="Arial"/>
        <family val="0"/>
        <charset val="1"/>
      </rPr>
      <t xml:space="preserve">Projeto: </t>
    </r>
    <r>
      <rPr>
        <sz val="9"/>
        <color rgb="FFB38600"/>
        <rFont val="Arial"/>
        <family val="0"/>
        <charset val="1"/>
      </rPr>
      <t xml:space="preserve">LI-3100-6105-001: produto drenagem; sucção -, recalque 3"; fluxograma DE-3100-1400-002.SAP: não consta na base SAP (seleção).Placa/campo: KSB MEGAFLOW V 80-250 K (vertical), OP M502300013, Q 50 m3/h; H 10 mca; 1740 rpm; 570 kg (total 650 kg).</t>
    </r>
  </si>
  <si>
    <t xml:space="preserve">Q 50 m3/h; H 10 mca; 1740 rpm</t>
  </si>
  <si>
    <t xml:space="preserve">OP M502300013</t>
  </si>
  <si>
    <t xml:space="preserve">0177-0179, 1047, 1048, 1052-1056</t>
  </si>
  <si>
    <t xml:space="preserve">KSB RAS0051138 Rev. 10, item 23: TAGs B-3132 / B-3133, MEGAFLOW V 80-250 K, R$ 69.552,91 sem impostos / R$ 81.243,34 com impostos por unidade.</t>
  </si>
  <si>
    <t xml:space="preserve">B-3133</t>
  </si>
  <si>
    <r>
      <rPr>
        <b val="true"/>
        <sz val="9"/>
        <color rgb="FFB38600"/>
        <rFont val="Arial"/>
        <family val="0"/>
        <charset val="1"/>
      </rPr>
      <t xml:space="preserve">Projeto: </t>
    </r>
    <r>
      <rPr>
        <sz val="9"/>
        <color rgb="FFB38600"/>
        <rFont val="Arial"/>
        <family val="0"/>
        <charset val="1"/>
      </rPr>
      <t xml:space="preserve">LI-3100-6105-001: produto drenagem; sucção -, recalque 3"; fluxograma DE-3100-1400-002.SAP: não consta na base SAP (seleção).Placa/campo: KSB MEGAFLOW V 80-250 K (vertical), OP M502300014, Q 50 m3/h; H 10 mca; 1740 rpm; 570 kg (total 650 kg).</t>
    </r>
  </si>
  <si>
    <t xml:space="preserve">OP M502300014</t>
  </si>
  <si>
    <t xml:space="preserve">0175, 0176, 1049-1051</t>
  </si>
  <si>
    <t xml:space="preserve">12</t>
  </si>
  <si>
    <t xml:space="preserve">Bomba do sistema de água dos chuveiros de emergência – 050-032-200.1 (B-31100)</t>
  </si>
  <si>
    <r>
      <rPr>
        <b val="true"/>
        <sz val="9"/>
        <color rgb="FF000000"/>
        <rFont val="Arial"/>
        <family val="0"/>
        <charset val="1"/>
      </rPr>
      <t xml:space="preserve">Crítica: </t>
    </r>
    <r>
      <rPr>
        <sz val="9"/>
        <color rgb="FF000000"/>
        <rFont val="Arial"/>
        <family val="0"/>
        <charset val="1"/>
      </rPr>
      <t xml:space="preserve">Bomba – KSB megacpk 050-032-200.1 – 1 un. × R$ 76.802,33 = R$ 76.802,33; fornecedor KSB Brasil Ltda; Finame 02171533.NF: NF 34370 de 15/08/2024 – KSB Brasil Ltda (CNPJ 60.680.873/0009-71): "Bomba KSB", R$ 1.328.703,93. Atribuição: NF 34370 (decomposição aritmética única).SAP: TAGs não constam na base SAP (seleção).Projeto: LI-3100-6107-001: B-31100 sistema de pressurização de água para chuveiro de emergência e lava-olhos, fornecido em skid (motobomba, tanque diafragma, painel com inversor de frequência, instrumentos, válvulas e tubulação), Q 10,0 m³/h, AMT 57 mca, 3500 rpm, 7,5 cv, motor IP55, cód. Ultracargo 8000013528, FD-3100-2500-028.</t>
    </r>
  </si>
  <si>
    <t xml:space="preserve">050-032-200.1</t>
  </si>
  <si>
    <t xml:space="preserve">Q 10 m³/h; H 57 mca; 3554 rpm</t>
  </si>
  <si>
    <t xml:space="preserve">OP M482301632</t>
  </si>
  <si>
    <t xml:space="preserve">Placa (campo, lote 3): MCPK 50-32-200.1 GG, OP M482301632, Q 10 m³/h, H 57 mca, 3554 rpm, 50 kg = exatamente a LI-3100-6107 (Q 10 m³/h, AMT 57 mca, 3500 rpm, 7,5 cv). Função: pressurização da água dos chuveiros de emergência/lava-olhos (resolve o "a confirmar"). Divergência de identificação: botoeira local diz "BOMBA 3160". Não consta na base SAP (só a gaveta GAV-PN-3104 LAV OLHOS no PN-3100).</t>
  </si>
  <si>
    <t xml:space="preserve">Cotação KSB RAS0051138 Rev. 10 (11/12/2023), item 24 – TAG "H-31100", KSB MEGACPK 050-032-200.1, 1 un., R$ 63.557,05 sem impostos / R$ 74.384,82 sem IPI / R$ 76.802,33 com IPI 3,25 % (= linha 12; IPI de 3,25 % por vazão ≤ 18 m³/h, NCM 8413.70.80); Finame 03279333 (a crítica cita 02171533). Escopo: MEGACPK para sistema de pressurização de água, eixo vedado por gaxetas, motor W22 IR3 Premium (área não classificada), fornecida com painel, inversor de frequência, tanque de expansão, pressostato, válvulas manuais e de retenção e manômetro acoplados ao equipamento (skid). Correlato: cotação H&amp;M 3799-B (25/01/2024) de 74 chuveiros/lava-olhos de emergência de piso NPT 1" (R$ 1.436,50/un. = R$ 106.301,00), que são os pontos alimentados por esta bomba.</t>
  </si>
  <si>
    <t xml:space="preserve">Cotação KSB chama a unidade de "H-31100" (item 24); o projeto chama B-31100 e a botoeira de campo "BOMBA 3160" – três identificadores para o mesmo skid. Cotação = crítica (R$ 76.802,33, IPI 3,25 % por ser bomba ≤ 18 m³/h). Divergência de Finame: crítica 02171533 × cotação 03279333. A cotação confirma o skid completo (painel, inversor, tanque de expansão, pressostato, válvulas, manômetro) – os itens do skid não lidos em campo (motor, painel) existem por contrato. Contexto: alimenta os 74 chuveiros/lava-olhos cotados pela H&amp;M (R$ 106.301,00).</t>
  </si>
  <si>
    <r>
      <rPr>
        <b val="true"/>
        <sz val="9"/>
        <color rgb="FF000000"/>
        <rFont val="Arial"/>
        <family val="0"/>
        <charset val="1"/>
      </rPr>
      <t xml:space="preserve">LINHA 12 – Bomba do sistema de água dos chuveiros de emergência – 050-032-200.1 (B-31100) [CONJUNTO]
Crítica: </t>
    </r>
    <r>
      <rPr>
        <sz val="9"/>
        <color rgb="FF000000"/>
        <rFont val="Arial"/>
        <family val="0"/>
        <charset val="1"/>
      </rPr>
      <t xml:space="preserve">Bomba – KSB megacpk 050-032-200.1 – 1 un. × R$ 76.802,33 = R$ 76.802,33; fornecedor KSB Brasil Ltda; Finame 02171533. </t>
    </r>
    <r>
      <rPr>
        <b val="true"/>
        <sz val="9"/>
        <color rgb="FFC00000"/>
        <rFont val="Arial"/>
        <family val="0"/>
        <charset val="1"/>
      </rPr>
      <t xml:space="preserve">NF: </t>
    </r>
    <r>
      <rPr>
        <sz val="9"/>
        <color rgb="FFC00000"/>
        <rFont val="Arial"/>
        <family val="0"/>
        <charset val="1"/>
      </rPr>
      <t xml:space="preserve">NF 34370 de 15/08/2024 – </t>
    </r>
    <r>
      <rPr>
        <strike val="true"/>
        <sz val="9"/>
        <color rgb="FFC00000"/>
        <rFont val="Arial"/>
        <family val="0"/>
        <charset val="1"/>
      </rPr>
      <t xml:space="preserve">KSB Brasil Ltda</t>
    </r>
    <r>
      <rPr>
        <sz val="9"/>
        <color rgb="FFC00000"/>
        <rFont val="Arial"/>
        <family val="0"/>
        <charset val="1"/>
      </rPr>
      <t xml:space="preserve"> (CNPJ 60.680.873/0009-71): "Bomba KSB", R$ 1.328.703,93. Atribuição: NF 34370 (decomposição aritmética única). </t>
    </r>
    <r>
      <rPr>
        <b val="true"/>
        <sz val="9"/>
        <color rgb="FF00703C"/>
        <rFont val="Arial"/>
        <family val="0"/>
        <charset val="1"/>
      </rPr>
      <t xml:space="preserve">SAP: </t>
    </r>
    <r>
      <rPr>
        <sz val="9"/>
        <color rgb="FF00703C"/>
        <rFont val="Arial"/>
        <family val="0"/>
        <charset val="1"/>
      </rPr>
      <t xml:space="preserve">TAGs não constam na base SAP (seleção). </t>
    </r>
    <r>
      <rPr>
        <b val="true"/>
        <sz val="9"/>
        <color rgb="FFB38600"/>
        <rFont val="Arial"/>
        <family val="0"/>
        <charset val="1"/>
      </rPr>
      <t xml:space="preserve">Projeto: </t>
    </r>
    <r>
      <rPr>
        <sz val="9"/>
        <color rgb="FFB38600"/>
        <rFont val="Arial"/>
        <family val="0"/>
        <charset val="1"/>
      </rPr>
      <t xml:space="preserve">LI-3100-6107-001: </t>
    </r>
    <r>
      <rPr>
        <strike val="true"/>
        <sz val="9"/>
        <color rgb="FFB38600"/>
        <rFont val="Arial"/>
        <family val="0"/>
        <charset val="1"/>
      </rPr>
      <t xml:space="preserve">B-31100</t>
    </r>
    <r>
      <rPr>
        <sz val="9"/>
        <color rgb="FFB38600"/>
        <rFont val="Arial"/>
        <family val="0"/>
        <charset val="1"/>
      </rPr>
      <t xml:space="preserve"> sistema de pressurização de água para chuveiro de emergência e lava-olhos, fornecido em skid (motobomba, tanque diafragma, painel com inversor de frequência, instrumentos, válvulas e tubulação), Q 10,0 m³/h, AMT 57 mca, 3500 rpm, 7,5 cv, motor IP55, cód. Ultracargo 8000013528, FD-3100-2500-028. 
</t>
    </r>
    <r>
      <rPr>
        <b val="true"/>
        <sz val="9"/>
        <color rgb="FFC00000"/>
        <rFont val="Arial"/>
        <family val="0"/>
        <charset val="1"/>
      </rPr>
      <t xml:space="preserve">NF (colunas K-Q): </t>
    </r>
    <r>
      <rPr>
        <sz val="9"/>
        <color rgb="FFC00000"/>
        <rFont val="Arial"/>
        <family val="0"/>
        <charset val="1"/>
      </rPr>
      <t xml:space="preserve">NF nº 34370 de 15/08/2024 – </t>
    </r>
    <r>
      <rPr>
        <strike val="true"/>
        <sz val="9"/>
        <color rgb="FFC00000"/>
        <rFont val="Arial"/>
        <family val="0"/>
        <charset val="1"/>
      </rPr>
      <t xml:space="preserve">KSB Brasil Ltda</t>
    </r>
    <r>
      <rPr>
        <sz val="9"/>
        <color rgb="FFC00000"/>
        <rFont val="Arial"/>
        <family val="0"/>
        <charset val="1"/>
      </rPr>
      <t xml:space="preserve"> (</t>
    </r>
    <r>
      <rPr>
        <strike val="true"/>
        <sz val="9"/>
        <color rgb="FFC00000"/>
        <rFont val="Arial"/>
        <family val="0"/>
        <charset val="1"/>
      </rPr>
      <t xml:space="preserve">60.680.873/0009-71</t>
    </r>
    <r>
      <rPr>
        <sz val="9"/>
        <color rgb="FFC00000"/>
        <rFont val="Arial"/>
        <family val="0"/>
        <charset val="1"/>
      </rPr>
      <t xml:space="preserve">) – valor comprovado R$ 76.802,33. </t>
    </r>
    <r>
      <rPr>
        <b val="true"/>
        <sz val="9"/>
        <color rgb="FF000000"/>
        <rFont val="Arial"/>
        <family val="0"/>
        <charset val="1"/>
      </rPr>
      <t xml:space="preserve">Atribuição: </t>
    </r>
    <r>
      <rPr>
        <strike val="true"/>
        <sz val="9"/>
        <color rgb="FF000000"/>
        <rFont val="Arial"/>
        <family val="0"/>
        <charset val="1"/>
      </rPr>
      <t xml:space="preserve">NF 34370 (decomposição aritmética única)</t>
    </r>
    <r>
      <rPr>
        <sz val="9"/>
        <color rgb="FF000000"/>
        <rFont val="Arial"/>
        <family val="0"/>
        <charset val="1"/>
      </rPr>
      <t xml:space="preserve">. </t>
    </r>
    <r>
      <rPr>
        <b val="true"/>
        <sz val="9"/>
        <color rgb="FF000000"/>
        <rFont val="Arial"/>
        <family val="0"/>
        <charset val="1"/>
      </rPr>
      <t xml:space="preserve">Crítica (colunas N-P): </t>
    </r>
    <r>
      <rPr>
        <sz val="9"/>
        <color rgb="FF000000"/>
        <rFont val="Arial"/>
        <family val="0"/>
        <charset val="1"/>
      </rPr>
      <t xml:space="preserve">qtd 1, unitário R$ 76.802,33, total R$ 76.802,33. 
</t>
    </r>
    <r>
      <rPr>
        <b val="true"/>
        <sz val="9"/>
        <color rgb="FF000000"/>
        <rFont val="Arial"/>
        <family val="0"/>
        <charset val="1"/>
      </rPr>
      <t xml:space="preserve">Ficha (colunas E-J): </t>
    </r>
    <r>
      <rPr>
        <b val="true"/>
        <sz val="9"/>
        <color rgb="FF1F4E9A"/>
        <rFont val="Arial"/>
        <family val="0"/>
        <charset val="1"/>
      </rPr>
      <t xml:space="preserve">Marca: </t>
    </r>
    <r>
      <rPr>
        <sz val="9"/>
        <color rgb="FF1F4E9A"/>
        <rFont val="Arial"/>
        <family val="0"/>
        <charset val="1"/>
      </rPr>
      <t xml:space="preserve">KSB. </t>
    </r>
    <r>
      <rPr>
        <b val="true"/>
        <sz val="9"/>
        <color rgb="FF000000"/>
        <rFont val="Arial"/>
        <family val="0"/>
        <charset val="1"/>
      </rPr>
      <t xml:space="preserve">Modelo: </t>
    </r>
    <r>
      <rPr>
        <sz val="9"/>
        <color rgb="FF000000"/>
        <rFont val="Arial"/>
        <family val="0"/>
        <charset val="1"/>
      </rPr>
      <t xml:space="preserve">050-032-200.1. </t>
    </r>
    <r>
      <rPr>
        <b val="true"/>
        <sz val="9"/>
        <color rgb="FF1F4E9A"/>
        <rFont val="Arial"/>
        <family val="0"/>
        <charset val="1"/>
      </rPr>
      <t xml:space="preserve">Capacidade: </t>
    </r>
    <r>
      <rPr>
        <sz val="9"/>
        <color rgb="FF1F4E9A"/>
        <rFont val="Arial"/>
        <family val="0"/>
        <charset val="1"/>
      </rPr>
      <t xml:space="preserve">Q 10 m³/h; H 57 mca; 3554 rpm. </t>
    </r>
    <r>
      <rPr>
        <b val="true"/>
        <sz val="9"/>
        <color rgb="FF1F4E9A"/>
        <rFont val="Arial"/>
        <family val="0"/>
        <charset val="1"/>
      </rPr>
      <t xml:space="preserve">Série/OP: </t>
    </r>
    <r>
      <rPr>
        <sz val="9"/>
        <color rgb="FF1F4E9A"/>
        <rFont val="Arial"/>
        <family val="0"/>
        <charset val="1"/>
      </rPr>
      <t xml:space="preserve">OP M482301632. </t>
    </r>
    <r>
      <rPr>
        <b val="true"/>
        <sz val="9"/>
        <color rgb="FF00703C"/>
        <rFont val="Arial"/>
        <family val="0"/>
        <charset val="1"/>
      </rPr>
      <t xml:space="preserve">TAG/SAP: </t>
    </r>
    <r>
      <rPr>
        <sz val="9"/>
        <color rgb="FF00703C"/>
        <rFont val="Arial"/>
        <family val="0"/>
        <charset val="1"/>
      </rPr>
      <t xml:space="preserve">não consta na base SAP (seleção). </t>
    </r>
    <r>
      <rPr>
        <b val="true"/>
        <sz val="9"/>
        <color rgb="FF1F4E9A"/>
        <rFont val="Arial"/>
        <family val="0"/>
        <charset val="1"/>
      </rPr>
      <t xml:space="preserve">Fabricação: </t>
    </r>
    <r>
      <rPr>
        <sz val="9"/>
        <color rgb="FF1F4E9A"/>
        <rFont val="Arial"/>
        <family val="0"/>
        <charset val="1"/>
      </rPr>
      <t xml:space="preserve">2024. 
</t>
    </r>
    <r>
      <rPr>
        <b val="true"/>
        <sz val="9"/>
        <color rgb="FF000000"/>
        <rFont val="Arial"/>
        <family val="0"/>
        <charset val="1"/>
      </rPr>
      <t xml:space="preserve">Obs. (coluna T): </t>
    </r>
    <r>
      <rPr>
        <sz val="9"/>
        <color rgb="FF000000"/>
        <rFont val="Arial"/>
        <family val="0"/>
        <charset val="1"/>
      </rPr>
      <t xml:space="preserve">Placa (campo, lote 3): MCPK 50-32-200.1 GG, OP M482301632, Q 10 m³/h, H 57 mca, 3554 rpm, 50 kg = exatamente a LI-3100-6107 (Q 10 m³/h, AMT 57 mca, 3500 rpm, 7,5 cv). Função: pressurização da água dos chuveiros de emergência/lava-olhos (resolve o "a confirmar"). Divergência de identificação: botoeira local diz "BOMBA 3160". Não consta na base SAP (só a gaveta GAV-PN-3104 LAV OLHOS no PN-3100). </t>
    </r>
    <r>
      <rPr>
        <b val="true"/>
        <sz val="9"/>
        <color rgb="FF000000"/>
        <rFont val="Arial"/>
        <family val="0"/>
        <charset val="1"/>
      </rPr>
      <t xml:space="preserve">Fotos (coluna U): </t>
    </r>
    <r>
      <rPr>
        <sz val="9"/>
        <color rgb="FF000000"/>
        <rFont val="Arial"/>
        <family val="0"/>
        <charset val="1"/>
      </rPr>
      <t xml:space="preserve">ver componentes. 
</t>
    </r>
    <r>
      <rPr>
        <b val="true"/>
        <sz val="9"/>
        <color rgb="FF002060"/>
        <rFont val="Arial"/>
        <family val="0"/>
        <charset val="1"/>
      </rPr>
      <t xml:space="preserve">Cotação OPE154: </t>
    </r>
    <r>
      <rPr>
        <sz val="9"/>
        <color rgb="FF002060"/>
        <rFont val="Arial"/>
        <family val="0"/>
        <charset val="1"/>
      </rPr>
      <t xml:space="preserve">Cotação KSB RAS0051138 Rev. 10 (11/12/2023), item 24 – TAG "H-31100", KSB MEGACPK 050-032-200.1, 1 un., R$ 63.557,05 sem impostos / R$ 74.384,82 sem IPI / R$ 76.802,33 com IPI 3,25 % (= linha 12; IPI de 3,25 % por vazão ≤ 18 m³/h, NCM 8413.70.80); Finame 03279333 (a crítica cita 02171533). Escopo: MEGACPK para sistema de pressurização de água, eixo vedado por gaxetas, motor W22 IR3 Premium (área não classificada), fornecida com painel, inversor de frequência, tanque de expansão, pressostato, válvulas manuais e de retenção e manômetro acoplados ao equipamento (skid). Correlato: cotação H&amp;M 3799-B (25/01/2024) de 74 chuveiros/lava-olhos de emergência de piso NPT 1" (R$ 1.436,50/un. = R$ 106.301,00), que são os pontos alimentados por esta bomba. 
</t>
    </r>
    <r>
      <rPr>
        <b val="true"/>
        <sz val="9"/>
        <color rgb="FF7030A0"/>
        <rFont val="Arial"/>
        <family val="0"/>
        <charset val="1"/>
      </rPr>
      <t xml:space="preserve">Novo v2 (achados / correções / proposições): </t>
    </r>
    <r>
      <rPr>
        <sz val="9"/>
        <color rgb="FF7030A0"/>
        <rFont val="Arial"/>
        <family val="0"/>
        <charset val="1"/>
      </rPr>
      <t xml:space="preserve">Cotação KSB chama a unidade de "H-31100" (item 24); o projeto chama B-31100 e a botoeira de campo "BOMBA 3160" – três identificadores para o mesmo skid. Cotação = crítica (R$ 76.802,33, IPI 3,25 % por ser bomba ≤ 18 m³/h). Divergência de Finame: crítica 02171533 × cotação 03279333. A cotação confirma o skid completo (painel, inversor, tanque de expansão, pressostato, válvulas, manômetro) – os itens do skid não lidos em campo (motor, painel) existem por contrato. Contexto: alimenta os 74 chuveiros/lava-olhos cotados pela H&amp;M (R$ 106.301,00). 
</t>
    </r>
    <r>
      <rPr>
        <b val="true"/>
        <sz val="9"/>
        <color rgb="FF000000"/>
        <rFont val="Arial"/>
        <family val="0"/>
        <charset val="1"/>
      </rPr>
      <t xml:space="preserve">COMPONENTES (1):
• B-31100: </t>
    </r>
    <r>
      <rPr>
        <b val="true"/>
        <sz val="9"/>
        <color rgb="FFB38600"/>
        <rFont val="Arial"/>
        <family val="0"/>
        <charset val="1"/>
      </rPr>
      <t xml:space="preserve">Projeto: </t>
    </r>
    <r>
      <rPr>
        <strike val="true"/>
        <sz val="9"/>
        <color rgb="FFB38600"/>
        <rFont val="Arial"/>
        <family val="0"/>
        <charset val="1"/>
      </rPr>
      <t xml:space="preserve">LI-3100-6107</t>
    </r>
    <r>
      <rPr>
        <sz val="9"/>
        <color rgb="FFB38600"/>
        <rFont val="Arial"/>
        <family val="0"/>
        <charset val="1"/>
      </rPr>
      <t xml:space="preserve">: Q 10,0 m³/h, AMT 57 mca, 3500 rpm, 7,5 cv (</t>
    </r>
    <r>
      <rPr>
        <strike val="true"/>
        <sz val="9"/>
        <color rgb="FFB38600"/>
        <rFont val="Arial"/>
        <family val="0"/>
        <charset val="1"/>
      </rPr>
      <t xml:space="preserve">FD-3100-2500-028</t>
    </r>
    <r>
      <rPr>
        <sz val="9"/>
        <color rgb="FFB38600"/>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KSB </t>
    </r>
    <r>
      <rPr>
        <strike val="true"/>
        <sz val="9"/>
        <color rgb="FF1F4E9A"/>
        <rFont val="Arial"/>
        <family val="0"/>
        <charset val="1"/>
      </rPr>
      <t xml:space="preserve">MCPK 50-32-200.1 GG</t>
    </r>
    <r>
      <rPr>
        <sz val="9"/>
        <color rgb="FF1F4E9A"/>
        <rFont val="Arial"/>
        <family val="0"/>
        <charset val="1"/>
      </rPr>
      <t xml:space="preserve">, OP M482301632, Q 10 m³/h, H 57 mca, 3554 rpm, 50 kg; botoeira "BOMBA 3160". </t>
    </r>
    <r>
      <rPr>
        <b val="true"/>
        <sz val="9"/>
        <color rgb="FF000000"/>
        <rFont val="Arial"/>
        <family val="0"/>
        <charset val="1"/>
      </rPr>
      <t xml:space="preserve">Obs.: </t>
    </r>
    <r>
      <rPr>
        <sz val="9"/>
        <color rgb="FF000000"/>
        <rFont val="Arial"/>
        <family val="0"/>
        <charset val="1"/>
      </rPr>
      <t xml:space="preserve">Placa = lista de itens especiais (vazão e altura idênticas). Motor e painel do skid não lidos. </t>
    </r>
    <r>
      <rPr>
        <b val="true"/>
        <sz val="9"/>
        <color rgb="FF000000"/>
        <rFont val="Arial"/>
        <family val="0"/>
        <charset val="1"/>
      </rPr>
      <t xml:space="preserve">Fotos: </t>
    </r>
    <r>
      <rPr>
        <sz val="9"/>
        <color rgb="FF000000"/>
        <rFont val="Arial"/>
        <family val="0"/>
        <charset val="1"/>
      </rPr>
      <t xml:space="preserve">1029-1038. </t>
    </r>
    <r>
      <rPr>
        <b val="true"/>
        <sz val="9"/>
        <color rgb="FF002060"/>
        <rFont val="Arial"/>
        <family val="0"/>
        <charset val="1"/>
      </rPr>
      <t xml:space="preserve">Cotação: </t>
    </r>
    <r>
      <rPr>
        <sz val="9"/>
        <color rgb="FF002060"/>
        <rFont val="Arial"/>
        <family val="0"/>
        <charset val="1"/>
      </rPr>
      <t xml:space="preserve">KSB RAS0051138 Rev. 10, item 24: TAG "H-31100", MEGACPK 050-032-200.1, R$ 63.557,05 sem impostos / R$ 76.802,33 com IPI 3,25 %; fornecida em skid com painel, inversor, tanque de expansão, pressostato, válvulas e manômetro; motor W22 IR3 Premium (área não classificada). </t>
    </r>
    <r>
      <rPr>
        <b val="true"/>
        <sz val="9"/>
        <color rgb="FF7030A0"/>
        <rFont val="Arial"/>
        <family val="0"/>
        <charset val="1"/>
      </rPr>
      <t xml:space="preserve">Novo v2: </t>
    </r>
    <r>
      <rPr>
        <sz val="9"/>
        <color rgb="FF7030A0"/>
        <rFont val="Arial"/>
        <family val="0"/>
        <charset val="1"/>
      </rPr>
      <t xml:space="preserve">TAG tripla: H-31100 (cotação KSB) = B-31100 (LI-3100-6107) = "BOMBA 3160" (botoeira). O skid inclui painel, inversor, tanque de expansão, pressostato e válvulas por contrato. </t>
    </r>
  </si>
  <si>
    <t xml:space="preserve">B-31100</t>
  </si>
  <si>
    <r>
      <rPr>
        <b val="true"/>
        <sz val="9"/>
        <color rgb="FFB38600"/>
        <rFont val="Arial"/>
        <family val="0"/>
        <charset val="1"/>
      </rPr>
      <t xml:space="preserve">Projeto: </t>
    </r>
    <r>
      <rPr>
        <sz val="9"/>
        <color rgb="FFB38600"/>
        <rFont val="Arial"/>
        <family val="0"/>
        <charset val="1"/>
      </rPr>
      <t xml:space="preserve">LI-3100-6107: Q 10,0 m³/h, AMT 57 mca, 3500 rpm, 7,5 cv (FD-3100-2500-028).Placa/campo: KSB MCPK 50-32-200.1 GG, OP M482301632, Q 10 m³/h, H 57 mca, 3554 rpm, 50 kg; botoeira "BOMBA 3160".</t>
    </r>
  </si>
  <si>
    <t xml:space="preserve">MCPK 50-32-200.1 GG</t>
  </si>
  <si>
    <t xml:space="preserve">Placa = lista de itens especiais (vazão e altura idênticas). Motor e painel do skid não lidos.</t>
  </si>
  <si>
    <t xml:space="preserve">1029-1038</t>
  </si>
  <si>
    <t xml:space="preserve">KSB RAS0051138 Rev. 10, item 24: TAG "H-31100", MEGACPK 050-032-200.1, R$ 63.557,05 sem impostos / R$ 76.802,33 com IPI 3,25 %; fornecida em skid com painel, inversor, tanque de expansão, pressostato, válvulas e manômetro; motor W22 IR3 Premium (área não classificada).</t>
  </si>
  <si>
    <t xml:space="preserve">TAG tripla: H-31100 (cotação KSB) = B-31100 (LI-3100-6107) = "BOMBA 3160" (botoeira). O skid inclui painel, inversor, tanque de expansão, pressostato e válvulas por contrato.</t>
  </si>
  <si>
    <t xml:space="preserve">13</t>
  </si>
  <si>
    <t xml:space="preserve">Bombas de descarga rodoviária – 125-100-250 (B-3124 e B-3125)</t>
  </si>
  <si>
    <r>
      <rPr>
        <b val="true"/>
        <sz val="9"/>
        <color rgb="FF000000"/>
        <rFont val="Arial"/>
        <family val="0"/>
        <charset val="1"/>
      </rPr>
      <t xml:space="preserve">Crítica: </t>
    </r>
    <r>
      <rPr>
        <sz val="9"/>
        <color rgb="FF000000"/>
        <rFont val="Arial"/>
        <family val="0"/>
        <charset val="1"/>
      </rPr>
      <t xml:space="preserve">Bomba – KSB megacpk 125-100-250 – 2 un. × R$ 80.053,43 = R$ 160.106,86; fornecedor KSB Brasil Ltda; Finame 03279333.NF: NF 34370 de 15/08/2024 – KSB Brasil Ltda (CNPJ 60.680.873/0009-71): "Bomba KSB", R$ 1.328.703,93. Atribuição: NF 34370 (decomposição aritmética única).SAP: 2 de 2 TAGs cadastradas: B-3124, B-3125.Projeto: LI-3100-6105-001: HC (descarga); fluxograma DE-3100-1300-003.</t>
    </r>
  </si>
  <si>
    <t xml:space="preserve">125-100-250</t>
  </si>
  <si>
    <t xml:space="preserve">Q 140,82 m³/h; H 33,19 mca; 1721 rpm (ANP)</t>
  </si>
  <si>
    <t xml:space="preserve">OP M482301633 e M482301634</t>
  </si>
  <si>
    <t xml:space="preserve">Placas (campo e ANP Fig. 177/178): MCPK 125-100-250 EE, OP M482301633/34, H 33,19 mca, 1721 rpm. Campo leu "Q 82" (parcial) e peso 140 kg na B-3124; ANP lê Q 140,82 m³/h e 131 kg. Serviço: o projeto (LI-6105, produto HC, DE-3100-1300-003) e o SAP ("BOMBA CENTRIFUGA DESCARREG", local PTM-10) dão as duas como bombas de DESCARGA rodoviária; as imagens ANP Fig. 175/176 do 14d ("bomba de descarregamento lado A/B") mostram conjuntos idênticos, no mesmo poço. Forte indício de que as "duas bombas" do skid 14d são estas – possível sobreposição 13 × 14d.</t>
  </si>
  <si>
    <t xml:space="preserve">Cotação KSB RAS0051138 Rev. 10 (11/12/2023), item 25 – TAGs B-3124/25, KSB MEGACPK 125-100-250, 2 un., R$ 68.534,22 sem impostos / R$ 80.053,43 com impostos cada = R$ 160.106,86 (= linha 13); Finame 03279333; mesmo escopo MEGACPK da linha 4.</t>
  </si>
  <si>
    <t xml:space="preserve">Cotação = crítica (item 25, B-3124/25, R$ 80.053,43 cada). A proposta Metroval (item 5) registra que a Ultracargo compraria diretamente alguns equipamentos para baixar o preço do pacote; a KSB cotou as B-3124/B-3125 no mesmo pacote das demais bombas de processo. Leitura: as "duas bombas" do skid de descarga 14d são estas (compradas da KSB, linha 13) – a sobreposição 13 × 14d é descritiva (a crítica repete "com duas bombas" no skid), não necessariamente de valor; só a composição da NF PHD 1551 resolve. Contexto: MEGACPK 125-100-250, Q 140,82 m³/h, H 33,19 mca, serviço de descarga rodoviária (HC) segundo projeto e SAP.</t>
  </si>
  <si>
    <r>
      <rPr>
        <b val="true"/>
        <sz val="9"/>
        <color rgb="FF000000"/>
        <rFont val="Arial"/>
        <family val="0"/>
        <charset val="1"/>
      </rPr>
      <t xml:space="preserve">LINHA 13 – Bombas de descarga rodoviária – 125-100-250 (B-3124 e B-3125) [CONJUNTO]
Crítica: </t>
    </r>
    <r>
      <rPr>
        <sz val="9"/>
        <color rgb="FF000000"/>
        <rFont val="Arial"/>
        <family val="0"/>
        <charset val="1"/>
      </rPr>
      <t xml:space="preserve">Bomba – KSB megacpk 125-100-250 – 2 un. × R$ 80.053,43 = R$ 160.106,86; fornecedor KSB Brasil Ltda; Finame 03279333. </t>
    </r>
    <r>
      <rPr>
        <b val="true"/>
        <sz val="9"/>
        <color rgb="FFC00000"/>
        <rFont val="Arial"/>
        <family val="0"/>
        <charset val="1"/>
      </rPr>
      <t xml:space="preserve">NF: </t>
    </r>
    <r>
      <rPr>
        <sz val="9"/>
        <color rgb="FFC00000"/>
        <rFont val="Arial"/>
        <family val="0"/>
        <charset val="1"/>
      </rPr>
      <t xml:space="preserve">NF 34370 de 15/08/2024 – </t>
    </r>
    <r>
      <rPr>
        <strike val="true"/>
        <sz val="9"/>
        <color rgb="FFC00000"/>
        <rFont val="Arial"/>
        <family val="0"/>
        <charset val="1"/>
      </rPr>
      <t xml:space="preserve">KSB Brasil Ltda</t>
    </r>
    <r>
      <rPr>
        <sz val="9"/>
        <color rgb="FFC00000"/>
        <rFont val="Arial"/>
        <family val="0"/>
        <charset val="1"/>
      </rPr>
      <t xml:space="preserve"> (CNPJ 60.680.873/0009-71): "Bomba KSB", R$ 1.328.703,93. Atribuição: NF 34370 (decomposição aritmética única). </t>
    </r>
    <r>
      <rPr>
        <b val="true"/>
        <sz val="9"/>
        <color rgb="FF00703C"/>
        <rFont val="Arial"/>
        <family val="0"/>
        <charset val="1"/>
      </rPr>
      <t xml:space="preserve">SAP: </t>
    </r>
    <r>
      <rPr>
        <sz val="9"/>
        <color rgb="FF00703C"/>
        <rFont val="Arial"/>
        <family val="0"/>
        <charset val="1"/>
      </rPr>
      <t xml:space="preserve">2 de 2 TAGs cadastradas: </t>
    </r>
    <r>
      <rPr>
        <strike val="true"/>
        <sz val="9"/>
        <color rgb="FF00703C"/>
        <rFont val="Arial"/>
        <family val="0"/>
        <charset val="1"/>
      </rPr>
      <t xml:space="preserve">B-3124</t>
    </r>
    <r>
      <rPr>
        <sz val="9"/>
        <color rgb="FF00703C"/>
        <rFont val="Arial"/>
        <family val="0"/>
        <charset val="1"/>
      </rPr>
      <t xml:space="preserve">, </t>
    </r>
    <r>
      <rPr>
        <strike val="true"/>
        <sz val="9"/>
        <color rgb="FF00703C"/>
        <rFont val="Arial"/>
        <family val="0"/>
        <charset val="1"/>
      </rPr>
      <t xml:space="preserve">B-3125</t>
    </r>
    <r>
      <rPr>
        <sz val="9"/>
        <color rgb="FF00703C"/>
        <rFont val="Arial"/>
        <family val="0"/>
        <charset val="1"/>
      </rPr>
      <t xml:space="preserve">. </t>
    </r>
    <r>
      <rPr>
        <b val="true"/>
        <sz val="9"/>
        <color rgb="FFB38600"/>
        <rFont val="Arial"/>
        <family val="0"/>
        <charset val="1"/>
      </rPr>
      <t xml:space="preserve">Projeto: </t>
    </r>
    <r>
      <rPr>
        <sz val="9"/>
        <color rgb="FFB38600"/>
        <rFont val="Arial"/>
        <family val="0"/>
        <charset val="1"/>
      </rPr>
      <t xml:space="preserve">LI-3100-6105-001: HC (descarga); fluxograma DE-3100-1300-003. 
</t>
    </r>
    <r>
      <rPr>
        <b val="true"/>
        <sz val="9"/>
        <color rgb="FFC00000"/>
        <rFont val="Arial"/>
        <family val="0"/>
        <charset val="1"/>
      </rPr>
      <t xml:space="preserve">NF (colunas K-Q): </t>
    </r>
    <r>
      <rPr>
        <sz val="9"/>
        <color rgb="FFC00000"/>
        <rFont val="Arial"/>
        <family val="0"/>
        <charset val="1"/>
      </rPr>
      <t xml:space="preserve">NF nº 34370 de 15/08/2024 – </t>
    </r>
    <r>
      <rPr>
        <strike val="true"/>
        <sz val="9"/>
        <color rgb="FFC00000"/>
        <rFont val="Arial"/>
        <family val="0"/>
        <charset val="1"/>
      </rPr>
      <t xml:space="preserve">KSB Brasil Ltda</t>
    </r>
    <r>
      <rPr>
        <sz val="9"/>
        <color rgb="FFC00000"/>
        <rFont val="Arial"/>
        <family val="0"/>
        <charset val="1"/>
      </rPr>
      <t xml:space="preserve"> (</t>
    </r>
    <r>
      <rPr>
        <strike val="true"/>
        <sz val="9"/>
        <color rgb="FFC00000"/>
        <rFont val="Arial"/>
        <family val="0"/>
        <charset val="1"/>
      </rPr>
      <t xml:space="preserve">60.680.873/0009-71</t>
    </r>
    <r>
      <rPr>
        <sz val="9"/>
        <color rgb="FFC00000"/>
        <rFont val="Arial"/>
        <family val="0"/>
        <charset val="1"/>
      </rPr>
      <t xml:space="preserve">) – valor comprovado R$ 160.106,86. </t>
    </r>
    <r>
      <rPr>
        <b val="true"/>
        <sz val="9"/>
        <color rgb="FF000000"/>
        <rFont val="Arial"/>
        <family val="0"/>
        <charset val="1"/>
      </rPr>
      <t xml:space="preserve">Atribuição: </t>
    </r>
    <r>
      <rPr>
        <strike val="true"/>
        <sz val="9"/>
        <color rgb="FF000000"/>
        <rFont val="Arial"/>
        <family val="0"/>
        <charset val="1"/>
      </rPr>
      <t xml:space="preserve">NF 34370 (decomposição aritmética única)</t>
    </r>
    <r>
      <rPr>
        <sz val="9"/>
        <color rgb="FF000000"/>
        <rFont val="Arial"/>
        <family val="0"/>
        <charset val="1"/>
      </rPr>
      <t xml:space="preserve">. </t>
    </r>
    <r>
      <rPr>
        <b val="true"/>
        <sz val="9"/>
        <color rgb="FF000000"/>
        <rFont val="Arial"/>
        <family val="0"/>
        <charset val="1"/>
      </rPr>
      <t xml:space="preserve">Crítica (colunas N-P): </t>
    </r>
    <r>
      <rPr>
        <sz val="9"/>
        <color rgb="FF000000"/>
        <rFont val="Arial"/>
        <family val="0"/>
        <charset val="1"/>
      </rPr>
      <t xml:space="preserve">qtd 2, unitário R$ 80.053,43, total R$ 160.106,86. 
</t>
    </r>
    <r>
      <rPr>
        <b val="true"/>
        <sz val="9"/>
        <color rgb="FF000000"/>
        <rFont val="Arial"/>
        <family val="0"/>
        <charset val="1"/>
      </rPr>
      <t xml:space="preserve">Ficha (colunas E-J): </t>
    </r>
    <r>
      <rPr>
        <b val="true"/>
        <sz val="9"/>
        <color rgb="FF1F4E9A"/>
        <rFont val="Arial"/>
        <family val="0"/>
        <charset val="1"/>
      </rPr>
      <t xml:space="preserve">Marca: </t>
    </r>
    <r>
      <rPr>
        <sz val="9"/>
        <color rgb="FF1F4E9A"/>
        <rFont val="Arial"/>
        <family val="0"/>
        <charset val="1"/>
      </rPr>
      <t xml:space="preserve">KSB. </t>
    </r>
    <r>
      <rPr>
        <b val="true"/>
        <sz val="9"/>
        <color rgb="FF000000"/>
        <rFont val="Arial"/>
        <family val="0"/>
        <charset val="1"/>
      </rPr>
      <t xml:space="preserve">Modelo: </t>
    </r>
    <r>
      <rPr>
        <sz val="9"/>
        <color rgb="FF000000"/>
        <rFont val="Arial"/>
        <family val="0"/>
        <charset val="1"/>
      </rPr>
      <t xml:space="preserve">125-100-250. </t>
    </r>
    <r>
      <rPr>
        <b val="true"/>
        <sz val="9"/>
        <color rgb="FF1F4E9A"/>
        <rFont val="Arial"/>
        <family val="0"/>
        <charset val="1"/>
      </rPr>
      <t xml:space="preserve">Capacidade: </t>
    </r>
    <r>
      <rPr>
        <sz val="9"/>
        <color rgb="FF1F4E9A"/>
        <rFont val="Arial"/>
        <family val="0"/>
        <charset val="1"/>
      </rPr>
      <t xml:space="preserve">Q 140,82 m³/h; H 33,19 mca; 1721 rpm (ANP). </t>
    </r>
    <r>
      <rPr>
        <b val="true"/>
        <sz val="9"/>
        <color rgb="FF1F4E9A"/>
        <rFont val="Arial"/>
        <family val="0"/>
        <charset val="1"/>
      </rPr>
      <t xml:space="preserve">Série/OP: </t>
    </r>
    <r>
      <rPr>
        <sz val="9"/>
        <color rgb="FF1F4E9A"/>
        <rFont val="Arial"/>
        <family val="0"/>
        <charset val="1"/>
      </rPr>
      <t xml:space="preserve">OP M482301633 e M482301634. </t>
    </r>
    <r>
      <rPr>
        <b val="true"/>
        <sz val="9"/>
        <color rgb="FF00703C"/>
        <rFont val="Arial"/>
        <family val="0"/>
        <charset val="1"/>
      </rPr>
      <t xml:space="preserve">TAG/SAP: </t>
    </r>
    <r>
      <rPr>
        <sz val="9"/>
        <color rgb="FF00703C"/>
        <rFont val="Arial"/>
        <family val="0"/>
        <charset val="1"/>
      </rPr>
      <t xml:space="preserve">2 TAGs no SAP. </t>
    </r>
    <r>
      <rPr>
        <b val="true"/>
        <sz val="9"/>
        <color rgb="FF1F4E9A"/>
        <rFont val="Arial"/>
        <family val="0"/>
        <charset val="1"/>
      </rPr>
      <t xml:space="preserve">Fabricação: </t>
    </r>
    <r>
      <rPr>
        <sz val="9"/>
        <color rgb="FF1F4E9A"/>
        <rFont val="Arial"/>
        <family val="0"/>
        <charset val="1"/>
      </rPr>
      <t xml:space="preserve">2024. 
</t>
    </r>
    <r>
      <rPr>
        <b val="true"/>
        <sz val="9"/>
        <color rgb="FF000000"/>
        <rFont val="Arial"/>
        <family val="0"/>
        <charset val="1"/>
      </rPr>
      <t xml:space="preserve">Obs. (coluna T): </t>
    </r>
    <r>
      <rPr>
        <sz val="9"/>
        <color rgb="FF000000"/>
        <rFont val="Arial"/>
        <family val="0"/>
        <charset val="1"/>
      </rPr>
      <t xml:space="preserve">Placas (campo e ANP Fig. 177/178): MCPK 125-100-250 EE, OP M482301633/34, H 33,19 mca, 1721 rpm. Campo leu "Q 82" (parcial) e peso 140 kg na </t>
    </r>
    <r>
      <rPr>
        <strike val="true"/>
        <sz val="9"/>
        <color rgb="FF000000"/>
        <rFont val="Arial"/>
        <family val="0"/>
        <charset val="1"/>
      </rPr>
      <t xml:space="preserve">B-3124</t>
    </r>
    <r>
      <rPr>
        <sz val="9"/>
        <color rgb="FF000000"/>
        <rFont val="Arial"/>
        <family val="0"/>
        <charset val="1"/>
      </rPr>
      <t xml:space="preserve">; ANP lê Q 140,82 m³/h e 131 kg. Serviço: o projeto (LI-6105, produto HC, </t>
    </r>
    <r>
      <rPr>
        <strike val="true"/>
        <sz val="9"/>
        <color rgb="FF000000"/>
        <rFont val="Arial"/>
        <family val="0"/>
        <charset val="1"/>
      </rPr>
      <t xml:space="preserve">DE-3100-1300-003</t>
    </r>
    <r>
      <rPr>
        <sz val="9"/>
        <color rgb="FF000000"/>
        <rFont val="Arial"/>
        <family val="0"/>
        <charset val="1"/>
      </rPr>
      <t xml:space="preserve">) e o SAP ("BOMBA CENTRIFUGA DESCARREG", local PTM-10) dão as duas como bombas de DESCARGA rodoviária; as imagens ANP Fig. 175/176 do 14d ("bomba de descarregamento lado A/B") mostram conjuntos idênticos, no mesmo poço. Forte indício de que as "duas bombas" do skid 14d são estas – possível sobreposição 13 × 14d. </t>
    </r>
    <r>
      <rPr>
        <b val="true"/>
        <sz val="9"/>
        <color rgb="FF000000"/>
        <rFont val="Arial"/>
        <family val="0"/>
        <charset val="1"/>
      </rPr>
      <t xml:space="preserve">Fotos (coluna U): </t>
    </r>
    <r>
      <rPr>
        <sz val="9"/>
        <color rgb="FF000000"/>
        <rFont val="Arial"/>
        <family val="0"/>
        <charset val="1"/>
      </rPr>
      <t xml:space="preserve">ver componentes. 
</t>
    </r>
    <r>
      <rPr>
        <b val="true"/>
        <sz val="9"/>
        <color rgb="FF002060"/>
        <rFont val="Arial"/>
        <family val="0"/>
        <charset val="1"/>
      </rPr>
      <t xml:space="preserve">Cotação OPE154: </t>
    </r>
    <r>
      <rPr>
        <sz val="9"/>
        <color rgb="FF002060"/>
        <rFont val="Arial"/>
        <family val="0"/>
        <charset val="1"/>
      </rPr>
      <t xml:space="preserve">Cotação KSB RAS0051138 Rev. 10 (11/12/2023), item 25 – TAGs B-3124/25, KSB MEGACPK 125-100-250, 2 un., R$ 68.534,22 sem impostos / R$ 80.053,43 com impostos cada = R$ 160.106,86 (= linha 13); Finame 03279333; mesmo escopo MEGACPK da linha 4. 
</t>
    </r>
    <r>
      <rPr>
        <b val="true"/>
        <sz val="9"/>
        <color rgb="FF7030A0"/>
        <rFont val="Arial"/>
        <family val="0"/>
        <charset val="1"/>
      </rPr>
      <t xml:space="preserve">Novo v2 (achados / correções / proposições): </t>
    </r>
    <r>
      <rPr>
        <sz val="9"/>
        <color rgb="FF7030A0"/>
        <rFont val="Arial"/>
        <family val="0"/>
        <charset val="1"/>
      </rPr>
      <t xml:space="preserve">Cotação = crítica (item 25, B-3124/25, R$ 80.053,43 cada). A proposta Metroval (item 5) registra que a Ultracargo compraria diretamente alguns equipamentos para baixar o preço do pacote; a KSB cotou as B-3124/B-3125 no mesmo pacote das demais bombas de processo. Leitura: as "duas bombas" do skid de descarga 14d são estas (compradas da KSB, linha 13) – a sobreposição 13 × 14d é descritiva (a crítica repete "com duas bombas" no skid), não necessariamente de valor; só a composição da NF PHD 1551 resolve. Contexto: MEGACPK 125-100-250, Q 140,82 m³/h, H 33,19 mca, serviço de descarga rodoviária (HC) segundo projeto e SAP. 
</t>
    </r>
    <r>
      <rPr>
        <b val="true"/>
        <sz val="9"/>
        <color rgb="FF000000"/>
        <rFont val="Arial"/>
        <family val="0"/>
        <charset val="1"/>
      </rPr>
      <t xml:space="preserve">COMPONENTES (2):
• B-3124: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(lista de linhas): produto HC (descarga); sucção 6", recalque 6"; fluxograma </t>
    </r>
    <r>
      <rPr>
        <strike val="true"/>
        <sz val="9"/>
        <color rgb="FFB38600"/>
        <rFont val="Arial"/>
        <family val="0"/>
        <charset val="1"/>
      </rPr>
      <t xml:space="preserve">DE-3100-1300-003</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B-3124</t>
    </r>
    <r>
      <rPr>
        <sz val="9"/>
        <color rgb="FF00703C"/>
        <rFont val="Arial"/>
        <family val="0"/>
        <charset val="1"/>
      </rPr>
      <t xml:space="preserve"> </t>
    </r>
    <r>
      <rPr>
        <strike val="true"/>
        <sz val="9"/>
        <color rgb="FF00703C"/>
        <rFont val="Arial"/>
        <family val="0"/>
        <charset val="1"/>
      </rPr>
      <t xml:space="preserve">BOMBA CENTRIFUGA DESCARREG</t>
    </r>
    <r>
      <rPr>
        <sz val="9"/>
        <color rgb="FF00703C"/>
        <rFont val="Arial"/>
        <family val="0"/>
        <charset val="1"/>
      </rPr>
      <t xml:space="preserve"> – local BPAM-SCAR-PTM-10-01-19, equip. 000000122667, ABC B. </t>
    </r>
    <r>
      <rPr>
        <b val="true"/>
        <sz val="9"/>
        <color rgb="FF1F4E9A"/>
        <rFont val="Arial"/>
        <family val="0"/>
        <charset val="1"/>
      </rPr>
      <t xml:space="preserve">Placa/campo: </t>
    </r>
    <r>
      <rPr>
        <sz val="9"/>
        <color rgb="FF1F4E9A"/>
        <rFont val="Arial"/>
        <family val="0"/>
        <charset val="1"/>
      </rPr>
      <t xml:space="preserve">ANP Fig. 177: KSB </t>
    </r>
    <r>
      <rPr>
        <strike val="true"/>
        <sz val="9"/>
        <color rgb="FF1F4E9A"/>
        <rFont val="Arial"/>
        <family val="0"/>
        <charset val="1"/>
      </rPr>
      <t xml:space="preserve">MCPK 125-100-250 EE</t>
    </r>
    <r>
      <rPr>
        <sz val="9"/>
        <color rgb="FF1F4E9A"/>
        <rFont val="Arial"/>
        <family val="0"/>
        <charset val="1"/>
      </rPr>
      <t xml:space="preserve">, OP M482301633, Q 140,82 m3/h, H 33,19 mca, 1721 rpm, 131 kg, ano 2024; campo: </t>
    </r>
    <r>
      <rPr>
        <strike val="true"/>
        <sz val="9"/>
        <color rgb="FF1F4E9A"/>
        <rFont val="Arial"/>
        <family val="0"/>
        <charset val="1"/>
      </rPr>
      <t xml:space="preserve">MCPK 125-100-250 EE</t>
    </r>
    <r>
      <rPr>
        <sz val="9"/>
        <color rgb="FF1F4E9A"/>
        <rFont val="Arial"/>
        <family val="0"/>
        <charset val="1"/>
      </rPr>
      <t xml:space="preserve"> | OP M482301633 | Q 82 m3/h; H 33,19 mca; 1721 rpm; 140 kg | Carregamento </t>
    </r>
    <r>
      <rPr>
        <b val="true"/>
        <sz val="9"/>
        <color rgb="FF000000"/>
        <rFont val="Arial"/>
        <family val="0"/>
        <charset val="1"/>
      </rPr>
      <t xml:space="preserve">Obs.: </t>
    </r>
    <r>
      <rPr>
        <sz val="9"/>
        <color rgb="FF000000"/>
        <rFont val="Arial"/>
        <family val="0"/>
        <charset val="1"/>
      </rPr>
      <t xml:space="preserve">Modelo da placa (</t>
    </r>
    <r>
      <rPr>
        <strike val="true"/>
        <sz val="9"/>
        <color rgb="FF000000"/>
        <rFont val="Arial"/>
        <family val="0"/>
        <charset val="1"/>
      </rPr>
      <t xml:space="preserve">MCPK 125-100-250 EE</t>
    </r>
    <r>
      <rPr>
        <sz val="9"/>
        <color rgb="FF000000"/>
        <rFont val="Arial"/>
        <family val="0"/>
        <charset val="1"/>
      </rPr>
      <t xml:space="preserve">) = crítica (125-100-250). OP confere campo × ANP. Serviço em campo "Carregamento" × lista de linhas "HC (descarga)". Confronto campo×ANP: N – OP confere. Q campo 82 x ANP 140,82 m3/h (campo leu so a parte decimal); peso campo 140 kg x ANP 131 kg. Fabricação 2024 compatível com NF de 2024. </t>
    </r>
    <r>
      <rPr>
        <b val="true"/>
        <sz val="9"/>
        <color rgb="FF000000"/>
        <rFont val="Arial"/>
        <family val="0"/>
        <charset val="1"/>
      </rPr>
      <t xml:space="preserve">Fotos: </t>
    </r>
    <r>
      <rPr>
        <sz val="9"/>
        <color rgb="FF000000"/>
        <rFont val="Arial"/>
        <family val="0"/>
        <charset val="1"/>
      </rPr>
      <t xml:space="preserve">0273-0275 | </t>
    </r>
    <r>
      <rPr>
        <strike val="true"/>
        <sz val="9"/>
        <color rgb="FF000000"/>
        <rFont val="Arial"/>
        <family val="0"/>
        <charset val="1"/>
      </rPr>
      <t xml:space="preserve">ANP Fig. 177</t>
    </r>
    <r>
      <rPr>
        <sz val="9"/>
        <color rgb="FF000000"/>
        <rFont val="Arial"/>
        <family val="0"/>
        <charset val="1"/>
      </rPr>
      <t xml:space="preserve">. </t>
    </r>
    <r>
      <rPr>
        <b val="true"/>
        <sz val="9"/>
        <color rgb="FF002060"/>
        <rFont val="Arial"/>
        <family val="0"/>
        <charset val="1"/>
      </rPr>
      <t xml:space="preserve">Cotação: </t>
    </r>
    <r>
      <rPr>
        <sz val="9"/>
        <color rgb="FF002060"/>
        <rFont val="Arial"/>
        <family val="0"/>
        <charset val="1"/>
      </rPr>
      <t xml:space="preserve">KSB RAS0051138 Rev. 10, item 25: TAGs B-3124/25, MEGACPK 125-100-250, R$ 68.534,22 sem impostos / R$ 80.053,43 com impostos por unidade. </t>
    </r>
    <r>
      <rPr>
        <b val="true"/>
        <sz val="9"/>
        <color rgb="FF7030A0"/>
        <rFont val="Arial"/>
        <family val="0"/>
        <charset val="1"/>
      </rPr>
      <t xml:space="preserve">Novo v2: </t>
    </r>
    <r>
      <rPr>
        <sz val="9"/>
        <color rgb="FF7030A0"/>
        <rFont val="Arial"/>
        <family val="0"/>
        <charset val="1"/>
      </rPr>
      <t xml:space="preserve">Provável "bomba de descarregamento lado A" do skid 14d (ANP Fig. 175); comprada da KSB (item 25). 
</t>
    </r>
    <r>
      <rPr>
        <b val="true"/>
        <sz val="9"/>
        <color rgb="FF000000"/>
        <rFont val="Arial"/>
        <family val="0"/>
        <charset val="1"/>
      </rPr>
      <t xml:space="preserve">• B-3125: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t>
    </r>
    <r>
      <rPr>
        <strike val="true"/>
        <sz val="9"/>
        <color rgb="FFB38600"/>
        <rFont val="Arial"/>
        <family val="0"/>
        <charset val="1"/>
      </rPr>
      <t xml:space="preserve">(lista de linhas)</t>
    </r>
    <r>
      <rPr>
        <sz val="9"/>
        <color rgb="FFB38600"/>
        <rFont val="Arial"/>
        <family val="0"/>
        <charset val="1"/>
      </rPr>
      <t xml:space="preserve">: produto HC (descarga); sucção 6", recalque 6"; fluxograma </t>
    </r>
    <r>
      <rPr>
        <strike val="true"/>
        <sz val="9"/>
        <color rgb="FFB38600"/>
        <rFont val="Arial"/>
        <family val="0"/>
        <charset val="1"/>
      </rPr>
      <t xml:space="preserve">DE-3100-1300-003</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B-3125</t>
    </r>
    <r>
      <rPr>
        <sz val="9"/>
        <color rgb="FF00703C"/>
        <rFont val="Arial"/>
        <family val="0"/>
        <charset val="1"/>
      </rPr>
      <t xml:space="preserve"> </t>
    </r>
    <r>
      <rPr>
        <strike val="true"/>
        <sz val="9"/>
        <color rgb="FF00703C"/>
        <rFont val="Arial"/>
        <family val="0"/>
        <charset val="1"/>
      </rPr>
      <t xml:space="preserve">BOMBA CENTRIFUGA DESCARREG</t>
    </r>
    <r>
      <rPr>
        <sz val="9"/>
        <color rgb="FF00703C"/>
        <rFont val="Arial"/>
        <family val="0"/>
        <charset val="1"/>
      </rPr>
      <t xml:space="preserve"> – local BPAM-SCAR-PTM-10-04-19, equip. 000000122691, </t>
    </r>
    <r>
      <rPr>
        <strike val="true"/>
        <sz val="9"/>
        <color rgb="FF00703C"/>
        <rFont val="Arial"/>
        <family val="0"/>
        <charset val="1"/>
      </rPr>
      <t xml:space="preserve">ABC B</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ANP Fig. 178: </t>
    </r>
    <r>
      <rPr>
        <strike val="true"/>
        <sz val="9"/>
        <color rgb="FF1F4E9A"/>
        <rFont val="Arial"/>
        <family val="0"/>
        <charset val="1"/>
      </rPr>
      <t xml:space="preserve">KSB MCPK 125-100-250 EE</t>
    </r>
    <r>
      <rPr>
        <sz val="9"/>
        <color rgb="FF1F4E9A"/>
        <rFont val="Arial"/>
        <family val="0"/>
        <charset val="1"/>
      </rPr>
      <t xml:space="preserve">, OP M482301634, Q 140,82 m3/h, H 33,19 mca, 1721 rpm, 131 kg, </t>
    </r>
    <r>
      <rPr>
        <strike val="true"/>
        <sz val="9"/>
        <color rgb="FF1F4E9A"/>
        <rFont val="Arial"/>
        <family val="0"/>
        <charset val="1"/>
      </rPr>
      <t xml:space="preserve">ano 2024</t>
    </r>
    <r>
      <rPr>
        <sz val="9"/>
        <color rgb="FF1F4E9A"/>
        <rFont val="Arial"/>
        <family val="0"/>
        <charset val="1"/>
      </rPr>
      <t xml:space="preserve">; campo: </t>
    </r>
    <r>
      <rPr>
        <strike val="true"/>
        <sz val="9"/>
        <color rgb="FF1F4E9A"/>
        <rFont val="Arial"/>
        <family val="0"/>
        <charset val="1"/>
      </rPr>
      <t xml:space="preserve">MCPK 125-100-250 EE</t>
    </r>
    <r>
      <rPr>
        <sz val="9"/>
        <color rgb="FF1F4E9A"/>
        <rFont val="Arial"/>
        <family val="0"/>
        <charset val="1"/>
      </rPr>
      <t xml:space="preserve"> | OP M482301634 | Q 82 m3/h; H 33,19 mca; 1721 rpm; 131 kg | Carregamento </t>
    </r>
    <r>
      <rPr>
        <b val="true"/>
        <sz val="9"/>
        <color rgb="FF000000"/>
        <rFont val="Arial"/>
        <family val="0"/>
        <charset val="1"/>
      </rPr>
      <t xml:space="preserve">Obs.: </t>
    </r>
    <r>
      <rPr>
        <strike val="true"/>
        <sz val="9"/>
        <color rgb="FF000000"/>
        <rFont val="Arial"/>
        <family val="0"/>
        <charset val="1"/>
      </rPr>
      <t xml:space="preserve">Modelo da placa (MCPK 125-100-250 EE) = crítica (125-100-250).</t>
    </r>
    <r>
      <rPr>
        <sz val="9"/>
        <color rgb="FF000000"/>
        <rFont val="Arial"/>
        <family val="0"/>
        <charset val="1"/>
      </rPr>
      <t xml:space="preserve"> </t>
    </r>
    <r>
      <rPr>
        <strike val="true"/>
        <sz val="9"/>
        <color rgb="FF000000"/>
        <rFont val="Arial"/>
        <family val="0"/>
        <charset val="1"/>
      </rPr>
      <t xml:space="preserve">OP confere campo × ANP.</t>
    </r>
    <r>
      <rPr>
        <sz val="9"/>
        <color rgb="FF000000"/>
        <rFont val="Arial"/>
        <family val="0"/>
        <charset val="1"/>
      </rPr>
      <t xml:space="preserve"> Serviço em campo "Carregamento" × lista de linhas "HC (descarga)". </t>
    </r>
    <r>
      <rPr>
        <strike val="true"/>
        <sz val="9"/>
        <color rgb="FF000000"/>
        <rFont val="Arial"/>
        <family val="0"/>
        <charset val="1"/>
      </rPr>
      <t xml:space="preserve">Confronto campo×ANP: N – OP confere.</t>
    </r>
    <r>
      <rPr>
        <sz val="9"/>
        <color rgb="FF000000"/>
        <rFont val="Arial"/>
        <family val="0"/>
        <charset val="1"/>
      </rPr>
      <t xml:space="preserve"> Q campo 82 x ANP 140,82 m3/h (campo leu so a parte decimal); peso campo 131 kg x ANP 131 kg. </t>
    </r>
    <r>
      <rPr>
        <strike val="true"/>
        <sz val="9"/>
        <color rgb="FF000000"/>
        <rFont val="Arial"/>
        <family val="0"/>
        <charset val="1"/>
      </rPr>
      <t xml:space="preserve">Fabricação 2024 compatível com NF de 2024.</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0263-0266 | </t>
    </r>
    <r>
      <rPr>
        <strike val="true"/>
        <sz val="9"/>
        <color rgb="FF000000"/>
        <rFont val="Arial"/>
        <family val="0"/>
        <charset val="1"/>
      </rPr>
      <t xml:space="preserve">ANP Fig. 178</t>
    </r>
    <r>
      <rPr>
        <sz val="9"/>
        <color rgb="FF000000"/>
        <rFont val="Arial"/>
        <family val="0"/>
        <charset val="1"/>
      </rPr>
      <t xml:space="preserve">. </t>
    </r>
    <r>
      <rPr>
        <b val="true"/>
        <sz val="9"/>
        <color rgb="FF002060"/>
        <rFont val="Arial"/>
        <family val="0"/>
        <charset val="1"/>
      </rPr>
      <t xml:space="preserve">Cotação: </t>
    </r>
    <r>
      <rPr>
        <sz val="9"/>
        <color rgb="FF002060"/>
        <rFont val="Arial"/>
        <family val="0"/>
        <charset val="1"/>
      </rPr>
      <t xml:space="preserve">KSB RAS0051138 Rev. 10, item 25: TAGs B-3124/25, MEGACPK 125-100-250, R$ 68.534,22 sem impostos / R$ 80.053,43 com impostos por unidade. </t>
    </r>
    <r>
      <rPr>
        <b val="true"/>
        <sz val="9"/>
        <color rgb="FF7030A0"/>
        <rFont val="Arial"/>
        <family val="0"/>
        <charset val="1"/>
      </rPr>
      <t xml:space="preserve">Novo v2: </t>
    </r>
    <r>
      <rPr>
        <sz val="9"/>
        <color rgb="FF7030A0"/>
        <rFont val="Arial"/>
        <family val="0"/>
        <charset val="1"/>
      </rPr>
      <t xml:space="preserve">Provável "bomba de descarregamento lado B" do skid 14d (ANP Fig. 176); comprada da KSB (item 25). </t>
    </r>
  </si>
  <si>
    <t xml:space="preserve">B-3124</t>
  </si>
  <si>
    <r>
      <rPr>
        <b val="true"/>
        <sz val="9"/>
        <color rgb="FFB38600"/>
        <rFont val="Arial"/>
        <family val="0"/>
        <charset val="1"/>
      </rPr>
      <t xml:space="preserve">Projeto: </t>
    </r>
    <r>
      <rPr>
        <sz val="9"/>
        <color rgb="FFB38600"/>
        <rFont val="Arial"/>
        <family val="0"/>
        <charset val="1"/>
      </rPr>
      <t xml:space="preserve">LI-3100-6105-001 (lista de linhas): produto HC (descarga); sucção 6", recalque 6"; fluxograma DE-3100-1300-003.SAP: B-3124 BOMBA CENTRIFUGA DESCARREG – local BPAM-SCAR-PTM-10-01-19, equip. 000000122667, ABC B.Placa/campo: ANP Fig. 177: KSB MCPK 125-100-250 EE, OP M482301633, Q 140,82 m3/h, H 33,19 mca, 1721 rpm, 131 kg, ano 2024; campo: MCPK 125-100-250 EE | OP M482301633 | Q 82 m3/h; H 33,19 mca; 1721 rpm; 140 kg | Carregamento</t>
    </r>
  </si>
  <si>
    <t xml:space="preserve">MCPK 125-100-250 EE</t>
  </si>
  <si>
    <t xml:space="preserve">Q 140,82 m3/h; H 33,19 mca; 1721 rpm</t>
  </si>
  <si>
    <t xml:space="preserve">OP M482301633</t>
  </si>
  <si>
    <t xml:space="preserve">B-3124 / 000000122667</t>
  </si>
  <si>
    <t xml:space="preserve">Modelo da placa (MCPK 125-100-250 EE) = crítica (125-100-250). OP confere campo × ANP. Serviço em campo "Carregamento" × lista de linhas "HC (descarga)". Confronto campo×ANP: N – OP confere. Q campo 82 x ANP 140,82 m3/h (campo leu so a parte decimal); peso campo 140 kg x ANP 131 kg. Fabricação 2024 compatível com NF de 2024.</t>
  </si>
  <si>
    <t xml:space="preserve">0273-0275 | ANP Fig. 177</t>
  </si>
  <si>
    <t xml:space="preserve">KSB RAS0051138 Rev. 10, item 25: TAGs B-3124/25, MEGACPK 125-100-250, R$ 68.534,22 sem impostos / R$ 80.053,43 com impostos por unidade.</t>
  </si>
  <si>
    <t xml:space="preserve">Provável "bomba de descarregamento lado A" do skid 14d (ANP Fig. 175); comprada da KSB (item 25).</t>
  </si>
  <si>
    <t xml:space="preserve">B-3125</t>
  </si>
  <si>
    <r>
      <rPr>
        <b val="true"/>
        <sz val="9"/>
        <color rgb="FFB38600"/>
        <rFont val="Arial"/>
        <family val="0"/>
        <charset val="1"/>
      </rPr>
      <t xml:space="preserve">Projeto: </t>
    </r>
    <r>
      <rPr>
        <sz val="9"/>
        <color rgb="FFB38600"/>
        <rFont val="Arial"/>
        <family val="0"/>
        <charset val="1"/>
      </rPr>
      <t xml:space="preserve">LI-3100-6105-001 (lista de linhas): produto HC (descarga); sucção 6", recalque 6"; fluxograma DE-3100-1300-003.SAP: B-3125 BOMBA CENTRIFUGA DESCARREG – local BPAM-SCAR-PTM-10-04-19, equip. 000000122691, ABC B.Placa/campo: ANP Fig. 178: KSB MCPK 125-100-250 EE, OP M482301634, Q 140,82 m3/h, H 33,19 mca, 1721 rpm, 131 kg, ano 2024; campo: MCPK 125-100-250 EE | OP M482301634 | Q 82 m3/h; H 33,19 mca; 1721 rpm; 131 kg | Carregamento</t>
    </r>
  </si>
  <si>
    <t xml:space="preserve">OP M482301634</t>
  </si>
  <si>
    <t xml:space="preserve">B-3125 / 000000122691</t>
  </si>
  <si>
    <t xml:space="preserve">Modelo da placa (MCPK 125-100-250 EE) = crítica (125-100-250). OP confere campo × ANP. Serviço em campo "Carregamento" × lista de linhas "HC (descarga)". Confronto campo×ANP: N – OP confere. Q campo 82 x ANP 140,82 m3/h (campo leu so a parte decimal); peso campo 131 kg x ANP 131 kg. Fabricação 2024 compatível com NF de 2024.</t>
  </si>
  <si>
    <t xml:space="preserve">0263-0266 | ANP Fig. 178</t>
  </si>
  <si>
    <t xml:space="preserve">Provável "bomba de descarregamento lado B" do skid 14d (ANP Fig. 176); comprada da KSB (item 25).</t>
  </si>
  <si>
    <t xml:space="preserve">14</t>
  </si>
  <si>
    <t xml:space="preserve">GRUPO</t>
  </si>
  <si>
    <t xml:space="preserve">Conjunto de skids de carregamento rodoviário e ferroviário (linha 14 = 14a a 14e)</t>
  </si>
  <si>
    <r>
      <rPr>
        <b val="true"/>
        <sz val="9"/>
        <color rgb="FF000000"/>
        <rFont val="Arial"/>
        <family val="0"/>
        <charset val="1"/>
      </rPr>
      <t xml:space="preserve">Crítica: </t>
    </r>
    <r>
      <rPr>
        <sz val="9"/>
        <color rgb="FF000000"/>
        <rFont val="Arial"/>
        <family val="0"/>
        <charset val="1"/>
      </rPr>
      <t xml:space="preserve">Conjunto de skids de carregamento rodoviário e ferroviário, Metroval Controle de Fluídos Ltda., Finame 03204045; total da linha 14 = R$ 8.992.832,34 (14a + 14b + 14c + 14d + 14e).NF: 14 NFs na relação de M&amp;E do RT0538 somam R$ 9.073.319,40: 41385 Metroval R$ 4.881.799,51; 1551 PHD R$ 1.728.513,25; 42239 Metroval R$ 260.000,03; 7032 TSPRO R$ 87.357,24; 7488 TSPRO R$ 218.393,10; 11642 Redlands R$ 241.395,00; 11726 Redlands R$ 49.425,00; 1621 PHD R$ 591.154,24; 91 Ecoserv R$ 182.000,00; 110 Ecoserv R$ 386.880,00; 142 Ecoserv R$ 100.000,00; 161 Ecoserv R$ 110.000,00; 26460 MKG R$ 193.140,00; 4965 Metroval R$ 43.262,03.SAP: skids, braços, medidores, válvulas e presets não constam na base SAP (seleção).Projeto: DE-3100-5100-001/-006 (arranjo geral): plataformas PLCCT-01 e PLCCT-02 (carregamento de caminhão-tanque), PLDCT-03 (descarga de caminhão-tanque), ilhas 01 a 07; não há lista de equipamentos Metroval no dossiê.</t>
    </r>
  </si>
  <si>
    <t xml:space="preserve">Metroval (crítica) / Redlands, TSPRO, Toptech, Alutal, Ecoserv (campo e NFs)</t>
  </si>
  <si>
    <t xml:space="preserve">41385; 42239; 7032; 7488; 11642; 11726; 1621; 91; 110; 142; 161; 26460; 4965</t>
  </si>
  <si>
    <t xml:space="preserve">02/07/2024 a 13/11/2024</t>
  </si>
  <si>
    <t xml:space="preserve">Metroval, PHD Master, TSPRO, Redlands, Ecoserv, MKG</t>
  </si>
  <si>
    <t xml:space="preserve">NFs do grupo sem a 1551 (atribuída ao 14d). Grupo: NF R$ 9.073.319,40 × crítica R$ 8.992.832,34 = excesso de R$ 80.487,06.</t>
  </si>
  <si>
    <t xml:space="preserve">Só o 14d tem NF de valor exato (1551, mas de emitente diferente do fornecedor da crítica). A NF 41385 ("bottomload e topload") é a mais provável para 14a+14b, mas não separa os dois e excede a soma deles em R$ 690.801,61; 14c (vagões) não tem NF identificável. Falta o de-para NF × subitem (pedido M16). Nenhum documento liga os instrumentos lidos em campo (FT/FCV/SDV/XS/TE) a um ponto de carregamento.</t>
  </si>
  <si>
    <t xml:space="preserve">Cotação METROVAL 230200112STM-SC-RevE, 30/08/2023 (revisões: inicial 15/06/2023; A 06/07; B 11/07 desconto; C 27/07 desconto; D 04/08 aumento de escopo; E 30/08 alteração de escopo), "Carregamento e descarga para os modais ferroviário e rodoviário": 1 conjunto de skids composto por (a) skid + plataforma top loading 2 posições (2 GC, 2 S10, 2 S500, 1 EH), (b) skid bottom loading 2 posições (mesmos 7 pontos, sem estrutura da plataforma), (c) skid de carregamento de vagões-tanque PL01 (B100, EA, B100, EA), (d) skid de descarga de caminhões-tanque com duas bombas, (e) um carregamento ferroviário; Finame 03204045; preço único R$ 8.992.832,34 (ICMS 7 %, PIS/COFINS 9,25 %, IPI 9,25 % inclusos; DIFAL não aplicado); faturamento direto em nome da Metroval (CNPJ 58.762.956/0001-00) e, pelas condições de pagamento 7.2, com "faturamento direto" de REDLANDS DO BRASIL, MKG, PHD MASTER e ECOSERV; prazo até 150 dias, entrega escalonada, CIF ULC Palmeirante; documentos-base MD-E037-BPA-GG-004_01 (CT carga), GG-006_01 (VT carga) e GG-003_01 (CT descarga); preços válidos para a proposta técnica 230200112STM-SC-RevB de 06/07/2023. Item 5 da proposta: preço "agressivo" do item 5.1 sem o preset Metroval (sem desenvolvimento de driver com a Automind) em troca de potencial de 28 sistemas (6 garantidos); a Ultracargo se propôs a comprar diretamente alguns equipamentos.</t>
  </si>
  <si>
    <t xml:space="preserve">A cotação Metroval fecha exatamente com a linha 14 (R$ 8.992.832,34, Finame 03204045) e descreve os 5 subitens 14a-14e como na crítica. Achado-chave: a proposta prevê FATURAMENTO DIRETO pela Redlands, MKG, PHD Master e Ecoserv – o que explica as NFs desses quatro emitentes dentro da linha 14 do RT0538 (não são compras à parte). A TSPRO (braços ferroviários, NFs 7032 e 7488 = R$ 305.750,34) não está nessa lista: ou foi compra adicional da Ultracargo ou substituiu item Metroval; sem a TSPRO, as NFs do grupo somam R$ 8.767.569,06, abaixo do pacote (R$ 225.263,28). Com a TSPRO, excedem em R$ 80.487,06. Três NFs do grupo ficam identificadas pelo OPE154: 11642 Redlands = 21 escadas pantográficas (R$ 241.395,00 exatos); 110 Ecoserv = 32 monitores de aterramento (R$ 386.880,00 exatos); 142 Ecoserv = 4 amostradores KFW (R$ 100.000,00 exatos). A opção 5.1 (sem preset Metroval) explica os presets Toptech MultiLoad II vistos em campo. Proposição: pedir à Ultracargo o de-para NF × subitem (pedido M16) já com esta lista de faturamento direto; sem ele, a soma por subitem continua indeterminada.</t>
  </si>
  <si>
    <r>
      <rPr>
        <b val="true"/>
        <sz val="9"/>
        <color rgb="FF000000"/>
        <rFont val="Arial"/>
        <family val="0"/>
        <charset val="1"/>
      </rPr>
      <t xml:space="preserve">LINHA 14 – Conjunto de skids de carregamento rodoviário e ferroviário (linha 14 = 14a a 14e) [GRUPO]
Crítica: </t>
    </r>
    <r>
      <rPr>
        <sz val="9"/>
        <color rgb="FF000000"/>
        <rFont val="Arial"/>
        <family val="0"/>
        <charset val="1"/>
      </rPr>
      <t xml:space="preserve">Conjunto de skids de carregamento rodoviário e ferroviário, Metroval Controle de Fluídos Ltda., Finame 03204045; total da linha 14 = R$ 8.992.832,34 (14a + 14b + 14c + 14d + 14e). </t>
    </r>
    <r>
      <rPr>
        <b val="true"/>
        <sz val="9"/>
        <color rgb="FFC00000"/>
        <rFont val="Arial"/>
        <family val="0"/>
        <charset val="1"/>
      </rPr>
      <t xml:space="preserve">NF: </t>
    </r>
    <r>
      <rPr>
        <sz val="9"/>
        <color rgb="FFC00000"/>
        <rFont val="Arial"/>
        <family val="0"/>
        <charset val="1"/>
      </rPr>
      <t xml:space="preserve">14 NFs na relação de M&amp;E do RT0538 somam R$ 9.073.319,40: 41385 Metroval R$ 4.881.799,51; 1551 PHD R$ 1.728.513,25; 42239 Metroval R$ 260.000,03; 7032 TSPRO R$ 87.357,24; 7488 TSPRO R$ 218.393,10; 11642 Redlands R$ 241.395,00; 11726 Redlands R$ 49.425,00; 1621 PHD R$ 591.154,24; 91 Ecoserv R$ 182.000,00; 110 Ecoserv R$ 386.880,00; 142 Ecoserv R$ 100.000,00; 161 Ecoserv R$ 110.000,00; 26460 MKG R$ 193.140,00; 4965 Metroval R$ 43.262,03. </t>
    </r>
    <r>
      <rPr>
        <b val="true"/>
        <sz val="9"/>
        <color rgb="FF00703C"/>
        <rFont val="Arial"/>
        <family val="0"/>
        <charset val="1"/>
      </rPr>
      <t xml:space="preserve">SAP: </t>
    </r>
    <r>
      <rPr>
        <sz val="9"/>
        <color rgb="FF00703C"/>
        <rFont val="Arial"/>
        <family val="0"/>
        <charset val="1"/>
      </rPr>
      <t xml:space="preserve">skids, braços, medidores, válvulas e presets não constam na base SAP (seleção). </t>
    </r>
    <r>
      <rPr>
        <b val="true"/>
        <sz val="9"/>
        <color rgb="FFB38600"/>
        <rFont val="Arial"/>
        <family val="0"/>
        <charset val="1"/>
      </rPr>
      <t xml:space="preserve">Projeto: </t>
    </r>
    <r>
      <rPr>
        <sz val="9"/>
        <color rgb="FFB38600"/>
        <rFont val="Arial"/>
        <family val="0"/>
        <charset val="1"/>
      </rPr>
      <t xml:space="preserve">DE-3100-5100-001/-006 (arranjo geral): plataformas PLCCT-01 e PLCCT-02 (carregamento de caminhão-tanque), PLDCT-03 (descarga de caminhão-tanque), ilhas 01 a 07; não há lista de equipamentos Metroval no dossiê. 
</t>
    </r>
    <r>
      <rPr>
        <b val="true"/>
        <sz val="9"/>
        <color rgb="FFC00000"/>
        <rFont val="Arial"/>
        <family val="0"/>
        <charset val="1"/>
      </rPr>
      <t xml:space="preserve">NF (colunas K-Q): </t>
    </r>
    <r>
      <rPr>
        <sz val="9"/>
        <color rgb="FFC00000"/>
        <rFont val="Arial"/>
        <family val="0"/>
        <charset val="1"/>
      </rPr>
      <t xml:space="preserve">NF nº 41385; 42239; 7032; 7488; 11642; 11726; 1621; 91; 110; 142; 161; 26460; 4965 de 02/07/2024 a 13/11/2024 – Metroval, PHD Master, TSPRO, Redlands, Ecoserv, MKG – valor comprovado R$ 7.344.806,15. </t>
    </r>
    <r>
      <rPr>
        <b val="true"/>
        <sz val="9"/>
        <color rgb="FF000000"/>
        <rFont val="Arial"/>
        <family val="0"/>
        <charset val="1"/>
      </rPr>
      <t xml:space="preserve">Atribuição: </t>
    </r>
    <r>
      <rPr>
        <sz val="9"/>
        <color rgb="FF000000"/>
        <rFont val="Arial"/>
        <family val="0"/>
        <charset val="1"/>
      </rPr>
      <t xml:space="preserve">NFs do grupo sem a 1551 (atribuída ao 14d). Grupo: NF R$ 9.073.319,40 × crítica R$ 8.992.832,34 = excesso de R$ 80.487,06.. 
</t>
    </r>
    <r>
      <rPr>
        <b val="true"/>
        <sz val="9"/>
        <color rgb="FF000000"/>
        <rFont val="Arial"/>
        <family val="0"/>
        <charset val="1"/>
      </rPr>
      <t xml:space="preserve">Ficha (colunas E-J): </t>
    </r>
    <r>
      <rPr>
        <b val="true"/>
        <sz val="9"/>
        <color rgb="FF1F4E9A"/>
        <rFont val="Arial"/>
        <family val="0"/>
        <charset val="1"/>
      </rPr>
      <t xml:space="preserve">Marca: </t>
    </r>
    <r>
      <rPr>
        <sz val="9"/>
        <color rgb="FF1F4E9A"/>
        <rFont val="Arial"/>
        <family val="0"/>
        <charset val="1"/>
      </rPr>
      <t xml:space="preserve">Metroval (crítica) / Redlands, TSPRO, Toptech, Alutal, Ecoserv (campo e NFs). </t>
    </r>
    <r>
      <rPr>
        <b val="true"/>
        <sz val="9"/>
        <color rgb="FF00703C"/>
        <rFont val="Arial"/>
        <family val="0"/>
        <charset val="1"/>
      </rPr>
      <t xml:space="preserve">TAG/SAP: </t>
    </r>
    <r>
      <rPr>
        <sz val="9"/>
        <color rgb="FF00703C"/>
        <rFont val="Arial"/>
        <family val="0"/>
        <charset val="1"/>
      </rPr>
      <t xml:space="preserve">não consta na base SAP (seleção). </t>
    </r>
    <r>
      <rPr>
        <b val="true"/>
        <sz val="9"/>
        <color rgb="FF1F4E9A"/>
        <rFont val="Arial"/>
        <family val="0"/>
        <charset val="1"/>
      </rPr>
      <t xml:space="preserve">Fabricação: </t>
    </r>
    <r>
      <rPr>
        <sz val="9"/>
        <color rgb="FF1F4E9A"/>
        <rFont val="Arial"/>
        <family val="0"/>
        <charset val="1"/>
      </rPr>
      <t xml:space="preserve">2024. 
</t>
    </r>
    <r>
      <rPr>
        <b val="true"/>
        <sz val="9"/>
        <color rgb="FF000000"/>
        <rFont val="Arial"/>
        <family val="0"/>
        <charset val="1"/>
      </rPr>
      <t xml:space="preserve">Obs. (coluna T): </t>
    </r>
    <r>
      <rPr>
        <sz val="9"/>
        <color rgb="FF000000"/>
        <rFont val="Arial"/>
        <family val="0"/>
        <charset val="1"/>
      </rPr>
      <t xml:space="preserve">Só o 14d tem NF de valor exato (1551, mas de emitente diferente do fornecedor da crítica). A NF 41385 ("bottomload e topload") é a mais provável para 14a+14b, mas não separa os dois e excede a soma deles em R$ 690.801,61; 14c (vagões) não tem NF identificável. Falta o de-para NF × subitem (pedido M16). Nenhum documento liga os instrumentos lidos em campo (FT/FCV/SDV/XS/TE) a um ponto de carregamento. 
</t>
    </r>
    <r>
      <rPr>
        <b val="true"/>
        <sz val="9"/>
        <color rgb="FF002060"/>
        <rFont val="Arial"/>
        <family val="0"/>
        <charset val="1"/>
      </rPr>
      <t xml:space="preserve">Cotação OPE154: </t>
    </r>
    <r>
      <rPr>
        <sz val="9"/>
        <color rgb="FF002060"/>
        <rFont val="Arial"/>
        <family val="0"/>
        <charset val="1"/>
      </rPr>
      <t xml:space="preserve">Cotação METROVAL 230200112STM-SC-RevE, 30/08/2023 (revisões: inicial 15/06/2023; A 06/07; B 11/07 desconto; C 27/07 desconto; D 04/08 aumento de escopo; E 30/08 alteração de escopo), "Carregamento e descarga para os modais ferroviário e rodoviário": 1 conjunto de skids composto por (a) skid + plataforma top loading 2 posições (2 GC, 2 S10, 2 S500, 1 EH), (b) skid bottom loading 2 posições (mesmos 7 pontos, sem estrutura da plataforma), (c) skid de carregamento de vagões-tanque PL01 (B100, EA, B100, EA), (d) skid de descarga de caminhões-tanque com duas bombas, (e) um carregamento ferroviário; Finame 03204045; preço único R$ 8.992.832,34 (ICMS 7 %, PIS/COFINS 9,25 %, IPI 9,25 % inclusos; DIFAL não aplicado); faturamento direto em nome da Metroval (CNPJ 58.762.956/0001-00) e, pelas condições de pagamento 7.2, com "faturamento direto" de REDLANDS DO BRASIL, MKG, PHD MASTER e ECOSERV; prazo até 150 dias, entrega escalonada, CIF ULC Palmeirante; documentos-base MD-E037-BPA-GG-004_01 (CT carga), GG-006_01 (VT carga) e GG-003_01 (CT descarga); preços válidos para a proposta técnica 230200112STM-SC-RevB de 06/07/2023. Item 5 da proposta: preço "agressivo" do item 5.1 sem o preset Metroval (sem desenvolvimento de driver com a Automind) em troca de potencial de 28 sistemas (6 garantidos); a Ultracargo se propôs a comprar diretamente alguns equipamentos. 
</t>
    </r>
    <r>
      <rPr>
        <b val="true"/>
        <sz val="9"/>
        <color rgb="FF7030A0"/>
        <rFont val="Arial"/>
        <family val="0"/>
        <charset val="1"/>
      </rPr>
      <t xml:space="preserve">Novo v2 (achados / correções / proposições): </t>
    </r>
    <r>
      <rPr>
        <sz val="9"/>
        <color rgb="FF7030A0"/>
        <rFont val="Arial"/>
        <family val="0"/>
        <charset val="1"/>
      </rPr>
      <t xml:space="preserve">A cotação Metroval fecha exatamente com a linha 14 (R$ 8.992.832,34, Finame 03204045) e descreve os 5 subitens 14a-14e como na crítica. Achado-chave: a proposta prevê FATURAMENTO DIRETO pela Redlands, MKG, PHD Master e Ecoserv – o que explica as NFs desses quatro emitentes dentro da linha 14 do RT0538 (não são compras à parte). A TSPRO (braços ferroviários, NFs 7032 e 7488 = R$ 305.750,34) não está nessa lista: ou foi compra adicional da Ultracargo ou substituiu item Metroval; sem a TSPRO, as NFs do grupo somam R$ 8.767.569,06, abaixo do pacote (R$ 225.263,28). Com a TSPRO, excedem em R$ 80.487,06. Três NFs do grupo ficam identificadas pelo OPE154: 11642 Redlands = 21 escadas pantográficas (R$ 241.395,00 exatos); 110 Ecoserv = 32 monitores de aterramento (R$ 386.880,00 exatos); 142 Ecoserv = 4 amostradores KFW (R$ 100.000,00 exatos). A opção 5.1 (sem preset Metroval) explica os presets Toptech MultiLoad II vistos em campo. Proposição: pedir à Ultracargo o de-para NF × subitem (pedido M16) já com esta lista de faturamento direto; sem ele, a soma por subitem continua indeterminada. 
Subconjuntos: 14a, 14b, 14c, 14d, 14e e "14 (comp.)" – ver as células únicas próprias. </t>
    </r>
  </si>
  <si>
    <t xml:space="preserve">14a</t>
  </si>
  <si>
    <t xml:space="preserve">Skid + plataforma TOP LOADING (PLCCT – 2 posições, 7 pontos)</t>
  </si>
  <si>
    <r>
      <rPr>
        <b val="true"/>
        <sz val="9"/>
        <color rgb="FF000000"/>
        <rFont val="Arial"/>
        <family val="0"/>
        <charset val="1"/>
      </rPr>
      <t xml:space="preserve">Crítica: </t>
    </r>
    <r>
      <rPr>
        <sz val="9"/>
        <color rgb="FF000000"/>
        <rFont val="Arial"/>
        <family val="0"/>
        <charset val="1"/>
      </rPr>
      <t xml:space="preserve">Unidade de skid e uma plataforma para operações de carregamento de caminhões-tanque, plataforma inclusa, duas posições de estacionamento, braços TOP LOADING central e estrutura metálica da plataforma "pavimento superior": 02 pontos de entrega de gasolina C, 02 de diesel S10, 02 de diesel S500 e 01 de etanol hidratado – 1 un. × R$ 2.273.264,11 = R$ 2.273.264,11; fornecedor Metroval Controle de Fluídos Ltda.; Finame 03204045.NF: sem NF própria; provável NF 41385 (Metroval, 02/07/2024, "sistema de carregamento rodoviário bottomload e topload", R$ 4.881.799,51) junto com o 14b.SAP: não consta na base SAP (seleção).Projeto: DE-3100-5100-006: plataformas de carregamento PLCCT-01/PLCCT-02; LI-3100-6107: trole com trava-quedas PLCCT-01/02 (1,5 t), chuveiros H-3143 a 3145 "plataforma de carregamento rodoviário – top".</t>
    </r>
  </si>
  <si>
    <t xml:space="preserve">Metroval (skid) / Redlands (braços)</t>
  </si>
  <si>
    <t xml:space="preserve">braços Redlands CC3201408310 4"</t>
  </si>
  <si>
    <t xml:space="preserve">7 pontos (2 GC, 2 S10, 2 S500, 1 EH) – crítica</t>
  </si>
  <si>
    <t xml:space="preserve">braços nº 3632 a 3637</t>
  </si>
  <si>
    <t xml:space="preserve">Em campo: 6 braços superiores Redlands BR-3101 a BR-3106 (4", 2024, P.C. 11715/11716) – a crítica fala em 7 pontos; o 7º braço não foi identificado. Plataforma vista (ANP Fig. 97/98) e medidores tipo turbina e preset/overfill na ANP Fig. 106/108. Não há placa geral do skid. Redlands tem NFs próprias (11642 escada pantográfica, 11726) – os braços podem ter vindo por elas ou pela Metroval.</t>
  </si>
  <si>
    <t xml:space="preserve">0732-0768 | ANP Fig. 97, 98, 106, 108</t>
  </si>
  <si>
    <t xml:space="preserve">Cotação METROVAL 230200112STM-SC-RevE (30/08/2023), item (a): 1 unidade de skid e uma plataforma para carregamento de caminhões-tanque, plataforma inclusa, duas posições de estacionamento, braços TOP LOADING central e estrutura metálica da plataforma "pavimento superior"; 2 pontos gasolina C, 2 diesel S10, 2 diesel S500, 1 etanol hidratado; sem preço individual (preço único do conjunto R$ 8.992.832,34). Correlatos: cotação GRANVILLE 22/01/2024 – 40 troles manuais LEA 1,5 t, R$ 1.117,00/un. = R$ 44.680,00 (troles com trava-quedas das plataformas PLCCT-01/02 da LI-3100-6107); cotação REDLANDS 0760/24 Rev.01 (10/01/2024) – 21 escadas pantográficas PF-1604, 4 degraus, 150 kg, R$ 11.495,00/un. = R$ 241.395,00 (= NF 11642 Redlands, exata).</t>
  </si>
  <si>
    <t xml:space="preserve">Sem preço individual na cotação. Os 6 braços Redlands CC3201408310 lidos em campo (BR-3101 a 3106) não têm cotação própria no OPE154 (a Redlands só cotou escadas) – devem estar dentro do faturamento direto Redlands previsto pela Metroval (NFs 11642 e 11726) ou do fornecimento Metroval. O 7º ponto (etanol hidratado) continua sem braço identificado. Os 40 troles LEA 1,5 t (Granville) e as 21 escadas pantográficas PF-1604 (Redlands) são acessórios das plataformas: candidatos a "Outros Fixos" ou a componentes de 14a/14b – decisão de enquadramento para Rafael. Para o relatório fotográfico: vista geral da plataforma (ANP Fig. 97/98) + placas dos 6 braços.</t>
  </si>
  <si>
    <r>
      <rPr>
        <b val="true"/>
        <sz val="9"/>
        <color rgb="FF000000"/>
        <rFont val="Arial"/>
        <family val="0"/>
        <charset val="1"/>
      </rPr>
      <t xml:space="preserve">LINHA 14a – Skid + plataforma TOP LOADING (PLCCT – 2 posições, 7 pontos) [CONJUNTO]
Crítica: </t>
    </r>
    <r>
      <rPr>
        <sz val="9"/>
        <color rgb="FF000000"/>
        <rFont val="Arial"/>
        <family val="0"/>
        <charset val="1"/>
      </rPr>
      <t xml:space="preserve">Unidade de skid e uma plataforma para operações de carregamento de caminhões-tanque, plataforma inclusa, duas posições de estacionamento, braços TOP LOADING central e estrutura metálica da plataforma "pavimento superior": 02 pontos de entrega de gasolina C, 02 de diesel S10, 02 de diesel S500 e 01 de etanol hidratado – 1 un. × R$ 2.273.264,11 = R$ 2.273.264,11; fornecedor Metroval Controle de Fluídos Ltda.; Finame 03204045. </t>
    </r>
    <r>
      <rPr>
        <b val="true"/>
        <sz val="9"/>
        <color rgb="FFC00000"/>
        <rFont val="Arial"/>
        <family val="0"/>
        <charset val="1"/>
      </rPr>
      <t xml:space="preserve">NF: </t>
    </r>
    <r>
      <rPr>
        <sz val="9"/>
        <color rgb="FFC00000"/>
        <rFont val="Arial"/>
        <family val="0"/>
        <charset val="1"/>
      </rPr>
      <t xml:space="preserve">sem NF própria; provável NF 41385 (Metroval, 02/07/2024, "sistema de carregamento rodoviário bottomload e topload", R$ 4.881.799,51) junto com o 14b. </t>
    </r>
    <r>
      <rPr>
        <b val="true"/>
        <sz val="9"/>
        <color rgb="FF00703C"/>
        <rFont val="Arial"/>
        <family val="0"/>
        <charset val="1"/>
      </rPr>
      <t xml:space="preserve">SAP: </t>
    </r>
    <r>
      <rPr>
        <sz val="9"/>
        <color rgb="FF00703C"/>
        <rFont val="Arial"/>
        <family val="0"/>
        <charset val="1"/>
      </rPr>
      <t xml:space="preserve">não consta na base SAP (seleção). </t>
    </r>
    <r>
      <rPr>
        <b val="true"/>
        <sz val="9"/>
        <color rgb="FFB38600"/>
        <rFont val="Arial"/>
        <family val="0"/>
        <charset val="1"/>
      </rPr>
      <t xml:space="preserve">Projeto: </t>
    </r>
    <r>
      <rPr>
        <sz val="9"/>
        <color rgb="FFB38600"/>
        <rFont val="Arial"/>
        <family val="0"/>
        <charset val="1"/>
      </rPr>
      <t xml:space="preserve">DE-3100-5100-006: plataformas de carregamento PLCCT-01/PLCCT-02; LI-3100-6107: trole com trava-quedas PLCCT-01/02 (1,5 t), chuveiros H-3143 a 3145 "plataforma de carregamento rodoviário – top". </t>
    </r>
    <r>
      <rPr>
        <b val="true"/>
        <sz val="9"/>
        <color rgb="FF000000"/>
        <rFont val="Arial"/>
        <family val="0"/>
        <charset val="1"/>
      </rPr>
      <t xml:space="preserve">Crítica (colunas N-P): </t>
    </r>
    <r>
      <rPr>
        <sz val="9"/>
        <color rgb="FF000000"/>
        <rFont val="Arial"/>
        <family val="0"/>
        <charset val="1"/>
      </rPr>
      <t xml:space="preserve">qtd 1, unitário R$ 2.273.264,11, total R$ 2.273.264,11. 
</t>
    </r>
    <r>
      <rPr>
        <b val="true"/>
        <sz val="9"/>
        <color rgb="FF000000"/>
        <rFont val="Arial"/>
        <family val="0"/>
        <charset val="1"/>
      </rPr>
      <t xml:space="preserve">Ficha (colunas E-J): </t>
    </r>
    <r>
      <rPr>
        <b val="true"/>
        <sz val="9"/>
        <color rgb="FF1F4E9A"/>
        <rFont val="Arial"/>
        <family val="0"/>
        <charset val="1"/>
      </rPr>
      <t xml:space="preserve">Marca: </t>
    </r>
    <r>
      <rPr>
        <sz val="9"/>
        <color rgb="FF1F4E9A"/>
        <rFont val="Arial"/>
        <family val="0"/>
        <charset val="1"/>
      </rPr>
      <t xml:space="preserve">Metroval (skid) / Redlands (braços). </t>
    </r>
    <r>
      <rPr>
        <b val="true"/>
        <sz val="9"/>
        <color rgb="FF1F4E9A"/>
        <rFont val="Arial"/>
        <family val="0"/>
        <charset val="1"/>
      </rPr>
      <t xml:space="preserve">Modelo: </t>
    </r>
    <r>
      <rPr>
        <sz val="9"/>
        <color rgb="FF1F4E9A"/>
        <rFont val="Arial"/>
        <family val="0"/>
        <charset val="1"/>
      </rPr>
      <t xml:space="preserve">braços Redlands CC3201408310 4". </t>
    </r>
    <r>
      <rPr>
        <b val="true"/>
        <sz val="9"/>
        <color rgb="FF000000"/>
        <rFont val="Arial"/>
        <family val="0"/>
        <charset val="1"/>
      </rPr>
      <t xml:space="preserve">Capacidade: </t>
    </r>
    <r>
      <rPr>
        <sz val="9"/>
        <color rgb="FF000000"/>
        <rFont val="Arial"/>
        <family val="0"/>
        <charset val="1"/>
      </rPr>
      <t xml:space="preserve">7 pontos (2 GC, 2 S10, 2 S500, 1 EH) – crítica. </t>
    </r>
    <r>
      <rPr>
        <b val="true"/>
        <sz val="9"/>
        <color rgb="FF1F4E9A"/>
        <rFont val="Arial"/>
        <family val="0"/>
        <charset val="1"/>
      </rPr>
      <t xml:space="preserve">Série/OP: </t>
    </r>
    <r>
      <rPr>
        <sz val="9"/>
        <color rgb="FF1F4E9A"/>
        <rFont val="Arial"/>
        <family val="0"/>
        <charset val="1"/>
      </rPr>
      <t xml:space="preserve">braços nº 3632 a 3637. </t>
    </r>
    <r>
      <rPr>
        <b val="true"/>
        <sz val="9"/>
        <color rgb="FF00703C"/>
        <rFont val="Arial"/>
        <family val="0"/>
        <charset val="1"/>
      </rPr>
      <t xml:space="preserve">TAG/SAP: </t>
    </r>
    <r>
      <rPr>
        <strike val="true"/>
        <sz val="9"/>
        <color rgb="FF00703C"/>
        <rFont val="Arial"/>
        <family val="0"/>
        <charset val="1"/>
      </rPr>
      <t xml:space="preserve">não consta na base SAP (seleção)</t>
    </r>
    <r>
      <rPr>
        <sz val="9"/>
        <color rgb="FF00703C"/>
        <rFont val="Arial"/>
        <family val="0"/>
        <charset val="1"/>
      </rPr>
      <t xml:space="preserve">. </t>
    </r>
    <r>
      <rPr>
        <b val="true"/>
        <sz val="9"/>
        <color rgb="FF1F4E9A"/>
        <rFont val="Arial"/>
        <family val="0"/>
        <charset val="1"/>
      </rPr>
      <t xml:space="preserve">Fabricação: </t>
    </r>
    <r>
      <rPr>
        <sz val="9"/>
        <color rgb="FF1F4E9A"/>
        <rFont val="Arial"/>
        <family val="0"/>
        <charset val="1"/>
      </rPr>
      <t xml:space="preserve">2024. 
</t>
    </r>
    <r>
      <rPr>
        <b val="true"/>
        <sz val="9"/>
        <color rgb="FF000000"/>
        <rFont val="Arial"/>
        <family val="0"/>
        <charset val="1"/>
      </rPr>
      <t xml:space="preserve">Obs. (coluna T): </t>
    </r>
    <r>
      <rPr>
        <sz val="9"/>
        <color rgb="FF000000"/>
        <rFont val="Arial"/>
        <family val="0"/>
        <charset val="1"/>
      </rPr>
      <t xml:space="preserve">Em campo: 6 braços superiores Redlands BR-3101 a BR-3106 (4", 2024, P.C. 11715/11716) – a crítica fala em 7 pontos; o 7º braço não foi identificado. Plataforma vista (ANP Fig. 97/98) e medidores tipo turbina e preset/overfill na ANP Fig. 106/108. Não há placa geral do skid. Redlands tem NFs próprias (11642 escada pantográfica, 11726) – os braços podem ter vindo por elas ou pela Metroval. </t>
    </r>
    <r>
      <rPr>
        <b val="true"/>
        <sz val="9"/>
        <color rgb="FF000000"/>
        <rFont val="Arial"/>
        <family val="0"/>
        <charset val="1"/>
      </rPr>
      <t xml:space="preserve">Fotos (coluna U): </t>
    </r>
    <r>
      <rPr>
        <sz val="9"/>
        <color rgb="FF000000"/>
        <rFont val="Arial"/>
        <family val="0"/>
        <charset val="1"/>
      </rPr>
      <t xml:space="preserve">0732-0768 | ANP Fig. 97, 98, 106, 108. 
</t>
    </r>
    <r>
      <rPr>
        <b val="true"/>
        <sz val="9"/>
        <color rgb="FF002060"/>
        <rFont val="Arial"/>
        <family val="0"/>
        <charset val="1"/>
      </rPr>
      <t xml:space="preserve">Cotação OPE154: </t>
    </r>
    <r>
      <rPr>
        <sz val="9"/>
        <color rgb="FF002060"/>
        <rFont val="Arial"/>
        <family val="0"/>
        <charset val="1"/>
      </rPr>
      <t xml:space="preserve">Cotação METROVAL 230200112STM-SC-RevE (30/08/2023), item (a): 1 unidade de skid e uma plataforma para carregamento de caminhões-tanque, plataforma inclusa, duas posições de estacionamento, braços TOP LOADING central e estrutura metálica da plataforma "pavimento superior"; 2 pontos gasolina C, 2 diesel S10, 2 diesel S500, 1 etanol hidratado; sem preço individual (preço único do conjunto R$ 8.992.832,34). Correlatos: cotação GRANVILLE 22/01/2024 – 40 troles manuais LEA 1,5 t, R$ 1.117,00/un. = R$ 44.680,00 (troles com trava-quedas das plataformas PLCCT-01/02 da LI-3100-6107); cotação REDLANDS 0760/24 Rev.01 (10/01/2024) – 21 escadas pantográficas PF-1604, 4 degraus, 150 kg, R$ 11.495,00/un. = R$ 241.395,00 (= NF 11642 Redlands, exata). 
</t>
    </r>
    <r>
      <rPr>
        <b val="true"/>
        <sz val="9"/>
        <color rgb="FF7030A0"/>
        <rFont val="Arial"/>
        <family val="0"/>
        <charset val="1"/>
      </rPr>
      <t xml:space="preserve">Novo v2 (achados / correções / proposições): </t>
    </r>
    <r>
      <rPr>
        <sz val="9"/>
        <color rgb="FF7030A0"/>
        <rFont val="Arial"/>
        <family val="0"/>
        <charset val="1"/>
      </rPr>
      <t xml:space="preserve">Sem preço individual na cotação. Os 6 braços Redlands CC3201408310 lidos em campo (BR-3101 a 3106) não têm cotação própria no OPE154 (a Redlands só cotou escadas) – devem estar dentro do faturamento direto Redlands previsto pela Metroval (NFs 11642 e 11726) ou do fornecimento Metroval. O 7º ponto (etanol hidratado) continua sem braço identificado. Os 40 troles LEA 1,5 t (Granville) e as 21 escadas pantográficas PF-1604 (Redlands) são acessórios das plataformas: candidatos a "Outros Fixos" ou a componentes de 14a/14b – decisão de enquadramento para Rafael. Para o relatório fotográfico: vista geral da plataforma (ANP Fig. 97/98) + placas dos 6 braços. 
</t>
    </r>
    <r>
      <rPr>
        <b val="true"/>
        <sz val="9"/>
        <color rgb="FF000000"/>
        <rFont val="Arial"/>
        <family val="0"/>
        <charset val="1"/>
      </rPr>
      <t xml:space="preserve">COMPONENTES (6):
• BR-3101: </t>
    </r>
    <r>
      <rPr>
        <b val="true"/>
        <sz val="9"/>
        <color rgb="FF1F4E9A"/>
        <rFont val="Arial"/>
        <family val="0"/>
        <charset val="1"/>
      </rPr>
      <t xml:space="preserve">Placa/campo: </t>
    </r>
    <r>
      <rPr>
        <sz val="9"/>
        <color rgb="FF1F4E9A"/>
        <rFont val="Arial"/>
        <family val="0"/>
        <charset val="1"/>
      </rPr>
      <t xml:space="preserve">braço de carregamento superior Redlands </t>
    </r>
    <r>
      <rPr>
        <strike val="true"/>
        <sz val="9"/>
        <color rgb="FF1F4E9A"/>
        <rFont val="Arial"/>
        <family val="0"/>
        <charset val="1"/>
      </rPr>
      <t xml:space="preserve">CC3201408310</t>
    </r>
    <r>
      <rPr>
        <sz val="9"/>
        <color rgb="FF1F4E9A"/>
        <rFont val="Arial"/>
        <family val="0"/>
        <charset val="1"/>
      </rPr>
      <t xml:space="preserve">, Ø 4", nº 3632, </t>
    </r>
    <r>
      <rPr>
        <strike val="true"/>
        <sz val="9"/>
        <color rgb="FF1F4E9A"/>
        <rFont val="Arial"/>
        <family val="0"/>
        <charset val="1"/>
      </rPr>
      <t xml:space="preserve">P.C. 11715</t>
    </r>
    <r>
      <rPr>
        <sz val="9"/>
        <color rgb="FF1F4E9A"/>
        <rFont val="Arial"/>
        <family val="0"/>
        <charset val="1"/>
      </rPr>
      <t xml:space="preserve">, 2024. </t>
    </r>
    <r>
      <rPr>
        <b val="true"/>
        <sz val="9"/>
        <color rgb="FF000000"/>
        <rFont val="Arial"/>
        <family val="0"/>
        <charset val="1"/>
      </rPr>
      <t xml:space="preserve">Obs.: </t>
    </r>
    <r>
      <rPr>
        <sz val="9"/>
        <color rgb="FF000000"/>
        <rFont val="Arial"/>
        <family val="0"/>
        <charset val="1"/>
      </rPr>
      <t xml:space="preserve">Placa completa. Sem dado teórico individual; vínculo à linha 14a pela posição (top loading). </t>
    </r>
    <r>
      <rPr>
        <b val="true"/>
        <sz val="9"/>
        <color rgb="FF000000"/>
        <rFont val="Arial"/>
        <family val="0"/>
        <charset val="1"/>
      </rPr>
      <t xml:space="preserve">Fotos: </t>
    </r>
    <r>
      <rPr>
        <sz val="9"/>
        <color rgb="FF000000"/>
        <rFont val="Arial"/>
        <family val="0"/>
        <charset val="1"/>
      </rPr>
      <t xml:space="preserve">0732, 0733. </t>
    </r>
    <r>
      <rPr>
        <b val="true"/>
        <sz val="9"/>
        <color rgb="FF7030A0"/>
        <rFont val="Arial"/>
        <family val="0"/>
        <charset val="1"/>
      </rPr>
      <t xml:space="preserve">Novo v2: </t>
    </r>
    <r>
      <rPr>
        <sz val="9"/>
        <color rgb="FF7030A0"/>
        <rFont val="Arial"/>
        <family val="0"/>
        <charset val="1"/>
      </rPr>
      <t xml:space="preserve">Braços Redlands sem cotação própria no OPE154; Redlands aparece na lista de faturamento direto da Metroval (NFs 11642 = escadas; 11726 = "itens diversos", R$ 49.425,00 – candidata aos braços ou peças). 
</t>
    </r>
    <r>
      <rPr>
        <b val="true"/>
        <sz val="9"/>
        <color rgb="FF000000"/>
        <rFont val="Arial"/>
        <family val="0"/>
        <charset val="1"/>
      </rPr>
      <t xml:space="preserve">• BR-3102: </t>
    </r>
    <r>
      <rPr>
        <b val="true"/>
        <sz val="9"/>
        <color rgb="FF1F4E9A"/>
        <rFont val="Arial"/>
        <family val="0"/>
        <charset val="1"/>
      </rPr>
      <t xml:space="preserve">Placa/campo: </t>
    </r>
    <r>
      <rPr>
        <strike val="true"/>
        <sz val="9"/>
        <color rgb="FF1F4E9A"/>
        <rFont val="Arial"/>
        <family val="0"/>
        <charset val="1"/>
      </rPr>
      <t xml:space="preserve">braço de carregamento superior Redlands CC3201408310, Ø 4"</t>
    </r>
    <r>
      <rPr>
        <sz val="9"/>
        <color rgb="FF1F4E9A"/>
        <rFont val="Arial"/>
        <family val="0"/>
        <charset val="1"/>
      </rPr>
      <t xml:space="preserve">, nº 3633, </t>
    </r>
    <r>
      <rPr>
        <strike val="true"/>
        <sz val="9"/>
        <color rgb="FF1F4E9A"/>
        <rFont val="Arial"/>
        <family val="0"/>
        <charset val="1"/>
      </rPr>
      <t xml:space="preserve">P.C. 11715</t>
    </r>
    <r>
      <rPr>
        <sz val="9"/>
        <color rgb="FF1F4E9A"/>
        <rFont val="Arial"/>
        <family val="0"/>
        <charset val="1"/>
      </rPr>
      <t xml:space="preserve">, 2024. </t>
    </r>
    <r>
      <rPr>
        <b val="true"/>
        <sz val="9"/>
        <color rgb="FF000000"/>
        <rFont val="Arial"/>
        <family val="0"/>
        <charset val="1"/>
      </rPr>
      <t xml:space="preserve">Obs.: </t>
    </r>
    <r>
      <rPr>
        <strike val="true"/>
        <sz val="9"/>
        <color rgb="FF000000"/>
        <rFont val="Arial"/>
        <family val="0"/>
        <charset val="1"/>
      </rPr>
      <t xml:space="preserve">Placa completa. Sem dado teórico individual; vínculo à linha 14a pela posição (top loading).</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0738-0740. 
</t>
    </r>
    <r>
      <rPr>
        <b val="true"/>
        <sz val="9"/>
        <color rgb="FF000000"/>
        <rFont val="Arial"/>
        <family val="0"/>
        <charset val="1"/>
      </rPr>
      <t xml:space="preserve">• BR-3103: </t>
    </r>
    <r>
      <rPr>
        <b val="true"/>
        <sz val="9"/>
        <color rgb="FF1F4E9A"/>
        <rFont val="Arial"/>
        <family val="0"/>
        <charset val="1"/>
      </rPr>
      <t xml:space="preserve">Placa/campo: </t>
    </r>
    <r>
      <rPr>
        <strike val="true"/>
        <sz val="9"/>
        <color rgb="FF1F4E9A"/>
        <rFont val="Arial"/>
        <family val="0"/>
        <charset val="1"/>
      </rPr>
      <t xml:space="preserve">braço de carregamento superior Redlands CC3201408310, Ø 4"</t>
    </r>
    <r>
      <rPr>
        <sz val="9"/>
        <color rgb="FF1F4E9A"/>
        <rFont val="Arial"/>
        <family val="0"/>
        <charset val="1"/>
      </rPr>
      <t xml:space="preserve">, nº 3634, P.C. 11715 / 11716, 2024. </t>
    </r>
    <r>
      <rPr>
        <b val="true"/>
        <sz val="9"/>
        <color rgb="FF000000"/>
        <rFont val="Arial"/>
        <family val="0"/>
        <charset val="1"/>
      </rPr>
      <t xml:space="preserve">Obs.: </t>
    </r>
    <r>
      <rPr>
        <strike val="true"/>
        <sz val="9"/>
        <color rgb="FF000000"/>
        <rFont val="Arial"/>
        <family val="0"/>
        <charset val="1"/>
      </rPr>
      <t xml:space="preserve">Placa completa. Sem dado teórico individual; vínculo à linha 14a pela posição (top loading).</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0766-0768. 
</t>
    </r>
    <r>
      <rPr>
        <b val="true"/>
        <sz val="9"/>
        <color rgb="FF000000"/>
        <rFont val="Arial"/>
        <family val="0"/>
        <charset val="1"/>
      </rPr>
      <t xml:space="preserve">• BR-3104: </t>
    </r>
    <r>
      <rPr>
        <b val="true"/>
        <sz val="9"/>
        <color rgb="FF1F4E9A"/>
        <rFont val="Arial"/>
        <family val="0"/>
        <charset val="1"/>
      </rPr>
      <t xml:space="preserve">Placa/campo: </t>
    </r>
    <r>
      <rPr>
        <strike val="true"/>
        <sz val="9"/>
        <color rgb="FF1F4E9A"/>
        <rFont val="Arial"/>
        <family val="0"/>
        <charset val="1"/>
      </rPr>
      <t xml:space="preserve">braço de carregamento superior Redlands CC3201408310, Ø 4"</t>
    </r>
    <r>
      <rPr>
        <sz val="9"/>
        <color rgb="FF1F4E9A"/>
        <rFont val="Arial"/>
        <family val="0"/>
        <charset val="1"/>
      </rPr>
      <t xml:space="preserve">, nº 3635, </t>
    </r>
    <r>
      <rPr>
        <strike val="true"/>
        <sz val="9"/>
        <color rgb="FF1F4E9A"/>
        <rFont val="Arial"/>
        <family val="0"/>
        <charset val="1"/>
      </rPr>
      <t xml:space="preserve">P.C. 11715</t>
    </r>
    <r>
      <rPr>
        <sz val="9"/>
        <color rgb="FF1F4E9A"/>
        <rFont val="Arial"/>
        <family val="0"/>
        <charset val="1"/>
      </rPr>
      <t xml:space="preserve">, 2024. </t>
    </r>
    <r>
      <rPr>
        <b val="true"/>
        <sz val="9"/>
        <color rgb="FF000000"/>
        <rFont val="Arial"/>
        <family val="0"/>
        <charset val="1"/>
      </rPr>
      <t xml:space="preserve">Obs.: </t>
    </r>
    <r>
      <rPr>
        <strike val="true"/>
        <sz val="9"/>
        <color rgb="FF000000"/>
        <rFont val="Arial"/>
        <family val="0"/>
        <charset val="1"/>
      </rPr>
      <t xml:space="preserve">Placa completa. Sem dado teórico individual; vínculo à linha 14a pela posição (top loading).</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0764. 
</t>
    </r>
    <r>
      <rPr>
        <b val="true"/>
        <sz val="9"/>
        <color rgb="FF000000"/>
        <rFont val="Arial"/>
        <family val="0"/>
        <charset val="1"/>
      </rPr>
      <t xml:space="preserve">• BR-3105: </t>
    </r>
    <r>
      <rPr>
        <b val="true"/>
        <sz val="9"/>
        <color rgb="FF1F4E9A"/>
        <rFont val="Arial"/>
        <family val="0"/>
        <charset val="1"/>
      </rPr>
      <t xml:space="preserve">Placa/campo: </t>
    </r>
    <r>
      <rPr>
        <strike val="true"/>
        <sz val="9"/>
        <color rgb="FF1F4E9A"/>
        <rFont val="Arial"/>
        <family val="0"/>
        <charset val="1"/>
      </rPr>
      <t xml:space="preserve">braço de carregamento superior Redlands CC3201408310, Ø 4"</t>
    </r>
    <r>
      <rPr>
        <sz val="9"/>
        <color rgb="FF1F4E9A"/>
        <rFont val="Arial"/>
        <family val="0"/>
        <charset val="1"/>
      </rPr>
      <t xml:space="preserve">, nº 3636, </t>
    </r>
    <r>
      <rPr>
        <strike val="true"/>
        <sz val="9"/>
        <color rgb="FF1F4E9A"/>
        <rFont val="Arial"/>
        <family val="0"/>
        <charset val="1"/>
      </rPr>
      <t xml:space="preserve">P.C. 11715 / 11716</t>
    </r>
    <r>
      <rPr>
        <sz val="9"/>
        <color rgb="FF1F4E9A"/>
        <rFont val="Arial"/>
        <family val="0"/>
        <charset val="1"/>
      </rPr>
      <t xml:space="preserve">, 2024. </t>
    </r>
    <r>
      <rPr>
        <b val="true"/>
        <sz val="9"/>
        <color rgb="FF000000"/>
        <rFont val="Arial"/>
        <family val="0"/>
        <charset val="1"/>
      </rPr>
      <t xml:space="preserve">Obs.: </t>
    </r>
    <r>
      <rPr>
        <strike val="true"/>
        <sz val="9"/>
        <color rgb="FF000000"/>
        <rFont val="Arial"/>
        <family val="0"/>
        <charset val="1"/>
      </rPr>
      <t xml:space="preserve">Placa completa. Sem dado teórico individual; vínculo à linha 14a pela posição (top loading).</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0759, 0761, 0762. 
</t>
    </r>
    <r>
      <rPr>
        <b val="true"/>
        <sz val="9"/>
        <color rgb="FF000000"/>
        <rFont val="Arial"/>
        <family val="0"/>
        <charset val="1"/>
      </rPr>
      <t xml:space="preserve">• BR-3106: </t>
    </r>
    <r>
      <rPr>
        <b val="true"/>
        <sz val="9"/>
        <color rgb="FF1F4E9A"/>
        <rFont val="Arial"/>
        <family val="0"/>
        <charset val="1"/>
      </rPr>
      <t xml:space="preserve">Placa/campo: </t>
    </r>
    <r>
      <rPr>
        <strike val="true"/>
        <sz val="9"/>
        <color rgb="FF1F4E9A"/>
        <rFont val="Arial"/>
        <family val="0"/>
        <charset val="1"/>
      </rPr>
      <t xml:space="preserve">braço de carregamento superior Redlands CC3201408310, Ø 4"</t>
    </r>
    <r>
      <rPr>
        <sz val="9"/>
        <color rgb="FF1F4E9A"/>
        <rFont val="Arial"/>
        <family val="0"/>
        <charset val="1"/>
      </rPr>
      <t xml:space="preserve">, nº 3637, </t>
    </r>
    <r>
      <rPr>
        <strike val="true"/>
        <sz val="9"/>
        <color rgb="FF1F4E9A"/>
        <rFont val="Arial"/>
        <family val="0"/>
        <charset val="1"/>
      </rPr>
      <t xml:space="preserve">P.C. 11715</t>
    </r>
    <r>
      <rPr>
        <sz val="9"/>
        <color rgb="FF1F4E9A"/>
        <rFont val="Arial"/>
        <family val="0"/>
        <charset val="1"/>
      </rPr>
      <t xml:space="preserve">, 2024. </t>
    </r>
    <r>
      <rPr>
        <b val="true"/>
        <sz val="9"/>
        <color rgb="FF000000"/>
        <rFont val="Arial"/>
        <family val="0"/>
        <charset val="1"/>
      </rPr>
      <t xml:space="preserve">Obs.: </t>
    </r>
    <r>
      <rPr>
        <strike val="true"/>
        <sz val="9"/>
        <color rgb="FF000000"/>
        <rFont val="Arial"/>
        <family val="0"/>
        <charset val="1"/>
      </rPr>
      <t xml:space="preserve">Placa completa. Sem dado teórico individual; vínculo à linha 14a pela posição (top loading).</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0751-0754. </t>
    </r>
  </si>
  <si>
    <t xml:space="preserve">BR-3101</t>
  </si>
  <si>
    <r>
      <rPr>
        <b val="true"/>
        <sz val="9"/>
        <color rgb="FF1F4E9A"/>
        <rFont val="Arial"/>
        <family val="0"/>
        <charset val="1"/>
      </rPr>
      <t xml:space="preserve">Placa/campo: </t>
    </r>
    <r>
      <rPr>
        <sz val="9"/>
        <color rgb="FF1F4E9A"/>
        <rFont val="Arial"/>
        <family val="0"/>
        <charset val="1"/>
      </rPr>
      <t xml:space="preserve">braço de carregamento superior Redlands CC3201408310, Ø 4", nº 3632, P.C. 11715, 2024.</t>
    </r>
  </si>
  <si>
    <t xml:space="preserve">Redlands</t>
  </si>
  <si>
    <t xml:space="preserve">CC3201408310</t>
  </si>
  <si>
    <t xml:space="preserve">Ø 4"</t>
  </si>
  <si>
    <t xml:space="preserve">nº 3632</t>
  </si>
  <si>
    <t xml:space="preserve">Placa completa. Sem dado teórico individual; vínculo à linha 14a pela posição (top loading).</t>
  </si>
  <si>
    <t xml:space="preserve">0732, 0733</t>
  </si>
  <si>
    <t xml:space="preserve">Braços Redlands sem cotação própria no OPE154; Redlands aparece na lista de faturamento direto da Metroval (NFs 11642 = escadas; 11726 = "itens diversos", R$ 49.425,00 – candidata aos braços ou peças).</t>
  </si>
  <si>
    <t xml:space="preserve">BR-3102</t>
  </si>
  <si>
    <r>
      <rPr>
        <b val="true"/>
        <sz val="9"/>
        <color rgb="FF1F4E9A"/>
        <rFont val="Arial"/>
        <family val="0"/>
        <charset val="1"/>
      </rPr>
      <t xml:space="preserve">Placa/campo: </t>
    </r>
    <r>
      <rPr>
        <sz val="9"/>
        <color rgb="FF1F4E9A"/>
        <rFont val="Arial"/>
        <family val="0"/>
        <charset val="1"/>
      </rPr>
      <t xml:space="preserve">braço de carregamento superior Redlands CC3201408310, Ø 4", nº 3633, P.C. 11715, 2024.</t>
    </r>
  </si>
  <si>
    <t xml:space="preserve">nº 3633</t>
  </si>
  <si>
    <t xml:space="preserve">0738-0740</t>
  </si>
  <si>
    <t xml:space="preserve">BR-3103</t>
  </si>
  <si>
    <r>
      <rPr>
        <b val="true"/>
        <sz val="9"/>
        <color rgb="FF1F4E9A"/>
        <rFont val="Arial"/>
        <family val="0"/>
        <charset val="1"/>
      </rPr>
      <t xml:space="preserve">Placa/campo: </t>
    </r>
    <r>
      <rPr>
        <sz val="9"/>
        <color rgb="FF1F4E9A"/>
        <rFont val="Arial"/>
        <family val="0"/>
        <charset val="1"/>
      </rPr>
      <t xml:space="preserve">braço de carregamento superior Redlands CC3201408310, Ø 4", nº 3634, P.C. 11715 / 11716, 2024.</t>
    </r>
  </si>
  <si>
    <t xml:space="preserve">nº 3634</t>
  </si>
  <si>
    <t xml:space="preserve">0766-0768</t>
  </si>
  <si>
    <t xml:space="preserve">BR-3104</t>
  </si>
  <si>
    <r>
      <rPr>
        <b val="true"/>
        <sz val="9"/>
        <color rgb="FF1F4E9A"/>
        <rFont val="Arial"/>
        <family val="0"/>
        <charset val="1"/>
      </rPr>
      <t xml:space="preserve">Placa/campo: </t>
    </r>
    <r>
      <rPr>
        <sz val="9"/>
        <color rgb="FF1F4E9A"/>
        <rFont val="Arial"/>
        <family val="0"/>
        <charset val="1"/>
      </rPr>
      <t xml:space="preserve">braço de carregamento superior Redlands CC3201408310, Ø 4", nº 3635, P.C. 11715, 2024.</t>
    </r>
  </si>
  <si>
    <t xml:space="preserve">nº 3635</t>
  </si>
  <si>
    <t xml:space="preserve">0764</t>
  </si>
  <si>
    <t xml:space="preserve">BR-3105</t>
  </si>
  <si>
    <r>
      <rPr>
        <b val="true"/>
        <sz val="9"/>
        <color rgb="FF1F4E9A"/>
        <rFont val="Arial"/>
        <family val="0"/>
        <charset val="1"/>
      </rPr>
      <t xml:space="preserve">Placa/campo: </t>
    </r>
    <r>
      <rPr>
        <sz val="9"/>
        <color rgb="FF1F4E9A"/>
        <rFont val="Arial"/>
        <family val="0"/>
        <charset val="1"/>
      </rPr>
      <t xml:space="preserve">braço de carregamento superior Redlands CC3201408310, Ø 4", nº 3636, P.C. 11715 / 11716, 2024.</t>
    </r>
  </si>
  <si>
    <t xml:space="preserve">nº 3636</t>
  </si>
  <si>
    <t xml:space="preserve">0759, 0761, 0762</t>
  </si>
  <si>
    <t xml:space="preserve">BR-3106</t>
  </si>
  <si>
    <r>
      <rPr>
        <b val="true"/>
        <sz val="9"/>
        <color rgb="FF1F4E9A"/>
        <rFont val="Arial"/>
        <family val="0"/>
        <charset val="1"/>
      </rPr>
      <t xml:space="preserve">Placa/campo: </t>
    </r>
    <r>
      <rPr>
        <sz val="9"/>
        <color rgb="FF1F4E9A"/>
        <rFont val="Arial"/>
        <family val="0"/>
        <charset val="1"/>
      </rPr>
      <t xml:space="preserve">braço de carregamento superior Redlands CC3201408310, Ø 4", nº 3637, P.C. 11715, 2024.</t>
    </r>
  </si>
  <si>
    <t xml:space="preserve">nº 3637</t>
  </si>
  <si>
    <t xml:space="preserve">0751-0754</t>
  </si>
  <si>
    <t xml:space="preserve">14b</t>
  </si>
  <si>
    <t xml:space="preserve">Unidade BOTTOM LOADING (2 posições, 7 pontos)</t>
  </si>
  <si>
    <r>
      <rPr>
        <b val="true"/>
        <sz val="9"/>
        <color rgb="FF000000"/>
        <rFont val="Arial"/>
        <family val="0"/>
        <charset val="1"/>
      </rPr>
      <t xml:space="preserve">Crítica: </t>
    </r>
    <r>
      <rPr>
        <sz val="9"/>
        <color rgb="FF000000"/>
        <rFont val="Arial"/>
        <family val="0"/>
        <charset val="1"/>
      </rPr>
      <t xml:space="preserve">Unidade para operações de carregamento de caminhões-tanque, duas posições de estacionamento, braços BOTTOM LOADING central: 02 pontos de entrega de gasolina C, 02 de diesel S10, 02 de diesel S500 e 01 de etanol hidratado – 1 un. × R$ 1.917.733,79 = R$ 1.917.733,79; fornecedor Metroval Controle de Fluídos Ltda.; Finame 03204045.NF: sem NF própria; provável NF 41385 (Metroval) junto com o 14a.SAP: não consta na base SAP (seleção).Projeto: LI-3100-6107: chuveiros/lava-olhos e trole "plataforma bottom / carregamento rodoviário – bottom" (confirma a existência das posições bottom no projeto).</t>
    </r>
  </si>
  <si>
    <t xml:space="preserve">Metroval / Toptech (presets)</t>
  </si>
  <si>
    <t xml:space="preserve">presets Toptech MultiLoad II Ex / EXL</t>
  </si>
  <si>
    <t xml:space="preserve">Em campo só os presets BOTTOM-3107/3108 (Toptech MultiLoad II Ex) e um preset sem TAG (MultiLoad II EXL, lote 3) foram caracterizados, sem nº de série. Os 7 braços de bottom loading (acoplador API, braço de vapor) NÃO foram caracterizados. Parte dos FT/FCV da seção "componentes sem vínculo" pode pertencer a esta unidade.</t>
  </si>
  <si>
    <t xml:space="preserve">0475, 0476, 0990-0991</t>
  </si>
  <si>
    <t xml:space="preserve">Cotação METROVAL 230200112STM-SC-RevE (30/08/2023), item (b): 1 unidade de skid para carregamento de caminhões-tanque, duas posições de estacionamento, braços BOTTOM LOADING central, estrutura metálica da plataforma "pavimento superior" exclusa; 2 GC, 2 S10, 2 S500, 1 EH; sem preço individual. Correlato: cotação ECOSERV 036/24 (09/02/2024) – 32 monitores de aterramento completos (cabo espiralado e garra), R$ 12.090,00/un. = R$ 386.880,00 (= NF 110 Ecoserv, exata; ICMS 4 %, IPI 0 %).</t>
  </si>
  <si>
    <t xml:space="preserve">Sem preço individual. Os monitores de aterramento Ecoserv (32 un., NF 110) correspondem ao equipamento "Protecao de transbordamento e aterramento – KFW SLA-S-Y" lido em campo (XS-3103A, 3104, 3104B, 3107A/B, 3108A, 31209, 31211, 31212 = 9 lidos de 32 comprados); parte deles pertence a esta unidade bottom loading. Os 7 braços de bottom loading (acoplador API) seguem sem caracterização – pendência de campo.</t>
  </si>
  <si>
    <r>
      <rPr>
        <b val="true"/>
        <sz val="9"/>
        <color rgb="FF000000"/>
        <rFont val="Arial"/>
        <family val="0"/>
        <charset val="1"/>
      </rPr>
      <t xml:space="preserve">LINHA 14b – Unidade BOTTOM LOADING (2 posições, 7 pontos) [CONJUNTO]
Crítica: </t>
    </r>
    <r>
      <rPr>
        <sz val="9"/>
        <color rgb="FF000000"/>
        <rFont val="Arial"/>
        <family val="0"/>
        <charset val="1"/>
      </rPr>
      <t xml:space="preserve">Unidade para operações de carregamento de caminhões-tanque, duas posições de estacionamento, braços BOTTOM LOADING central: 02 pontos de entrega de gasolina C, 02 de diesel S10, 02 de diesel S500 e 01 de etanol hidratado – 1 un. × R$ 1.917.733,79 = R$ 1.917.733,79; fornecedor Metroval Controle de Fluídos Ltda.; Finame 03204045. </t>
    </r>
    <r>
      <rPr>
        <b val="true"/>
        <sz val="9"/>
        <color rgb="FFC00000"/>
        <rFont val="Arial"/>
        <family val="0"/>
        <charset val="1"/>
      </rPr>
      <t xml:space="preserve">NF: </t>
    </r>
    <r>
      <rPr>
        <sz val="9"/>
        <color rgb="FFC00000"/>
        <rFont val="Arial"/>
        <family val="0"/>
        <charset val="1"/>
      </rPr>
      <t xml:space="preserve">sem NF própria; provável NF 41385 (Metroval) junto com o 14a. </t>
    </r>
    <r>
      <rPr>
        <b val="true"/>
        <sz val="9"/>
        <color rgb="FF00703C"/>
        <rFont val="Arial"/>
        <family val="0"/>
        <charset val="1"/>
      </rPr>
      <t xml:space="preserve">SAP: </t>
    </r>
    <r>
      <rPr>
        <sz val="9"/>
        <color rgb="FF00703C"/>
        <rFont val="Arial"/>
        <family val="0"/>
        <charset val="1"/>
      </rPr>
      <t xml:space="preserve">não consta na base SAP (seleção). </t>
    </r>
    <r>
      <rPr>
        <b val="true"/>
        <sz val="9"/>
        <color rgb="FFB38600"/>
        <rFont val="Arial"/>
        <family val="0"/>
        <charset val="1"/>
      </rPr>
      <t xml:space="preserve">Projeto: </t>
    </r>
    <r>
      <rPr>
        <sz val="9"/>
        <color rgb="FFB38600"/>
        <rFont val="Arial"/>
        <family val="0"/>
        <charset val="1"/>
      </rPr>
      <t xml:space="preserve">LI-3100-6107: chuveiros/lava-olhos e trole "plataforma bottom / carregamento rodoviário – bottom" (confirma a existência das posições bottom no projeto). </t>
    </r>
    <r>
      <rPr>
        <b val="true"/>
        <sz val="9"/>
        <color rgb="FF000000"/>
        <rFont val="Arial"/>
        <family val="0"/>
        <charset val="1"/>
      </rPr>
      <t xml:space="preserve">Crítica (colunas N-P): </t>
    </r>
    <r>
      <rPr>
        <sz val="9"/>
        <color rgb="FF000000"/>
        <rFont val="Arial"/>
        <family val="0"/>
        <charset val="1"/>
      </rPr>
      <t xml:space="preserve">qtd 1, unitário R$ 1.917.733,79, total R$ 1.917.733,79. 
</t>
    </r>
    <r>
      <rPr>
        <b val="true"/>
        <sz val="9"/>
        <color rgb="FF000000"/>
        <rFont val="Arial"/>
        <family val="0"/>
        <charset val="1"/>
      </rPr>
      <t xml:space="preserve">Ficha (colunas E-J): </t>
    </r>
    <r>
      <rPr>
        <b val="true"/>
        <sz val="9"/>
        <color rgb="FF1F4E9A"/>
        <rFont val="Arial"/>
        <family val="0"/>
        <charset val="1"/>
      </rPr>
      <t xml:space="preserve">Marca: </t>
    </r>
    <r>
      <rPr>
        <sz val="9"/>
        <color rgb="FF1F4E9A"/>
        <rFont val="Arial"/>
        <family val="0"/>
        <charset val="1"/>
      </rPr>
      <t xml:space="preserve">Metroval / Toptech (presets). </t>
    </r>
    <r>
      <rPr>
        <b val="true"/>
        <sz val="9"/>
        <color rgb="FF1F4E9A"/>
        <rFont val="Arial"/>
        <family val="0"/>
        <charset val="1"/>
      </rPr>
      <t xml:space="preserve">Modelo: </t>
    </r>
    <r>
      <rPr>
        <sz val="9"/>
        <color rgb="FF1F4E9A"/>
        <rFont val="Arial"/>
        <family val="0"/>
        <charset val="1"/>
      </rPr>
      <t xml:space="preserve">presets Toptech MultiLoad II Ex / EXL. </t>
    </r>
    <r>
      <rPr>
        <b val="true"/>
        <sz val="9"/>
        <color rgb="FF000000"/>
        <rFont val="Arial"/>
        <family val="0"/>
        <charset val="1"/>
      </rPr>
      <t xml:space="preserve">Capacidade: </t>
    </r>
    <r>
      <rPr>
        <sz val="9"/>
        <color rgb="FF000000"/>
        <rFont val="Arial"/>
        <family val="0"/>
        <charset val="1"/>
      </rPr>
      <t xml:space="preserve">7 pontos (2 GC, 2 S10, 2 S500, 1 EH) – crítica. </t>
    </r>
    <r>
      <rPr>
        <b val="true"/>
        <sz val="9"/>
        <color rgb="FF1F4E9A"/>
        <rFont val="Arial"/>
        <family val="0"/>
        <charset val="1"/>
      </rPr>
      <t xml:space="preserve">Série/OP: </t>
    </r>
    <r>
      <rPr>
        <sz val="9"/>
        <color rgb="FF1F4E9A"/>
        <rFont val="Arial"/>
        <family val="0"/>
        <charset val="1"/>
      </rPr>
      <t xml:space="preserve">não lido. </t>
    </r>
    <r>
      <rPr>
        <b val="true"/>
        <sz val="9"/>
        <color rgb="FF00703C"/>
        <rFont val="Arial"/>
        <family val="0"/>
        <charset val="1"/>
      </rPr>
      <t xml:space="preserve">TAG/SAP: </t>
    </r>
    <r>
      <rPr>
        <strike val="true"/>
        <sz val="9"/>
        <color rgb="FF00703C"/>
        <rFont val="Arial"/>
        <family val="0"/>
        <charset val="1"/>
      </rPr>
      <t xml:space="preserve">não consta na base SAP (seleção)</t>
    </r>
    <r>
      <rPr>
        <sz val="9"/>
        <color rgb="FF00703C"/>
        <rFont val="Arial"/>
        <family val="0"/>
        <charset val="1"/>
      </rPr>
      <t xml:space="preserve">. </t>
    </r>
    <r>
      <rPr>
        <b val="true"/>
        <sz val="9"/>
        <color rgb="FF1F4E9A"/>
        <rFont val="Arial"/>
        <family val="0"/>
        <charset val="1"/>
      </rPr>
      <t xml:space="preserve">Fabricação: </t>
    </r>
    <r>
      <rPr>
        <strike val="true"/>
        <sz val="9"/>
        <color rgb="FF1F4E9A"/>
        <rFont val="Arial"/>
        <family val="0"/>
        <charset val="1"/>
      </rPr>
      <t xml:space="preserve">não lido</t>
    </r>
    <r>
      <rPr>
        <sz val="9"/>
        <color rgb="FF1F4E9A"/>
        <rFont val="Arial"/>
        <family val="0"/>
        <charset val="1"/>
      </rPr>
      <t xml:space="preserve">. 
</t>
    </r>
    <r>
      <rPr>
        <b val="true"/>
        <sz val="9"/>
        <color rgb="FF000000"/>
        <rFont val="Arial"/>
        <family val="0"/>
        <charset val="1"/>
      </rPr>
      <t xml:space="preserve">Obs. (coluna T): </t>
    </r>
    <r>
      <rPr>
        <sz val="9"/>
        <color rgb="FF000000"/>
        <rFont val="Arial"/>
        <family val="0"/>
        <charset val="1"/>
      </rPr>
      <t xml:space="preserve">Em campo só os presets BOTTOM-3107/3108 (Toptech </t>
    </r>
    <r>
      <rPr>
        <strike val="true"/>
        <sz val="9"/>
        <color rgb="FF000000"/>
        <rFont val="Arial"/>
        <family val="0"/>
        <charset val="1"/>
      </rPr>
      <t xml:space="preserve">MultiLoad II Ex</t>
    </r>
    <r>
      <rPr>
        <sz val="9"/>
        <color rgb="FF000000"/>
        <rFont val="Arial"/>
        <family val="0"/>
        <charset val="1"/>
      </rPr>
      <t xml:space="preserve">) e um preset sem TAG (MultiLoad II EXL, lote 3) foram caracterizados, sem nº de série. Os 7 braços de bottom loading (acoplador API, braço de vapor) NÃO foram caracterizados. Parte dos FT/FCV da seção "componentes sem vínculo" pode pertencer a esta unidade. </t>
    </r>
    <r>
      <rPr>
        <b val="true"/>
        <sz val="9"/>
        <color rgb="FF000000"/>
        <rFont val="Arial"/>
        <family val="0"/>
        <charset val="1"/>
      </rPr>
      <t xml:space="preserve">Fotos (coluna U): </t>
    </r>
    <r>
      <rPr>
        <sz val="9"/>
        <color rgb="FF000000"/>
        <rFont val="Arial"/>
        <family val="0"/>
        <charset val="1"/>
      </rPr>
      <t xml:space="preserve">0475, 0476, 0990-0991. 
</t>
    </r>
    <r>
      <rPr>
        <b val="true"/>
        <sz val="9"/>
        <color rgb="FF002060"/>
        <rFont val="Arial"/>
        <family val="0"/>
        <charset val="1"/>
      </rPr>
      <t xml:space="preserve">Cotação OPE154: </t>
    </r>
    <r>
      <rPr>
        <sz val="9"/>
        <color rgb="FF002060"/>
        <rFont val="Arial"/>
        <family val="0"/>
        <charset val="1"/>
      </rPr>
      <t xml:space="preserve">Cotação METROVAL 230200112STM-SC-RevE (30/08/2023), item (b): 1 unidade de skid para carregamento de caminhões-tanque, duas posições de estacionamento, braços BOTTOM LOADING central, estrutura metálica da plataforma "pavimento superior" exclusa; 2 GC, 2 S10, 2 S500, 1 EH; sem preço individual. Correlato: cotação ECOSERV 036/24 (09/02/2024) – 32 monitores de aterramento completos (cabo espiralado e garra), R$ 12.090,00/un. = R$ 386.880,00 (= NF 110 Ecoserv, exata; ICMS 4 %, IPI 0 %). 
</t>
    </r>
    <r>
      <rPr>
        <b val="true"/>
        <sz val="9"/>
        <color rgb="FF7030A0"/>
        <rFont val="Arial"/>
        <family val="0"/>
        <charset val="1"/>
      </rPr>
      <t xml:space="preserve">Novo v2 (achados / correções / proposições): </t>
    </r>
    <r>
      <rPr>
        <sz val="9"/>
        <color rgb="FF7030A0"/>
        <rFont val="Arial"/>
        <family val="0"/>
        <charset val="1"/>
      </rPr>
      <t xml:space="preserve">Sem preço individual. Os monitores de aterramento Ecoserv (32 un., NF 110) correspondem ao equipamento "Protecao de transbordamento e aterramento – KFW SLA-S-Y" lido em campo (XS-3103A, 3104, 3104B, 3107A/B, 3108A, 31209, 31211, 31212 = 9 lidos de 32 comprados); parte deles pertence a esta unidade bottom loading. Os 7 braços de bottom loading (acoplador API) seguem sem caracterização – pendência de campo. 
</t>
    </r>
    <r>
      <rPr>
        <b val="true"/>
        <sz val="9"/>
        <color rgb="FF000000"/>
        <rFont val="Arial"/>
        <family val="0"/>
        <charset val="1"/>
      </rPr>
      <t xml:space="preserve">COMPONENTES (3):
• BOTTOM-3107: </t>
    </r>
    <r>
      <rPr>
        <b val="true"/>
        <sz val="9"/>
        <color rgb="FF1F4E9A"/>
        <rFont val="Arial"/>
        <family val="0"/>
        <charset val="1"/>
      </rPr>
      <t xml:space="preserve">Placa/campo: </t>
    </r>
    <r>
      <rPr>
        <sz val="9"/>
        <color rgb="FF1F4E9A"/>
        <rFont val="Arial"/>
        <family val="0"/>
        <charset val="1"/>
      </rPr>
      <t xml:space="preserve">Computador de vazao (presset A) – TOPTECH, </t>
    </r>
    <r>
      <rPr>
        <strike val="true"/>
        <sz val="9"/>
        <color rgb="FF1F4E9A"/>
        <rFont val="Arial"/>
        <family val="0"/>
        <charset val="1"/>
      </rPr>
      <t xml:space="preserve">MultiLoad II Ex</t>
    </r>
    <r>
      <rPr>
        <sz val="9"/>
        <color rgb="FF1F4E9A"/>
        <rFont val="Arial"/>
        <family val="0"/>
        <charset val="1"/>
      </rPr>
      <t xml:space="preserve">, Carregamento rodoviario. </t>
    </r>
    <r>
      <rPr>
        <b val="true"/>
        <sz val="9"/>
        <color rgb="FF000000"/>
        <rFont val="Arial"/>
        <family val="0"/>
        <charset val="1"/>
      </rPr>
      <t xml:space="preserve">Obs.: </t>
    </r>
    <r>
      <rPr>
        <sz val="9"/>
        <color rgb="FF000000"/>
        <rFont val="Arial"/>
        <family val="0"/>
        <charset val="1"/>
      </rPr>
      <t xml:space="preserve">Sem dado teórico individual. Pendente/ilegível: no de serie, ano. </t>
    </r>
    <r>
      <rPr>
        <b val="true"/>
        <sz val="9"/>
        <color rgb="FF000000"/>
        <rFont val="Arial"/>
        <family val="0"/>
        <charset val="1"/>
      </rPr>
      <t xml:space="preserve">Fotos: </t>
    </r>
    <r>
      <rPr>
        <sz val="9"/>
        <color rgb="FF000000"/>
        <rFont val="Arial"/>
        <family val="0"/>
        <charset val="1"/>
      </rPr>
      <t xml:space="preserve">0475. 
</t>
    </r>
    <r>
      <rPr>
        <b val="true"/>
        <sz val="9"/>
        <color rgb="FF000000"/>
        <rFont val="Arial"/>
        <family val="0"/>
        <charset val="1"/>
      </rPr>
      <t xml:space="preserve">• BOTTOM-3108: </t>
    </r>
    <r>
      <rPr>
        <b val="true"/>
        <sz val="9"/>
        <color rgb="FF1F4E9A"/>
        <rFont val="Arial"/>
        <family val="0"/>
        <charset val="1"/>
      </rPr>
      <t xml:space="preserve">Placa/campo: </t>
    </r>
    <r>
      <rPr>
        <sz val="9"/>
        <color rgb="FF1F4E9A"/>
        <rFont val="Arial"/>
        <family val="0"/>
        <charset val="1"/>
      </rPr>
      <t xml:space="preserve">Computador de vazao (presset B) – TOPTECH, </t>
    </r>
    <r>
      <rPr>
        <strike val="true"/>
        <sz val="9"/>
        <color rgb="FF1F4E9A"/>
        <rFont val="Arial"/>
        <family val="0"/>
        <charset val="1"/>
      </rPr>
      <t xml:space="preserve">MultiLoad II Ex</t>
    </r>
    <r>
      <rPr>
        <sz val="9"/>
        <color rgb="FF1F4E9A"/>
        <rFont val="Arial"/>
        <family val="0"/>
        <charset val="1"/>
      </rPr>
      <t xml:space="preserve">, </t>
    </r>
    <r>
      <rPr>
        <strike val="true"/>
        <sz val="9"/>
        <color rgb="FF1F4E9A"/>
        <rFont val="Arial"/>
        <family val="0"/>
        <charset val="1"/>
      </rPr>
      <t xml:space="preserve">Carregamento rodoviario</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Pendente/ilegível: no de serie, ano. </t>
    </r>
    <r>
      <rPr>
        <b val="true"/>
        <sz val="9"/>
        <color rgb="FF000000"/>
        <rFont val="Arial"/>
        <family val="0"/>
        <charset val="1"/>
      </rPr>
      <t xml:space="preserve">Fotos: </t>
    </r>
    <r>
      <rPr>
        <sz val="9"/>
        <color rgb="FF000000"/>
        <rFont val="Arial"/>
        <family val="0"/>
        <charset val="1"/>
      </rPr>
      <t xml:space="preserve">0476. 
</t>
    </r>
    <r>
      <rPr>
        <b val="true"/>
        <sz val="9"/>
        <color rgb="FF000000"/>
        <rFont val="Arial"/>
        <family val="0"/>
        <charset val="1"/>
      </rPr>
      <t xml:space="preserve">• (sem TAG) – Preset de carregamento: </t>
    </r>
    <r>
      <rPr>
        <b val="true"/>
        <sz val="9"/>
        <color rgb="FF1F4E9A"/>
        <rFont val="Arial"/>
        <family val="0"/>
        <charset val="1"/>
      </rPr>
      <t xml:space="preserve">Placa/campo: </t>
    </r>
    <r>
      <rPr>
        <sz val="9"/>
        <color rgb="FF1F4E9A"/>
        <rFont val="Arial"/>
        <family val="0"/>
        <charset val="1"/>
      </rPr>
      <t xml:space="preserve">Preset de carregamento – TOPTECH, MultiLoad II EXL, Carregamento.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Pendente/ilegível: TAG e plaqueta. </t>
    </r>
    <r>
      <rPr>
        <b val="true"/>
        <sz val="9"/>
        <color rgb="FF000000"/>
        <rFont val="Arial"/>
        <family val="0"/>
        <charset val="1"/>
      </rPr>
      <t xml:space="preserve">Fotos: </t>
    </r>
    <r>
      <rPr>
        <sz val="9"/>
        <color rgb="FF000000"/>
        <rFont val="Arial"/>
        <family val="0"/>
        <charset val="1"/>
      </rPr>
      <t xml:space="preserve">0990-0991. </t>
    </r>
  </si>
  <si>
    <t xml:space="preserve">BOTTOM-3107</t>
  </si>
  <si>
    <r>
      <rPr>
        <b val="true"/>
        <sz val="9"/>
        <color rgb="FF1F4E9A"/>
        <rFont val="Arial"/>
        <family val="0"/>
        <charset val="1"/>
      </rPr>
      <t xml:space="preserve">Placa/campo: </t>
    </r>
    <r>
      <rPr>
        <sz val="9"/>
        <color rgb="FF1F4E9A"/>
        <rFont val="Arial"/>
        <family val="0"/>
        <charset val="1"/>
      </rPr>
      <t xml:space="preserve">Computador de vazao (presset A) – TOPTECH, MultiLoad II Ex, Carregamento rodoviario.</t>
    </r>
  </si>
  <si>
    <t xml:space="preserve">TOPTECH</t>
  </si>
  <si>
    <t xml:space="preserve">MultiLoad II Ex</t>
  </si>
  <si>
    <t xml:space="preserve">Sem dado teórico individual. Pendente/ilegível: no de serie, ano.</t>
  </si>
  <si>
    <t xml:space="preserve">0475</t>
  </si>
  <si>
    <t xml:space="preserve">BOTTOM-3108</t>
  </si>
  <si>
    <r>
      <rPr>
        <b val="true"/>
        <sz val="9"/>
        <color rgb="FF1F4E9A"/>
        <rFont val="Arial"/>
        <family val="0"/>
        <charset val="1"/>
      </rPr>
      <t xml:space="preserve">Placa/campo: </t>
    </r>
    <r>
      <rPr>
        <sz val="9"/>
        <color rgb="FF1F4E9A"/>
        <rFont val="Arial"/>
        <family val="0"/>
        <charset val="1"/>
      </rPr>
      <t xml:space="preserve">Computador de vazao (presset B) – TOPTECH, MultiLoad II Ex, Carregamento rodoviario.</t>
    </r>
  </si>
  <si>
    <t xml:space="preserve">0476</t>
  </si>
  <si>
    <t xml:space="preserve">(sem TAG) – Preset de carregamento</t>
  </si>
  <si>
    <r>
      <rPr>
        <b val="true"/>
        <sz val="9"/>
        <color rgb="FF1F4E9A"/>
        <rFont val="Arial"/>
        <family val="0"/>
        <charset val="1"/>
      </rPr>
      <t xml:space="preserve">Placa/campo: </t>
    </r>
    <r>
      <rPr>
        <sz val="9"/>
        <color rgb="FF1F4E9A"/>
        <rFont val="Arial"/>
        <family val="0"/>
        <charset val="1"/>
      </rPr>
      <t xml:space="preserve">Preset de carregamento – TOPTECH, MultiLoad II EXL, Carregamento.</t>
    </r>
  </si>
  <si>
    <t xml:space="preserve">MultiLoad II EXL</t>
  </si>
  <si>
    <t xml:space="preserve">Sem dado teórico individual. Pendente/ilegível: TAG e plaqueta.</t>
  </si>
  <si>
    <t xml:space="preserve">0990-0991</t>
  </si>
  <si>
    <t xml:space="preserve">14c</t>
  </si>
  <si>
    <t xml:space="preserve">Skid de carregamento de vagões-tanque PLCVT-01 / U-3105 (4 pontos)</t>
  </si>
  <si>
    <r>
      <rPr>
        <b val="true"/>
        <sz val="9"/>
        <color rgb="FF000000"/>
        <rFont val="Arial"/>
        <family val="0"/>
        <charset val="1"/>
      </rPr>
      <t xml:space="preserve">Crítica: </t>
    </r>
    <r>
      <rPr>
        <sz val="9"/>
        <color rgb="FF000000"/>
        <rFont val="Arial"/>
        <family val="0"/>
        <charset val="1"/>
      </rPr>
      <t xml:space="preserve">Unidade de skid para operações de carregamento de vagões-tanque: 01 ponto de entrega de biodiesel B100, 01 de etanol anidro, 01 de biodiesel B100 e 01 de etanol anidro – 1 un. × R$ 1.610.488,85 = R$ 1.610.488,85; fornecedor Metroval Controle de Fluídos Ltda.; Finame 03204045.NF: nenhuma NF da relação descreve este skid; não identificável.SAP: não consta na base SAP (seleção).Projeto: sem lista própria no dossiê.</t>
    </r>
  </si>
  <si>
    <t xml:space="preserve">Metroval</t>
  </si>
  <si>
    <t xml:space="preserve">PLCVT-01 / U-3105</t>
  </si>
  <si>
    <t xml:space="preserve">vazão máx. 120 m³/h por braço; 4 braços; projeto 10 kgf/cm², operação 3 kgf/cm²</t>
  </si>
  <si>
    <t xml:space="preserve">placa da unidade sem nº de série</t>
  </si>
  <si>
    <t xml:space="preserve">Placa Metroval da unidade (foto 0836, completa): 4 braços, 120 m³/h/braço, ASME B31.3, biodiesel/etanol anidro = 4 pontos (2 B100 + 2 EA) da crítica. Componentes lidos: 2 medidores mássicos OI 600 (B100), 1 turbina MTF 80 (EA), 4 válvulas VCDM-100, 2 transmissores de temperatura. Falta NF.</t>
  </si>
  <si>
    <t xml:space="preserve">0836-0881</t>
  </si>
  <si>
    <t xml:space="preserve">Cotação METROVAL 230200112STM-SC-RevE (30/08/2023), item (c): no texto do escopo "duas unidades de skid para operações de carregamento de vagões tanque", na composição de preço "1 unidade de skid para operações de carregamento de vagões tanque"; pontos PL01: biodiesel B100, etanol anidro EA, biodiesel B100, etanol anidro EA (4 pontos); estrutura metálica da plataforma exclusa; sem preço individual.</t>
  </si>
  <si>
    <t xml:space="preserve">Divergência interna da cotação: texto do escopo diz "duas unidades de skid" para vagões, a composição de preço diz "1 unidade" com 4 pontos (PL01) – a crítica e a placa Metroval da unidade (4 braços, 120 m³/h por braço) confirmam 1 unidade de 4 pontos. Sem NF identificável e sem preço individual. Os 28 visores de fluxo "Ferroviária" da Vidrak (R$ 2.080,03/un.) são da LI-3100-6107 (H-3177 a 31204) – acessórios do desvio ferroviário, não deste skid.</t>
  </si>
  <si>
    <r>
      <rPr>
        <b val="true"/>
        <sz val="9"/>
        <color rgb="FF000000"/>
        <rFont val="Arial"/>
        <family val="0"/>
        <charset val="1"/>
      </rPr>
      <t xml:space="preserve">LINHA 14c – Skid de carregamento de vagões-tanque PLCVT-01 / U-3105 (4 pontos) [CONJUNTO]
Crítica: </t>
    </r>
    <r>
      <rPr>
        <sz val="9"/>
        <color rgb="FF000000"/>
        <rFont val="Arial"/>
        <family val="0"/>
        <charset val="1"/>
      </rPr>
      <t xml:space="preserve">Unidade de skid para operações de carregamento de vagões-tanque: 01 ponto de entrega de biodiesel B100, 01 de etanol anidro, 01 de biodiesel B100 e 01 de etanol anidro – 1 un. × R$ 1.610.488,85 = R$ 1.610.488,85; fornecedor Metroval Controle de Fluídos Ltda.; Finame 03204045. </t>
    </r>
    <r>
      <rPr>
        <b val="true"/>
        <sz val="9"/>
        <color rgb="FFC00000"/>
        <rFont val="Arial"/>
        <family val="0"/>
        <charset val="1"/>
      </rPr>
      <t xml:space="preserve">NF: </t>
    </r>
    <r>
      <rPr>
        <sz val="9"/>
        <color rgb="FFC00000"/>
        <rFont val="Arial"/>
        <family val="0"/>
        <charset val="1"/>
      </rPr>
      <t xml:space="preserve">nenhuma NF da relação descreve este skid; não identificável. </t>
    </r>
    <r>
      <rPr>
        <b val="true"/>
        <sz val="9"/>
        <color rgb="FF00703C"/>
        <rFont val="Arial"/>
        <family val="0"/>
        <charset val="1"/>
      </rPr>
      <t xml:space="preserve">SAP: </t>
    </r>
    <r>
      <rPr>
        <sz val="9"/>
        <color rgb="FF00703C"/>
        <rFont val="Arial"/>
        <family val="0"/>
        <charset val="1"/>
      </rPr>
      <t xml:space="preserve">não consta na base SAP (seleção). </t>
    </r>
    <r>
      <rPr>
        <b val="true"/>
        <sz val="9"/>
        <color rgb="FFB38600"/>
        <rFont val="Arial"/>
        <family val="0"/>
        <charset val="1"/>
      </rPr>
      <t xml:space="preserve">Projeto: </t>
    </r>
    <r>
      <rPr>
        <sz val="9"/>
        <color rgb="FFB38600"/>
        <rFont val="Arial"/>
        <family val="0"/>
        <charset val="1"/>
      </rPr>
      <t xml:space="preserve">sem lista própria no dossiê. </t>
    </r>
    <r>
      <rPr>
        <b val="true"/>
        <sz val="9"/>
        <color rgb="FF000000"/>
        <rFont val="Arial"/>
        <family val="0"/>
        <charset val="1"/>
      </rPr>
      <t xml:space="preserve">Crítica (colunas N-P): </t>
    </r>
    <r>
      <rPr>
        <sz val="9"/>
        <color rgb="FF000000"/>
        <rFont val="Arial"/>
        <family val="0"/>
        <charset val="1"/>
      </rPr>
      <t xml:space="preserve">qtd 1, unitário R$ 1.610.488,85, total R$ 1.610.488,85. 
</t>
    </r>
    <r>
      <rPr>
        <b val="true"/>
        <sz val="9"/>
        <color rgb="FF000000"/>
        <rFont val="Arial"/>
        <family val="0"/>
        <charset val="1"/>
      </rPr>
      <t xml:space="preserve">Ficha (colunas E-J): </t>
    </r>
    <r>
      <rPr>
        <b val="true"/>
        <sz val="9"/>
        <color rgb="FF1F4E9A"/>
        <rFont val="Arial"/>
        <family val="0"/>
        <charset val="1"/>
      </rPr>
      <t xml:space="preserve">Marca: </t>
    </r>
    <r>
      <rPr>
        <sz val="9"/>
        <color rgb="FF1F4E9A"/>
        <rFont val="Arial"/>
        <family val="0"/>
        <charset val="1"/>
      </rPr>
      <t xml:space="preserve">Metroval. </t>
    </r>
    <r>
      <rPr>
        <b val="true"/>
        <sz val="9"/>
        <color rgb="FF1F4E9A"/>
        <rFont val="Arial"/>
        <family val="0"/>
        <charset val="1"/>
      </rPr>
      <t xml:space="preserve">Modelo: </t>
    </r>
    <r>
      <rPr>
        <sz val="9"/>
        <color rgb="FF1F4E9A"/>
        <rFont val="Arial"/>
        <family val="0"/>
        <charset val="1"/>
      </rPr>
      <t xml:space="preserve">PLCVT-01 / U-3105. </t>
    </r>
    <r>
      <rPr>
        <b val="true"/>
        <sz val="9"/>
        <color rgb="FF1F4E9A"/>
        <rFont val="Arial"/>
        <family val="0"/>
        <charset val="1"/>
      </rPr>
      <t xml:space="preserve">Capacidade: </t>
    </r>
    <r>
      <rPr>
        <sz val="9"/>
        <color rgb="FF1F4E9A"/>
        <rFont val="Arial"/>
        <family val="0"/>
        <charset val="1"/>
      </rPr>
      <t xml:space="preserve">vazão máx. 120 m³/h por braço; 4 braços; projeto 10 kgf/cm², operação 3 kgf/cm². </t>
    </r>
    <r>
      <rPr>
        <b val="true"/>
        <sz val="9"/>
        <color rgb="FF1F4E9A"/>
        <rFont val="Arial"/>
        <family val="0"/>
        <charset val="1"/>
      </rPr>
      <t xml:space="preserve">Série/OP: </t>
    </r>
    <r>
      <rPr>
        <sz val="9"/>
        <color rgb="FF1F4E9A"/>
        <rFont val="Arial"/>
        <family val="0"/>
        <charset val="1"/>
      </rPr>
      <t xml:space="preserve">placa da unidade sem nº de série. </t>
    </r>
    <r>
      <rPr>
        <b val="true"/>
        <sz val="9"/>
        <color rgb="FF00703C"/>
        <rFont val="Arial"/>
        <family val="0"/>
        <charset val="1"/>
      </rPr>
      <t xml:space="preserve">TAG/SAP: </t>
    </r>
    <r>
      <rPr>
        <strike val="true"/>
        <sz val="9"/>
        <color rgb="FF00703C"/>
        <rFont val="Arial"/>
        <family val="0"/>
        <charset val="1"/>
      </rPr>
      <t xml:space="preserve">não consta na base SAP (seleção)</t>
    </r>
    <r>
      <rPr>
        <sz val="9"/>
        <color rgb="FF00703C"/>
        <rFont val="Arial"/>
        <family val="0"/>
        <charset val="1"/>
      </rPr>
      <t xml:space="preserve">. </t>
    </r>
    <r>
      <rPr>
        <b val="true"/>
        <sz val="9"/>
        <color rgb="FF1F4E9A"/>
        <rFont val="Arial"/>
        <family val="0"/>
        <charset val="1"/>
      </rPr>
      <t xml:space="preserve">Fabricação: </t>
    </r>
    <r>
      <rPr>
        <sz val="9"/>
        <color rgb="FF1F4E9A"/>
        <rFont val="Arial"/>
        <family val="0"/>
        <charset val="1"/>
      </rPr>
      <t xml:space="preserve">2024. 
</t>
    </r>
    <r>
      <rPr>
        <b val="true"/>
        <sz val="9"/>
        <color rgb="FF000000"/>
        <rFont val="Arial"/>
        <family val="0"/>
        <charset val="1"/>
      </rPr>
      <t xml:space="preserve">Obs. (coluna T): </t>
    </r>
    <r>
      <rPr>
        <sz val="9"/>
        <color rgb="FF000000"/>
        <rFont val="Arial"/>
        <family val="0"/>
        <charset val="1"/>
      </rPr>
      <t xml:space="preserve">Placa Metroval da unidade (foto 0836, completa): 4 braços, 120 m³/h/braço, ASME B31.3, biodiesel/etanol anidro = 4 pontos (2 B100 + 2 EA) da crítica. Componentes lidos: 2 medidores mássicos OI 600 (B100), 1 turbina MTF 80 (EA), 4 válvulas VCDM-100, 2 transmissores de temperatura. Falta NF. </t>
    </r>
    <r>
      <rPr>
        <b val="true"/>
        <sz val="9"/>
        <color rgb="FF000000"/>
        <rFont val="Arial"/>
        <family val="0"/>
        <charset val="1"/>
      </rPr>
      <t xml:space="preserve">Fotos (coluna U): </t>
    </r>
    <r>
      <rPr>
        <sz val="9"/>
        <color rgb="FF000000"/>
        <rFont val="Arial"/>
        <family val="0"/>
        <charset val="1"/>
      </rPr>
      <t xml:space="preserve">0836-0881. 
</t>
    </r>
    <r>
      <rPr>
        <b val="true"/>
        <sz val="9"/>
        <color rgb="FF002060"/>
        <rFont val="Arial"/>
        <family val="0"/>
        <charset val="1"/>
      </rPr>
      <t xml:space="preserve">Cotação OPE154: </t>
    </r>
    <r>
      <rPr>
        <sz val="9"/>
        <color rgb="FF002060"/>
        <rFont val="Arial"/>
        <family val="0"/>
        <charset val="1"/>
      </rPr>
      <t xml:space="preserve">Cotação METROVAL 230200112STM-SC-RevE (30/08/2023), item (c): no texto do escopo "duas unidades de skid para operações de carregamento de vagões tanque", na composição de preço "1 unidade de skid para operações de carregamento de vagões tanque"; pontos PL01: biodiesel B100, etanol anidro EA, biodiesel B100, etanol anidro EA (4 pontos); estrutura metálica da plataforma exclusa; sem preço individual. 
</t>
    </r>
    <r>
      <rPr>
        <b val="true"/>
        <sz val="9"/>
        <color rgb="FF7030A0"/>
        <rFont val="Arial"/>
        <family val="0"/>
        <charset val="1"/>
      </rPr>
      <t xml:space="preserve">Novo v2 (achados / correções / proposições): </t>
    </r>
    <r>
      <rPr>
        <sz val="9"/>
        <color rgb="FF7030A0"/>
        <rFont val="Arial"/>
        <family val="0"/>
        <charset val="1"/>
      </rPr>
      <t xml:space="preserve">Divergência interna da cotação: texto do escopo diz "duas unidades de skid" para vagões, a composição de preço diz "1 unidade" com 4 pontos (PL01) – a crítica e a placa Metroval da unidade (4 braços, 120 m³/h por braço) confirmam 1 unidade de 4 pontos. Sem NF identificável e sem preço individual. Os 28 visores de fluxo "Ferroviária" da Vidrak (R$ 2.080,03/un.) são da LI-3100-6107 (H-3177 a 31204) – acessórios do desvio ferroviário, não deste skid. 
</t>
    </r>
    <r>
      <rPr>
        <b val="true"/>
        <sz val="9"/>
        <color rgb="FF000000"/>
        <rFont val="Arial"/>
        <family val="0"/>
        <charset val="1"/>
      </rPr>
      <t xml:space="preserve">COMPONENTES (9):
• FT-3180: </t>
    </r>
    <r>
      <rPr>
        <b val="true"/>
        <sz val="9"/>
        <color rgb="FF1F4E9A"/>
        <rFont val="Arial"/>
        <family val="0"/>
        <charset val="1"/>
      </rPr>
      <t xml:space="preserve">Placa/campo: </t>
    </r>
    <r>
      <rPr>
        <sz val="9"/>
        <color rgb="FF1F4E9A"/>
        <rFont val="Arial"/>
        <family val="0"/>
        <charset val="1"/>
      </rPr>
      <t xml:space="preserve">Medidor massico – Metroval, OI 600 SIMT/F2, série 12537, 2024, Vazao min 300 / max 3000 | Conexao 4" 150#RF | Pressao max 19,5 | Temp max 60 C, Biodiesel B100. </t>
    </r>
    <r>
      <rPr>
        <b val="true"/>
        <sz val="9"/>
        <color rgb="FF000000"/>
        <rFont val="Arial"/>
        <family val="0"/>
        <charset val="1"/>
      </rPr>
      <t xml:space="preserve">Obs.: </t>
    </r>
    <r>
      <rPr>
        <sz val="9"/>
        <color rgb="FF000000"/>
        <rFont val="Arial"/>
        <family val="0"/>
        <charset val="1"/>
      </rPr>
      <t xml:space="preserve">Sem dado teórico individual. Só leitura de campo (sem 2ª fonte). </t>
    </r>
    <r>
      <rPr>
        <b val="true"/>
        <sz val="9"/>
        <color rgb="FF000000"/>
        <rFont val="Arial"/>
        <family val="0"/>
        <charset val="1"/>
      </rPr>
      <t xml:space="preserve">Fotos: </t>
    </r>
    <r>
      <rPr>
        <sz val="9"/>
        <color rgb="FF000000"/>
        <rFont val="Arial"/>
        <family val="0"/>
        <charset val="1"/>
      </rPr>
      <t xml:space="preserve">0878. 
</t>
    </r>
    <r>
      <rPr>
        <b val="true"/>
        <sz val="9"/>
        <color rgb="FF000000"/>
        <rFont val="Arial"/>
        <family val="0"/>
        <charset val="1"/>
      </rPr>
      <t xml:space="preserve">• FT-3181: </t>
    </r>
    <r>
      <rPr>
        <b val="true"/>
        <sz val="9"/>
        <color rgb="FF1F4E9A"/>
        <rFont val="Arial"/>
        <family val="0"/>
        <charset val="1"/>
      </rPr>
      <t xml:space="preserve">Placa/campo: </t>
    </r>
    <r>
      <rPr>
        <sz val="9"/>
        <color rgb="FF1F4E9A"/>
        <rFont val="Arial"/>
        <family val="0"/>
        <charset val="1"/>
      </rPr>
      <t xml:space="preserve">Medidor de vazao tipo turbina – Metroval, MTF 80, série 01361123, DIMEL no 365/2020, 2024, Classe exatidao 0,3 | QMM 100 | Temp max 60 min -20 | Pressao 19,58 | Vazao 150/15, Etanol anidro.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0842-0844. 
</t>
    </r>
    <r>
      <rPr>
        <b val="true"/>
        <sz val="9"/>
        <color rgb="FF000000"/>
        <rFont val="Arial"/>
        <family val="0"/>
        <charset val="1"/>
      </rPr>
      <t xml:space="preserve">• FT-3182: </t>
    </r>
    <r>
      <rPr>
        <b val="true"/>
        <sz val="9"/>
        <color rgb="FF1F4E9A"/>
        <rFont val="Arial"/>
        <family val="0"/>
        <charset val="1"/>
      </rPr>
      <t xml:space="preserve">Placa/campo: </t>
    </r>
    <r>
      <rPr>
        <strike val="true"/>
        <sz val="9"/>
        <color rgb="FF1F4E9A"/>
        <rFont val="Arial"/>
        <family val="0"/>
        <charset val="1"/>
      </rPr>
      <t xml:space="preserve">Medidor massico – Metroval, OI 600 SIMT/F2</t>
    </r>
    <r>
      <rPr>
        <sz val="9"/>
        <color rgb="FF1F4E9A"/>
        <rFont val="Arial"/>
        <family val="0"/>
        <charset val="1"/>
      </rPr>
      <t xml:space="preserve">, série 12538, 2024, </t>
    </r>
    <r>
      <rPr>
        <strike val="true"/>
        <sz val="9"/>
        <color rgb="FF1F4E9A"/>
        <rFont val="Arial"/>
        <family val="0"/>
        <charset val="1"/>
      </rPr>
      <t xml:space="preserve">Vazao min 300 / max 3000 | Conexao 4" 150#RF | Pressao max 19,5 | Temp max 60 C</t>
    </r>
    <r>
      <rPr>
        <sz val="9"/>
        <color rgb="FF1F4E9A"/>
        <rFont val="Arial"/>
        <family val="0"/>
        <charset val="1"/>
      </rPr>
      <t xml:space="preserve">, </t>
    </r>
    <r>
      <rPr>
        <strike val="true"/>
        <sz val="9"/>
        <color rgb="FF1F4E9A"/>
        <rFont val="Arial"/>
        <family val="0"/>
        <charset val="1"/>
      </rPr>
      <t xml:space="preserve">Biodiesel B100</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0881. 
</t>
    </r>
    <r>
      <rPr>
        <b val="true"/>
        <sz val="9"/>
        <color rgb="FF000000"/>
        <rFont val="Arial"/>
        <family val="0"/>
        <charset val="1"/>
      </rPr>
      <t xml:space="preserve">• FCV-3180: </t>
    </r>
    <r>
      <rPr>
        <b val="true"/>
        <sz val="9"/>
        <color rgb="FF1F4E9A"/>
        <rFont val="Arial"/>
        <family val="0"/>
        <charset val="1"/>
      </rPr>
      <t xml:space="preserve">Placa/campo: </t>
    </r>
    <r>
      <rPr>
        <sz val="9"/>
        <color rgb="FF1F4E9A"/>
        <rFont val="Arial"/>
        <family val="0"/>
        <charset val="1"/>
      </rPr>
      <t xml:space="preserve">Valvula de controle de vazao – Metroval, VCDM-100, série 0313, DN 100 mm; T.max 70 C; PN 10 bar, Combustiveis.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ano de fabricacao. </t>
    </r>
    <r>
      <rPr>
        <b val="true"/>
        <sz val="9"/>
        <color rgb="FF000000"/>
        <rFont val="Arial"/>
        <family val="0"/>
        <charset val="1"/>
      </rPr>
      <t xml:space="preserve">Fotos: </t>
    </r>
    <r>
      <rPr>
        <sz val="9"/>
        <color rgb="FF000000"/>
        <rFont val="Arial"/>
        <family val="0"/>
        <charset val="1"/>
      </rPr>
      <t xml:space="preserve">0868-0871. 
</t>
    </r>
    <r>
      <rPr>
        <b val="true"/>
        <sz val="9"/>
        <color rgb="FF000000"/>
        <rFont val="Arial"/>
        <family val="0"/>
        <charset val="1"/>
      </rPr>
      <t xml:space="preserve">• FCV-3181: </t>
    </r>
    <r>
      <rPr>
        <b val="true"/>
        <sz val="9"/>
        <color rgb="FF1F4E9A"/>
        <rFont val="Arial"/>
        <family val="0"/>
        <charset val="1"/>
      </rPr>
      <t xml:space="preserve">Placa/campo: </t>
    </r>
    <r>
      <rPr>
        <strike val="true"/>
        <sz val="9"/>
        <color rgb="FF1F4E9A"/>
        <rFont val="Arial"/>
        <family val="0"/>
        <charset val="1"/>
      </rPr>
      <t xml:space="preserve">Valvula de controle de vazao – Metroval, VCDM-100</t>
    </r>
    <r>
      <rPr>
        <sz val="9"/>
        <color rgb="FF1F4E9A"/>
        <rFont val="Arial"/>
        <family val="0"/>
        <charset val="1"/>
      </rPr>
      <t xml:space="preserve">, série 0316, </t>
    </r>
    <r>
      <rPr>
        <strike val="true"/>
        <sz val="9"/>
        <color rgb="FF1F4E9A"/>
        <rFont val="Arial"/>
        <family val="0"/>
        <charset val="1"/>
      </rPr>
      <t xml:space="preserve">DN 100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antes "0315 ou 0316" - fechado 0316. Pendente/ilegível: associacao TAG x no de serie. </t>
    </r>
    <r>
      <rPr>
        <b val="true"/>
        <sz val="9"/>
        <color rgb="FF000000"/>
        <rFont val="Arial"/>
        <family val="0"/>
        <charset val="1"/>
      </rPr>
      <t xml:space="preserve">Fotos: </t>
    </r>
    <r>
      <rPr>
        <sz val="9"/>
        <color rgb="FF000000"/>
        <rFont val="Arial"/>
        <family val="0"/>
        <charset val="1"/>
      </rPr>
      <t xml:space="preserve">0850-0852. 
</t>
    </r>
    <r>
      <rPr>
        <b val="true"/>
        <sz val="9"/>
        <color rgb="FF000000"/>
        <rFont val="Arial"/>
        <family val="0"/>
        <charset val="1"/>
      </rPr>
      <t xml:space="preserve">• FCV-3182: </t>
    </r>
    <r>
      <rPr>
        <b val="true"/>
        <sz val="9"/>
        <color rgb="FF1F4E9A"/>
        <rFont val="Arial"/>
        <family val="0"/>
        <charset val="1"/>
      </rPr>
      <t xml:space="preserve">Placa/campo: </t>
    </r>
    <r>
      <rPr>
        <strike val="true"/>
        <sz val="9"/>
        <color rgb="FF1F4E9A"/>
        <rFont val="Arial"/>
        <family val="0"/>
        <charset val="1"/>
      </rPr>
      <t xml:space="preserve">Valvula de controle de vazao – Metroval, VCDM-100</t>
    </r>
    <r>
      <rPr>
        <sz val="9"/>
        <color rgb="FF1F4E9A"/>
        <rFont val="Arial"/>
        <family val="0"/>
        <charset val="1"/>
      </rPr>
      <t xml:space="preserve">, série 0314, </t>
    </r>
    <r>
      <rPr>
        <strike val="true"/>
        <sz val="9"/>
        <color rgb="FF1F4E9A"/>
        <rFont val="Arial"/>
        <family val="0"/>
        <charset val="1"/>
      </rPr>
      <t xml:space="preserve">DN 100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ano de fabricacao. </t>
    </r>
    <r>
      <rPr>
        <b val="true"/>
        <sz val="9"/>
        <color rgb="FF000000"/>
        <rFont val="Arial"/>
        <family val="0"/>
        <charset val="1"/>
      </rPr>
      <t xml:space="preserve">Fotos: </t>
    </r>
    <r>
      <rPr>
        <sz val="9"/>
        <color rgb="FF000000"/>
        <rFont val="Arial"/>
        <family val="0"/>
        <charset val="1"/>
      </rPr>
      <t xml:space="preserve">0873-0876. 
</t>
    </r>
    <r>
      <rPr>
        <b val="true"/>
        <sz val="9"/>
        <color rgb="FF000000"/>
        <rFont val="Arial"/>
        <family val="0"/>
        <charset val="1"/>
      </rPr>
      <t xml:space="preserve">• FCV-3183: </t>
    </r>
    <r>
      <rPr>
        <b val="true"/>
        <sz val="9"/>
        <color rgb="FF1F4E9A"/>
        <rFont val="Arial"/>
        <family val="0"/>
        <charset val="1"/>
      </rPr>
      <t xml:space="preserve">Placa/campo: </t>
    </r>
    <r>
      <rPr>
        <strike val="true"/>
        <sz val="9"/>
        <color rgb="FF1F4E9A"/>
        <rFont val="Arial"/>
        <family val="0"/>
        <charset val="1"/>
      </rPr>
      <t xml:space="preserve">Valvula de controle de vazao – Metroval, VCDM-100</t>
    </r>
    <r>
      <rPr>
        <sz val="9"/>
        <color rgb="FF1F4E9A"/>
        <rFont val="Arial"/>
        <family val="0"/>
        <charset val="1"/>
      </rPr>
      <t xml:space="preserve">, série 0315, </t>
    </r>
    <r>
      <rPr>
        <strike val="true"/>
        <sz val="9"/>
        <color rgb="FF1F4E9A"/>
        <rFont val="Arial"/>
        <family val="0"/>
        <charset val="1"/>
      </rPr>
      <t xml:space="preserve">DN 100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antes "0315 ou 0316" - fechado 0315. Pendente/ilegível: associacao TAG x no de serie. </t>
    </r>
    <r>
      <rPr>
        <b val="true"/>
        <sz val="9"/>
        <color rgb="FF000000"/>
        <rFont val="Arial"/>
        <family val="0"/>
        <charset val="1"/>
      </rPr>
      <t xml:space="preserve">Fotos: </t>
    </r>
    <r>
      <rPr>
        <sz val="9"/>
        <color rgb="FF000000"/>
        <rFont val="Arial"/>
        <family val="0"/>
        <charset val="1"/>
      </rPr>
      <t xml:space="preserve">0855-0859. 
</t>
    </r>
    <r>
      <rPr>
        <b val="true"/>
        <sz val="9"/>
        <color rgb="FF000000"/>
        <rFont val="Arial"/>
        <family val="0"/>
        <charset val="1"/>
      </rPr>
      <t xml:space="preserve">• TE-3181A: </t>
    </r>
    <r>
      <rPr>
        <b val="true"/>
        <sz val="9"/>
        <color rgb="FF1F4E9A"/>
        <rFont val="Arial"/>
        <family val="0"/>
        <charset val="1"/>
      </rPr>
      <t xml:space="preserve">Placa/campo: </t>
    </r>
    <r>
      <rPr>
        <sz val="9"/>
        <color rgb="FF1F4E9A"/>
        <rFont val="Arial"/>
        <family val="0"/>
        <charset val="1"/>
      </rPr>
      <t xml:space="preserve">Transmissor de temperatura – ALUTAL, CEX-A-00015, série 377046, Ex ia IIC T6..T1 Ga | Ex ic IIC | IP66W/IP66X | INMETRO, Instrumentacao.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ano de fabricacao. </t>
    </r>
    <r>
      <rPr>
        <b val="true"/>
        <sz val="9"/>
        <color rgb="FF000000"/>
        <rFont val="Arial"/>
        <family val="0"/>
        <charset val="1"/>
      </rPr>
      <t xml:space="preserve">Fotos: </t>
    </r>
    <r>
      <rPr>
        <sz val="9"/>
        <color rgb="FF000000"/>
        <rFont val="Arial"/>
        <family val="0"/>
        <charset val="1"/>
      </rPr>
      <t xml:space="preserve">0846. 
</t>
    </r>
    <r>
      <rPr>
        <b val="true"/>
        <sz val="9"/>
        <color rgb="FF000000"/>
        <rFont val="Arial"/>
        <family val="0"/>
        <charset val="1"/>
      </rPr>
      <t xml:space="preserve">• TE-3183A: </t>
    </r>
    <r>
      <rPr>
        <b val="true"/>
        <sz val="9"/>
        <color rgb="FF1F4E9A"/>
        <rFont val="Arial"/>
        <family val="0"/>
        <charset val="1"/>
      </rPr>
      <t xml:space="preserve">Placa/campo: </t>
    </r>
    <r>
      <rPr>
        <strike val="true"/>
        <sz val="9"/>
        <color rgb="FF1F4E9A"/>
        <rFont val="Arial"/>
        <family val="0"/>
        <charset val="1"/>
      </rPr>
      <t xml:space="preserve">Transmissor de temperatura – ALUTAL, CEX-A-00015</t>
    </r>
    <r>
      <rPr>
        <sz val="9"/>
        <color rgb="FF1F4E9A"/>
        <rFont val="Arial"/>
        <family val="0"/>
        <charset val="1"/>
      </rPr>
      <t xml:space="preserve">, série 377046, </t>
    </r>
    <r>
      <rPr>
        <strike val="true"/>
        <sz val="9"/>
        <color rgb="FF1F4E9A"/>
        <rFont val="Arial"/>
        <family val="0"/>
        <charset val="1"/>
      </rPr>
      <t xml:space="preserve">Ex ia IIC T6..T1 Ga</t>
    </r>
    <r>
      <rPr>
        <sz val="9"/>
        <color rgb="FF1F4E9A"/>
        <rFont val="Arial"/>
        <family val="0"/>
        <charset val="1"/>
      </rPr>
      <t xml:space="preserve"> | </t>
    </r>
    <r>
      <rPr>
        <strike val="true"/>
        <sz val="9"/>
        <color rgb="FF1F4E9A"/>
        <rFont val="Arial"/>
        <family val="0"/>
        <charset val="1"/>
      </rPr>
      <t xml:space="preserve">INMETRO</t>
    </r>
    <r>
      <rPr>
        <sz val="9"/>
        <color rgb="FF1F4E9A"/>
        <rFont val="Arial"/>
        <family val="0"/>
        <charset val="1"/>
      </rPr>
      <t xml:space="preserve">, </t>
    </r>
    <r>
      <rPr>
        <strike val="true"/>
        <sz val="9"/>
        <color rgb="FF1F4E9A"/>
        <rFont val="Arial"/>
        <family val="0"/>
        <charset val="1"/>
      </rPr>
      <t xml:space="preserve">Instrumentacao</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ano de fabricacao. </t>
    </r>
    <r>
      <rPr>
        <b val="true"/>
        <sz val="9"/>
        <color rgb="FF000000"/>
        <rFont val="Arial"/>
        <family val="0"/>
        <charset val="1"/>
      </rPr>
      <t xml:space="preserve">Fotos: </t>
    </r>
    <r>
      <rPr>
        <sz val="9"/>
        <color rgb="FF000000"/>
        <rFont val="Arial"/>
        <family val="0"/>
        <charset val="1"/>
      </rPr>
      <t xml:space="preserve">0848. </t>
    </r>
  </si>
  <si>
    <t xml:space="preserve">FT-3180</t>
  </si>
  <si>
    <r>
      <rPr>
        <b val="true"/>
        <sz val="9"/>
        <color rgb="FF1F4E9A"/>
        <rFont val="Arial"/>
        <family val="0"/>
        <charset val="1"/>
      </rPr>
      <t xml:space="preserve">Placa/campo: </t>
    </r>
    <r>
      <rPr>
        <sz val="9"/>
        <color rgb="FF1F4E9A"/>
        <rFont val="Arial"/>
        <family val="0"/>
        <charset val="1"/>
      </rPr>
      <t xml:space="preserve">Medidor massico – Metroval, OI 600 SIMT/F2, série 12537, 2024, Vazao min 300 / max 3000 | Conexao 4" 150#RF | Pressao max 19,5 | Temp max 60 C, Biodiesel B100.</t>
    </r>
  </si>
  <si>
    <t xml:space="preserve">OI 600 SIMT/F2</t>
  </si>
  <si>
    <t xml:space="preserve">Vazao min 300 / max 3000 | Conexao 4" 150#RF | Pressao max 19,5 | Temp max 60 C</t>
  </si>
  <si>
    <t xml:space="preserve">12537</t>
  </si>
  <si>
    <t xml:space="preserve">Sem dado teórico individual. Só leitura de campo (sem 2ª fonte).</t>
  </si>
  <si>
    <t xml:space="preserve">0878</t>
  </si>
  <si>
    <t xml:space="preserve">FT-3181</t>
  </si>
  <si>
    <r>
      <rPr>
        <b val="true"/>
        <sz val="9"/>
        <color rgb="FF1F4E9A"/>
        <rFont val="Arial"/>
        <family val="0"/>
        <charset val="1"/>
      </rPr>
      <t xml:space="preserve">Placa/campo: </t>
    </r>
    <r>
      <rPr>
        <sz val="9"/>
        <color rgb="FF1F4E9A"/>
        <rFont val="Arial"/>
        <family val="0"/>
        <charset val="1"/>
      </rPr>
      <t xml:space="preserve">Medidor de vazao tipo turbina – Metroval, MTF 80, série 01361123, DIMEL no 365/2020, 2024, Classe exatidao 0,3 | QMM 100 | Temp max 60 min -20 | Pressao 19,58 | Vazao 150/15, Etanol anidro.</t>
    </r>
  </si>
  <si>
    <t xml:space="preserve">MTF 80</t>
  </si>
  <si>
    <t xml:space="preserve">Classe exatidao 0,3 | QMM 100 | Temp max 60 min -20 | Pressao 19,58 | Vazao 150/15</t>
  </si>
  <si>
    <t xml:space="preserve">01361123</t>
  </si>
  <si>
    <t xml:space="preserve">0842-0844</t>
  </si>
  <si>
    <t xml:space="preserve">FT-3182</t>
  </si>
  <si>
    <r>
      <rPr>
        <b val="true"/>
        <sz val="9"/>
        <color rgb="FF1F4E9A"/>
        <rFont val="Arial"/>
        <family val="0"/>
        <charset val="1"/>
      </rPr>
      <t xml:space="preserve">Placa/campo: </t>
    </r>
    <r>
      <rPr>
        <sz val="9"/>
        <color rgb="FF1F4E9A"/>
        <rFont val="Arial"/>
        <family val="0"/>
        <charset val="1"/>
      </rPr>
      <t xml:space="preserve">Medidor massico – Metroval, OI 600 SIMT/F2, série 12538, 2024, Vazao min 300 / max 3000 | Conexao 4" 150#RF | Pressao max 19,5 | Temp max 60 C, Biodiesel B100.</t>
    </r>
  </si>
  <si>
    <t xml:space="preserve">12538</t>
  </si>
  <si>
    <t xml:space="preserve">0881</t>
  </si>
  <si>
    <t xml:space="preserve">FCV-3180</t>
  </si>
  <si>
    <r>
      <rPr>
        <b val="true"/>
        <sz val="9"/>
        <color rgb="FF1F4E9A"/>
        <rFont val="Arial"/>
        <family val="0"/>
        <charset val="1"/>
      </rPr>
      <t xml:space="preserve">Placa/campo: </t>
    </r>
    <r>
      <rPr>
        <sz val="9"/>
        <color rgb="FF1F4E9A"/>
        <rFont val="Arial"/>
        <family val="0"/>
        <charset val="1"/>
      </rPr>
      <t xml:space="preserve">Valvula de controle de vazao – Metroval, VCDM-100, série 0313, DN 100 mm; T.max 70 C; PN 10 bar, Combustiveis.</t>
    </r>
  </si>
  <si>
    <t xml:space="preserve">VCDM-100</t>
  </si>
  <si>
    <t xml:space="preserve">DN 100 mm; T.max 70 C; PN 10 bar</t>
  </si>
  <si>
    <t xml:space="preserve">0313</t>
  </si>
  <si>
    <t xml:space="preserve">Sem dado teórico individual. Só leitura de campo (sem 2ª fonte). Pendente/ilegível: ano de fabricacao.</t>
  </si>
  <si>
    <t xml:space="preserve">0868-0871</t>
  </si>
  <si>
    <t xml:space="preserve">FCV-3181</t>
  </si>
  <si>
    <r>
      <rPr>
        <b val="true"/>
        <sz val="9"/>
        <color rgb="FF1F4E9A"/>
        <rFont val="Arial"/>
        <family val="0"/>
        <charset val="1"/>
      </rPr>
      <t xml:space="preserve">Placa/campo: </t>
    </r>
    <r>
      <rPr>
        <sz val="9"/>
        <color rgb="FF1F4E9A"/>
        <rFont val="Arial"/>
        <family val="0"/>
        <charset val="1"/>
      </rPr>
      <t xml:space="preserve">Valvula de controle de vazao – Metroval, VCDM-100, série 0316, DN 100 mm; T.max 70 C; PN 10 bar, Combustiveis.</t>
    </r>
  </si>
  <si>
    <t xml:space="preserve">0316</t>
  </si>
  <si>
    <t xml:space="preserve">Sem dado teórico individual. Só leitura de campo (sem 2ª fonte). antes "0315 ou 0316" - fechado 0316. Pendente/ilegível: associacao TAG x no de serie.</t>
  </si>
  <si>
    <t xml:space="preserve">0850-0852</t>
  </si>
  <si>
    <t xml:space="preserve">FCV-3182</t>
  </si>
  <si>
    <r>
      <rPr>
        <b val="true"/>
        <sz val="9"/>
        <color rgb="FF1F4E9A"/>
        <rFont val="Arial"/>
        <family val="0"/>
        <charset val="1"/>
      </rPr>
      <t xml:space="preserve">Placa/campo: </t>
    </r>
    <r>
      <rPr>
        <sz val="9"/>
        <color rgb="FF1F4E9A"/>
        <rFont val="Arial"/>
        <family val="0"/>
        <charset val="1"/>
      </rPr>
      <t xml:space="preserve">Valvula de controle de vazao – Metroval, VCDM-100, série 0314, DN 100 mm; T.max 70 C; PN 10 bar, Combustiveis.</t>
    </r>
  </si>
  <si>
    <t xml:space="preserve">0314</t>
  </si>
  <si>
    <t xml:space="preserve">0873-0876</t>
  </si>
  <si>
    <t xml:space="preserve">FCV-3183</t>
  </si>
  <si>
    <r>
      <rPr>
        <b val="true"/>
        <sz val="9"/>
        <color rgb="FF1F4E9A"/>
        <rFont val="Arial"/>
        <family val="0"/>
        <charset val="1"/>
      </rPr>
      <t xml:space="preserve">Placa/campo: </t>
    </r>
    <r>
      <rPr>
        <sz val="9"/>
        <color rgb="FF1F4E9A"/>
        <rFont val="Arial"/>
        <family val="0"/>
        <charset val="1"/>
      </rPr>
      <t xml:space="preserve">Valvula de controle de vazao – Metroval, VCDM-100, série 0315, DN 100 mm; T.max 70 C; PN 10 bar, Combustiveis.</t>
    </r>
  </si>
  <si>
    <t xml:space="preserve">0315</t>
  </si>
  <si>
    <t xml:space="preserve">Sem dado teórico individual. Só leitura de campo (sem 2ª fonte). antes "0315 ou 0316" - fechado 0315. Pendente/ilegível: associacao TAG x no de serie.</t>
  </si>
  <si>
    <t xml:space="preserve">0855-0859</t>
  </si>
  <si>
    <t xml:space="preserve">TE-3181A</t>
  </si>
  <si>
    <r>
      <rPr>
        <b val="true"/>
        <sz val="9"/>
        <color rgb="FF1F4E9A"/>
        <rFont val="Arial"/>
        <family val="0"/>
        <charset val="1"/>
      </rPr>
      <t xml:space="preserve">Placa/campo: </t>
    </r>
    <r>
      <rPr>
        <sz val="9"/>
        <color rgb="FF1F4E9A"/>
        <rFont val="Arial"/>
        <family val="0"/>
        <charset val="1"/>
      </rPr>
      <t xml:space="preserve">Transmissor de temperatura – ALUTAL, CEX-A-00015, série 377046, Ex ia IIC T6..T1 Ga | Ex ic IIC | IP66W/IP66X | INMETRO, Instrumentacao.</t>
    </r>
  </si>
  <si>
    <t xml:space="preserve">ALUTAL</t>
  </si>
  <si>
    <t xml:space="preserve">CEX-A-00015</t>
  </si>
  <si>
    <t xml:space="preserve">Ex ia IIC T6..T1 Ga | Ex ic IIC | IP66W/IP66X | INMETRO</t>
  </si>
  <si>
    <t xml:space="preserve">377046</t>
  </si>
  <si>
    <t xml:space="preserve">0846</t>
  </si>
  <si>
    <t xml:space="preserve">TE-3183A</t>
  </si>
  <si>
    <r>
      <rPr>
        <b val="true"/>
        <sz val="9"/>
        <color rgb="FF1F4E9A"/>
        <rFont val="Arial"/>
        <family val="0"/>
        <charset val="1"/>
      </rPr>
      <t xml:space="preserve">Placa/campo: </t>
    </r>
    <r>
      <rPr>
        <sz val="9"/>
        <color rgb="FF1F4E9A"/>
        <rFont val="Arial"/>
        <family val="0"/>
        <charset val="1"/>
      </rPr>
      <t xml:space="preserve">Transmissor de temperatura – ALUTAL, CEX-A-00015, série 377046, Ex ia IIC T6..T1 Ga | INMETRO, Instrumentacao.</t>
    </r>
  </si>
  <si>
    <t xml:space="preserve">Ex ia IIC T6..T1 Ga | INMETRO</t>
  </si>
  <si>
    <t xml:space="preserve">0848</t>
  </si>
  <si>
    <t xml:space="preserve">14d</t>
  </si>
  <si>
    <t xml:space="preserve">Skid de DESCARGA de caminhões-tanque com duas bombas (PLDCT-03)</t>
  </si>
  <si>
    <r>
      <rPr>
        <b val="true"/>
        <sz val="9"/>
        <color rgb="FF000000"/>
        <rFont val="Arial"/>
        <family val="0"/>
        <charset val="1"/>
      </rPr>
      <t xml:space="preserve">Crítica: </t>
    </r>
    <r>
      <rPr>
        <sz val="9"/>
        <color rgb="FF000000"/>
        <rFont val="Arial"/>
        <family val="0"/>
        <charset val="1"/>
      </rPr>
      <t xml:space="preserve">Unidade de skid para operações de descarga de caminhões-tanque, com duas bombas – 1 un. × R$ 1.728.513,25 = R$ 1.728.513,25; fornecedor Metroval Controle de Fluídos Ltda.; Finame 03204045.NF: NF 1551 de 01/03/2024 – PHD Master Consultoria Ltda (CNPJ 68.806.496/0001-29): "Itens diversos", R$ 1.728.513,25 – valor exato da linha, emitente PHD MASTER CONSULTORIA, não Metroval.SAP: não há cadastro do skid; as bombas B-3124/B-3125 estão no SAP como "BOMBA CENTRIFUGA DESCARREG" (local PTM-10).Projeto: DE-3100-5100-006: plataforma de descarga PLDCT-03; LI-3100-6107: trole e chuveiros da "plataforma de descarga rodoviária"; LI-6105: linhas HC 1200-1205 das bombas B-3124/3125.</t>
    </r>
  </si>
  <si>
    <t xml:space="preserve">Metroval (crítica)</t>
  </si>
  <si>
    <t xml:space="preserve">não identificado</t>
  </si>
  <si>
    <t xml:space="preserve">2 bombas (crítica)</t>
  </si>
  <si>
    <t xml:space="preserve">1551</t>
  </si>
  <si>
    <t xml:space="preserve">01/03/2024</t>
  </si>
  <si>
    <t xml:space="preserve">PHD Master Consultoria Ltda (68.806.496/0001-29)</t>
  </si>
  <si>
    <t xml:space="preserve">valor exato; emitente PHD MASTER CONSULTORIA, não Metroval</t>
  </si>
  <si>
    <t xml:space="preserve">Sem caracterização de campo do skid. As imagens ANP Fig. 175/176 ("bomba de descarregamento de produto da plataforma rodoviária, lado A/B") mostram os mesmos conjuntos KSB/WEG das B-3124/B-3125 (Fig. 177/178, linha 13). Se as duas bombas do skid são as da linha 13, as bombas estão contadas duas vezes (KSB NF 34370 e PHD NF 1551). Pedir a composição do fornecimento da NF 1551.</t>
  </si>
  <si>
    <t xml:space="preserve">ANP Fig. 175, 176</t>
  </si>
  <si>
    <t xml:space="preserve">Cotação METROVAL 230200112STM-SC-RevE (30/08/2023), item (d): 1 unidade de skid para operações de descarga de caminhões-tanque, com duas bombas, estrutura metálica da plataforma exclusa; sem preço individual; a proposta prevê faturamento direto da PHD MASTER (100 % contra entrega, 30 DDL). Correlato: cotação ECOSERV 036/24 Rev. 00 (20/02/2024) – 4 amostradores "sampler" de hidrocarboneto KFW para skid de descarga (alumínio/vidro borossilicato, válvula deadman 3/4"), R$ 25.000,00/un. = R$ 100.000,00 (= NF 142 Ecoserv, exata).</t>
  </si>
  <si>
    <t xml:space="preserve">A cotação confirma "skid de descarga com duas bombas" e o faturamento direto pela PHD Master, o que explica a NF 1551 (PHD, R$ 1.728.513,25, valor exato da linha). Os 4 amostradores KFW (Ecoserv, NF 142, R$ 100.000,00) são componentes deste skid de descarga (a cotação diz "uso/aplicação: skid descarga"). Ver linha 13 sobre as duas bombas (B-3124/B-3125 cotadas pela KSB). Pendência: composição da NF 1551 e caracterização de campo do skid (placa, medidores, válvulas).</t>
  </si>
  <si>
    <r>
      <rPr>
        <b val="true"/>
        <sz val="9"/>
        <color rgb="FF000000"/>
        <rFont val="Arial"/>
        <family val="0"/>
        <charset val="1"/>
      </rPr>
      <t xml:space="preserve">LINHA 14d – Skid de DESCARGA de caminhões-tanque com duas bombas (PLDCT-03) [CONJUNTO]
Crítica: </t>
    </r>
    <r>
      <rPr>
        <sz val="9"/>
        <color rgb="FF000000"/>
        <rFont val="Arial"/>
        <family val="0"/>
        <charset val="1"/>
      </rPr>
      <t xml:space="preserve">Unidade de skid para operações de descarga de caminhões-tanque, com duas bombas – 1 un. × R$ 1.728.513,25 = R$ 1.728.513,25; fornecedor Metroval Controle de Fluídos Ltda.; Finame 03204045. </t>
    </r>
    <r>
      <rPr>
        <b val="true"/>
        <sz val="9"/>
        <color rgb="FFC00000"/>
        <rFont val="Arial"/>
        <family val="0"/>
        <charset val="1"/>
      </rPr>
      <t xml:space="preserve">NF: </t>
    </r>
    <r>
      <rPr>
        <sz val="9"/>
        <color rgb="FFC00000"/>
        <rFont val="Arial"/>
        <family val="0"/>
        <charset val="1"/>
      </rPr>
      <t xml:space="preserve">NF 1551 de 01/03/2024 – PHD Master Consultoria Ltda (CNPJ 68.806.496/0001-29): "Itens diversos", R$ 1.728.513,25 – valor exato da linha, emitente PHD MASTER CONSULTORIA, não Metroval. </t>
    </r>
    <r>
      <rPr>
        <b val="true"/>
        <sz val="9"/>
        <color rgb="FF00703C"/>
        <rFont val="Arial"/>
        <family val="0"/>
        <charset val="1"/>
      </rPr>
      <t xml:space="preserve">SAP: </t>
    </r>
    <r>
      <rPr>
        <sz val="9"/>
        <color rgb="FF00703C"/>
        <rFont val="Arial"/>
        <family val="0"/>
        <charset val="1"/>
      </rPr>
      <t xml:space="preserve">não há cadastro do skid; as bombas B-3124/B-3125 estão no SAP como "BOMBA CENTRIFUGA DESCARREG" (local PTM-10). </t>
    </r>
    <r>
      <rPr>
        <b val="true"/>
        <sz val="9"/>
        <color rgb="FFB38600"/>
        <rFont val="Arial"/>
        <family val="0"/>
        <charset val="1"/>
      </rPr>
      <t xml:space="preserve">Projeto: </t>
    </r>
    <r>
      <rPr>
        <sz val="9"/>
        <color rgb="FFB38600"/>
        <rFont val="Arial"/>
        <family val="0"/>
        <charset val="1"/>
      </rPr>
      <t xml:space="preserve">DE-3100-5100-006: plataforma de descarga PLDCT-03; LI-3100-6107: trole e chuveiros da "plataforma de descarga rodoviária"; LI-6105: linhas HC 1200-1205 das bombas </t>
    </r>
    <r>
      <rPr>
        <strike val="true"/>
        <sz val="9"/>
        <color rgb="FFB38600"/>
        <rFont val="Arial"/>
        <family val="0"/>
        <charset val="1"/>
      </rPr>
      <t xml:space="preserve">B-3124</t>
    </r>
    <r>
      <rPr>
        <sz val="9"/>
        <color rgb="FFB38600"/>
        <rFont val="Arial"/>
        <family val="0"/>
        <charset val="1"/>
      </rPr>
      <t xml:space="preserve">/3125. 
</t>
    </r>
    <r>
      <rPr>
        <b val="true"/>
        <sz val="9"/>
        <color rgb="FFC00000"/>
        <rFont val="Arial"/>
        <family val="0"/>
        <charset val="1"/>
      </rPr>
      <t xml:space="preserve">NF (colunas K-Q): </t>
    </r>
    <r>
      <rPr>
        <sz val="9"/>
        <color rgb="FFC00000"/>
        <rFont val="Arial"/>
        <family val="0"/>
        <charset val="1"/>
      </rPr>
      <t xml:space="preserve">NF nº 1551 de 01/03/2024 – </t>
    </r>
    <r>
      <rPr>
        <strike val="true"/>
        <sz val="9"/>
        <color rgb="FFC00000"/>
        <rFont val="Arial"/>
        <family val="0"/>
        <charset val="1"/>
      </rPr>
      <t xml:space="preserve">PHD Master Consultoria Ltda</t>
    </r>
    <r>
      <rPr>
        <sz val="9"/>
        <color rgb="FFC00000"/>
        <rFont val="Arial"/>
        <family val="0"/>
        <charset val="1"/>
      </rPr>
      <t xml:space="preserve"> (</t>
    </r>
    <r>
      <rPr>
        <strike val="true"/>
        <sz val="9"/>
        <color rgb="FFC00000"/>
        <rFont val="Arial"/>
        <family val="0"/>
        <charset val="1"/>
      </rPr>
      <t xml:space="preserve">68.806.496/0001-29</t>
    </r>
    <r>
      <rPr>
        <sz val="9"/>
        <color rgb="FFC00000"/>
        <rFont val="Arial"/>
        <family val="0"/>
        <charset val="1"/>
      </rPr>
      <t xml:space="preserve">) – valor comprovado R$ 1.728.513,25. </t>
    </r>
    <r>
      <rPr>
        <b val="true"/>
        <sz val="9"/>
        <color rgb="FF000000"/>
        <rFont val="Arial"/>
        <family val="0"/>
        <charset val="1"/>
      </rPr>
      <t xml:space="preserve">Atribuição: </t>
    </r>
    <r>
      <rPr>
        <sz val="9"/>
        <color rgb="FF000000"/>
        <rFont val="Arial"/>
        <family val="0"/>
        <charset val="1"/>
      </rPr>
      <t xml:space="preserve">valor exato; emitente PHD MASTER CONSULTORIA, não Metroval. </t>
    </r>
    <r>
      <rPr>
        <b val="true"/>
        <sz val="9"/>
        <color rgb="FF000000"/>
        <rFont val="Arial"/>
        <family val="0"/>
        <charset val="1"/>
      </rPr>
      <t xml:space="preserve">Crítica (colunas N-P): </t>
    </r>
    <r>
      <rPr>
        <sz val="9"/>
        <color rgb="FF000000"/>
        <rFont val="Arial"/>
        <family val="0"/>
        <charset val="1"/>
      </rPr>
      <t xml:space="preserve">qtd 1, unitário R$ 1.728.513,25, total R$ 1.728.513,25. 
</t>
    </r>
    <r>
      <rPr>
        <b val="true"/>
        <sz val="9"/>
        <color rgb="FF000000"/>
        <rFont val="Arial"/>
        <family val="0"/>
        <charset val="1"/>
      </rPr>
      <t xml:space="preserve">Ficha (colunas E-J): Marca: </t>
    </r>
    <r>
      <rPr>
        <sz val="9"/>
        <color rgb="FF000000"/>
        <rFont val="Arial"/>
        <family val="0"/>
        <charset val="1"/>
      </rPr>
      <t xml:space="preserve">Metroval (crítica). </t>
    </r>
    <r>
      <rPr>
        <b val="true"/>
        <sz val="9"/>
        <color rgb="FF1F4E9A"/>
        <rFont val="Arial"/>
        <family val="0"/>
        <charset val="1"/>
      </rPr>
      <t xml:space="preserve">Modelo: </t>
    </r>
    <r>
      <rPr>
        <sz val="9"/>
        <color rgb="FF1F4E9A"/>
        <rFont val="Arial"/>
        <family val="0"/>
        <charset val="1"/>
      </rPr>
      <t xml:space="preserve">não identificado. </t>
    </r>
    <r>
      <rPr>
        <b val="true"/>
        <sz val="9"/>
        <color rgb="FF000000"/>
        <rFont val="Arial"/>
        <family val="0"/>
        <charset val="1"/>
      </rPr>
      <t xml:space="preserve">Capacidade: </t>
    </r>
    <r>
      <rPr>
        <sz val="9"/>
        <color rgb="FF000000"/>
        <rFont val="Arial"/>
        <family val="0"/>
        <charset val="1"/>
      </rPr>
      <t xml:space="preserve">2 bombas (crítica). </t>
    </r>
    <r>
      <rPr>
        <b val="true"/>
        <sz val="9"/>
        <color rgb="FF1F4E9A"/>
        <rFont val="Arial"/>
        <family val="0"/>
        <charset val="1"/>
      </rPr>
      <t xml:space="preserve">Série/OP: </t>
    </r>
    <r>
      <rPr>
        <sz val="9"/>
        <color rgb="FF1F4E9A"/>
        <rFont val="Arial"/>
        <family val="0"/>
        <charset val="1"/>
      </rPr>
      <t xml:space="preserve">não lido. </t>
    </r>
    <r>
      <rPr>
        <b val="true"/>
        <sz val="9"/>
        <color rgb="FF00703C"/>
        <rFont val="Arial"/>
        <family val="0"/>
        <charset val="1"/>
      </rPr>
      <t xml:space="preserve">TAG/SAP: </t>
    </r>
    <r>
      <rPr>
        <sz val="9"/>
        <color rgb="FF00703C"/>
        <rFont val="Arial"/>
        <family val="0"/>
        <charset val="1"/>
      </rPr>
      <t xml:space="preserve">não consta na base SAP (seleção). </t>
    </r>
    <r>
      <rPr>
        <b val="true"/>
        <sz val="9"/>
        <color rgb="FF1F4E9A"/>
        <rFont val="Arial"/>
        <family val="0"/>
        <charset val="1"/>
      </rPr>
      <t xml:space="preserve">Fabricação: </t>
    </r>
    <r>
      <rPr>
        <strike val="true"/>
        <sz val="9"/>
        <color rgb="FF1F4E9A"/>
        <rFont val="Arial"/>
        <family val="0"/>
        <charset val="1"/>
      </rPr>
      <t xml:space="preserve">não lido</t>
    </r>
    <r>
      <rPr>
        <sz val="9"/>
        <color rgb="FF1F4E9A"/>
        <rFont val="Arial"/>
        <family val="0"/>
        <charset val="1"/>
      </rPr>
      <t xml:space="preserve">. 
</t>
    </r>
    <r>
      <rPr>
        <b val="true"/>
        <sz val="9"/>
        <color rgb="FF000000"/>
        <rFont val="Arial"/>
        <family val="0"/>
        <charset val="1"/>
      </rPr>
      <t xml:space="preserve">Obs. (coluna T): </t>
    </r>
    <r>
      <rPr>
        <sz val="9"/>
        <color rgb="FF000000"/>
        <rFont val="Arial"/>
        <family val="0"/>
        <charset val="1"/>
      </rPr>
      <t xml:space="preserve">Sem caracterização de campo do skid. As imagens ANP Fig. 175/176 ("bomba de descarregamento de produto da plataforma rodoviária, lado A/B") mostram os mesmos conjuntos KSB/WEG das </t>
    </r>
    <r>
      <rPr>
        <strike val="true"/>
        <sz val="9"/>
        <color rgb="FF000000"/>
        <rFont val="Arial"/>
        <family val="0"/>
        <charset val="1"/>
      </rPr>
      <t xml:space="preserve">B-3124</t>
    </r>
    <r>
      <rPr>
        <sz val="9"/>
        <color rgb="FF000000"/>
        <rFont val="Arial"/>
        <family val="0"/>
        <charset val="1"/>
      </rPr>
      <t xml:space="preserve">/</t>
    </r>
    <r>
      <rPr>
        <strike val="true"/>
        <sz val="9"/>
        <color rgb="FF000000"/>
        <rFont val="Arial"/>
        <family val="0"/>
        <charset val="1"/>
      </rPr>
      <t xml:space="preserve">B-3125</t>
    </r>
    <r>
      <rPr>
        <sz val="9"/>
        <color rgb="FF000000"/>
        <rFont val="Arial"/>
        <family val="0"/>
        <charset val="1"/>
      </rPr>
      <t xml:space="preserve"> (Fig. 177/178, linha 13). Se as duas bombas do skid são as da linha 13, as bombas estão contadas duas vezes (KSB NF 34370 e PHD NF 1551). Pedir a composição do fornecimento da NF 1551. </t>
    </r>
    <r>
      <rPr>
        <b val="true"/>
        <sz val="9"/>
        <color rgb="FF000000"/>
        <rFont val="Arial"/>
        <family val="0"/>
        <charset val="1"/>
      </rPr>
      <t xml:space="preserve">Fotos (coluna U): </t>
    </r>
    <r>
      <rPr>
        <strike val="true"/>
        <sz val="9"/>
        <color rgb="FF000000"/>
        <rFont val="Arial"/>
        <family val="0"/>
        <charset val="1"/>
      </rPr>
      <t xml:space="preserve">ANP Fig. 175, 176</t>
    </r>
    <r>
      <rPr>
        <sz val="9"/>
        <color rgb="FF000000"/>
        <rFont val="Arial"/>
        <family val="0"/>
        <charset val="1"/>
      </rPr>
      <t xml:space="preserve">. 
</t>
    </r>
    <r>
      <rPr>
        <b val="true"/>
        <sz val="9"/>
        <color rgb="FF002060"/>
        <rFont val="Arial"/>
        <family val="0"/>
        <charset val="1"/>
      </rPr>
      <t xml:space="preserve">Cotação OPE154: </t>
    </r>
    <r>
      <rPr>
        <sz val="9"/>
        <color rgb="FF002060"/>
        <rFont val="Arial"/>
        <family val="0"/>
        <charset val="1"/>
      </rPr>
      <t xml:space="preserve">Cotação METROVAL 230200112STM-SC-RevE (30/08/2023), item (d): 1 unidade de skid para operações de descarga de caminhões-tanque, com duas bombas, estrutura metálica da plataforma exclusa; sem preço individual; a proposta prevê faturamento direto da PHD MASTER (100 % contra entrega, 30 DDL). Correlato: cotação ECOSERV 036/24 Rev. 00 (20/02/2024) – 4 amostradores "sampler" de hidrocarboneto KFW para skid de descarga (alumínio/vidro borossilicato, válvula deadman 3/4"), R$ 25.000,00/un. = R$ 100.000,00 (= NF 142 Ecoserv, exata). 
</t>
    </r>
    <r>
      <rPr>
        <b val="true"/>
        <sz val="9"/>
        <color rgb="FF7030A0"/>
        <rFont val="Arial"/>
        <family val="0"/>
        <charset val="1"/>
      </rPr>
      <t xml:space="preserve">Novo v2 (achados / correções / proposições): </t>
    </r>
    <r>
      <rPr>
        <sz val="9"/>
        <color rgb="FF7030A0"/>
        <rFont val="Arial"/>
        <family val="0"/>
        <charset val="1"/>
      </rPr>
      <t xml:space="preserve">A cotação confirma "skid de descarga com duas bombas" e o faturamento direto pela PHD Master, o que explica a NF 1551 (PHD, R$ 1.728.513,25, valor exato da linha). Os 4 amostradores KFW (Ecoserv, NF 142, R$ 100.000,00) são componentes deste skid de descarga (a cotação diz "uso/aplicação: skid descarga"). Ver linha 13 sobre as duas bombas (B-3124/B-3125 cotadas pela KSB). Pendência: composição da NF 1551 e caracterização de campo do skid (placa, medidores, válvulas). </t>
    </r>
  </si>
  <si>
    <t xml:space="preserve">14e</t>
  </si>
  <si>
    <t xml:space="preserve">Carregamento ferroviário (braços TSPRO, SDV, sensores, alvos, botoeiras)</t>
  </si>
  <si>
    <r>
      <rPr>
        <b val="true"/>
        <sz val="9"/>
        <color rgb="FF000000"/>
        <rFont val="Arial"/>
        <family val="0"/>
        <charset val="1"/>
      </rPr>
      <t xml:space="preserve">Crítica: </t>
    </r>
    <r>
      <rPr>
        <sz val="9"/>
        <color rgb="FF000000"/>
        <rFont val="Arial"/>
        <family val="0"/>
        <charset val="1"/>
      </rPr>
      <t xml:space="preserve">Carregamento ferroviário: 10 válvulas SDV para o braço de carregamento; 10 sensores para os braços, modelo XNNN-0210, com proteção mecânica; 30 alvos de braço abaixado MS-PSH-G; 6 botoeiras de emergência – 1 un. × R$ 1.462.832,34 = R$ 1.462.832,34; fornecedor Metroval Controle de Fluídos Ltda.; Finame 03204045.NF: prováveis: NF 42239 de 13/11/2024 – Metroval Controle de Fluidos Ltda (CNPJ 58.762.956/0001-00): "Válvula on-off", R$ 260.000,03; NF 7032 de 04/06/2024 – TSPRO Fab. Dist. e Rep. de Equip. Industriais (CNPJ 13.108.393/0001-01): "BT modelo C 4 pol. vedações", R$ 87.357,24; NF 7488 de 03/10/2024 – TSPRO Fab. Dist. e Rep. de Equip. Industriais (CNPJ 13.108.393/0001-01): "BT modelo C 4 pol.", R$ 218.393,10.SAP: não consta na base SAP (seleção).Projeto: LI-3100-6107: trole da plataforma de descarga ferroviária e visores de fluxo do desvio ferroviário (H-3177 a 31204) – não detalha braços/SDV.</t>
    </r>
  </si>
  <si>
    <t xml:space="preserve">Metroval (crítica) / TSPRO (braços)</t>
  </si>
  <si>
    <t xml:space="preserve">braços TSPRO BTC-42CA.0466-4, 4"</t>
  </si>
  <si>
    <t xml:space="preserve">10 SDV, 10 sensores XNNN-0210, 30 alvos MS-PSH-G, 6 botoeiras (crítica)</t>
  </si>
  <si>
    <t xml:space="preserve">rastreamento 7741/24-02 a -05; BP-2123</t>
  </si>
  <si>
    <t xml:space="preserve">28/05/2024 (lote 1)</t>
  </si>
  <si>
    <t xml:space="preserve">A crítica descreve SDV, sensores, alvos e botoeiras; em campo foram caracterizados os braços TSPRO (2 pedidos de compra: 5700013342 e 5700017052) e as plataformas 8 a 14 lado B (7 ilhas no preset). SDV, sensores, alvos e botoeiras não foram contados um a um. A NF 42239 (Metroval, válvulas on-off) é compatível com as 10 SDV; as NFs TSPRO, com os braços.</t>
  </si>
  <si>
    <t xml:space="preserve">0886-0960 | ANP Fig. 119, 128, 131</t>
  </si>
  <si>
    <t xml:space="preserve">Cotação METROVAL 230200112STM-SC-RevE (30/08/2023), item (e): "1 unidade de carregamento ferroviário", sem detalhamento de braços, SDV, sensores, alvos ou botoeiras e sem preço individual. Correlatos: cotação VIDRAK 184481 (27/02/2024, cotação cliente BPA-0041-24) – 28 visores de fluxo 4" flangeados "Ferroviária" (R$ 2.080,03) + 4 "Rodoviária" (R$ 2.110,80) = R$ 66.684,04 (visores H-3177 a 31204 da LI-3100-6107); cotação NAVILLE/EWRBOT 88097 Rev1 (29/02/2024) – 11 botões de emergência Sermatex SGEX22GBETRN11 1NA+1NF, R$ 744,11/un. com ST e IPI = R$ 8.185,21. TSPRO (braços BTC) não consta no OPE154 nem na lista de faturamento direto da proposta Metroval.</t>
  </si>
  <si>
    <t xml:space="preserve">A cotação não detalha o "carregamento ferroviário"; a crítica (10 SDV, 10 sensores XNNN-0210, 30 alvos MS-PSH-G, 6 botoeiras) é mais específica que a proposta. A NF 42239 Metroval ("válvula on-off", R$ 260.000,03) continua a melhor candidata às 10 SDV (campo leu VOOM-100: SDV-3103, 3111, 3112, 3113). Os braços TSPRO BTC-42CA.0466-4 (2 pedidos de compra) não estão na proposta Metroval nem na lista de faturamento direto – compra direta da Ultracargo (NFs TSPRO 7032/7488). Os 11 botões de emergência Sermatex (Naville, R$ 8.185,21) foram cotados à parte em 02/2024 – as "6 botoeiras" da crítica podem não ser fornecimento Metroval. Proposição: tratar 14e como "unidade de carregamento ferroviário" composta por braços TSPRO + SDV Metroval + sensores/alvos/botoeiras, e fotografar uma SDV com placa, um sensor e um alvo para o relatório.</t>
  </si>
  <si>
    <r>
      <rPr>
        <b val="true"/>
        <sz val="9"/>
        <color rgb="FF000000"/>
        <rFont val="Arial"/>
        <family val="0"/>
        <charset val="1"/>
      </rPr>
      <t xml:space="preserve">LINHA 14e – Carregamento ferroviário (braços TSPRO, SDV, sensores, alvos, botoeiras) [CONJUNTO]
Crítica: </t>
    </r>
    <r>
      <rPr>
        <sz val="9"/>
        <color rgb="FF000000"/>
        <rFont val="Arial"/>
        <family val="0"/>
        <charset val="1"/>
      </rPr>
      <t xml:space="preserve">Carregamento ferroviário: 10 válvulas SDV para o braço de carregamento; 10 sensores para os braços, modelo XNNN-0210, com proteção mecânica; 30 alvos de braço abaixado MS-PSH-G; 6 botoeiras de emergência – 1 un. × R$ 1.462.832,34 = R$ 1.462.832,34; fornecedor Metroval Controle de Fluídos Ltda.; Finame 03204045. </t>
    </r>
    <r>
      <rPr>
        <b val="true"/>
        <sz val="9"/>
        <color rgb="FFC00000"/>
        <rFont val="Arial"/>
        <family val="0"/>
        <charset val="1"/>
      </rPr>
      <t xml:space="preserve">NF: </t>
    </r>
    <r>
      <rPr>
        <sz val="9"/>
        <color rgb="FFC00000"/>
        <rFont val="Arial"/>
        <family val="0"/>
        <charset val="1"/>
      </rPr>
      <t xml:space="preserve">prováveis: NF 42239 de 13/11/2024 – Metroval Controle de Fluidos Ltda (CNPJ 58.762.956/0001-00): "Válvula on-off", R$ 260.000,03; NF 7032 de 04/06/2024 – TSPRO Fab. Dist. e Rep. de Equip. Industriais (CNPJ 13.108.393/0001-01): "BT modelo C 4 pol. vedações", R$ 87.357,24; NF 7488 de 03/10/2024 – </t>
    </r>
    <r>
      <rPr>
        <strike val="true"/>
        <sz val="9"/>
        <color rgb="FFC00000"/>
        <rFont val="Arial"/>
        <family val="0"/>
        <charset val="1"/>
      </rPr>
      <t xml:space="preserve">TSPRO Fab. Dist. e Rep. de Equip. Industriais</t>
    </r>
    <r>
      <rPr>
        <sz val="9"/>
        <color rgb="FFC00000"/>
        <rFont val="Arial"/>
        <family val="0"/>
        <charset val="1"/>
      </rPr>
      <t xml:space="preserve"> (CNPJ </t>
    </r>
    <r>
      <rPr>
        <strike val="true"/>
        <sz val="9"/>
        <color rgb="FFC00000"/>
        <rFont val="Arial"/>
        <family val="0"/>
        <charset val="1"/>
      </rPr>
      <t xml:space="preserve">13.108.393/0001-01</t>
    </r>
    <r>
      <rPr>
        <sz val="9"/>
        <color rgb="FFC00000"/>
        <rFont val="Arial"/>
        <family val="0"/>
        <charset val="1"/>
      </rPr>
      <t xml:space="preserve">): "BT modelo C 4 pol.", R$ 218.393,10. </t>
    </r>
    <r>
      <rPr>
        <b val="true"/>
        <sz val="9"/>
        <color rgb="FF00703C"/>
        <rFont val="Arial"/>
        <family val="0"/>
        <charset val="1"/>
      </rPr>
      <t xml:space="preserve">SAP: </t>
    </r>
    <r>
      <rPr>
        <sz val="9"/>
        <color rgb="FF00703C"/>
        <rFont val="Arial"/>
        <family val="0"/>
        <charset val="1"/>
      </rPr>
      <t xml:space="preserve">não consta na base SAP (seleção). </t>
    </r>
    <r>
      <rPr>
        <b val="true"/>
        <sz val="9"/>
        <color rgb="FFB38600"/>
        <rFont val="Arial"/>
        <family val="0"/>
        <charset val="1"/>
      </rPr>
      <t xml:space="preserve">Projeto: </t>
    </r>
    <r>
      <rPr>
        <sz val="9"/>
        <color rgb="FFB38600"/>
        <rFont val="Arial"/>
        <family val="0"/>
        <charset val="1"/>
      </rPr>
      <t xml:space="preserve">LI-3100-6107: trole da plataforma de descarga ferroviária e visores de fluxo do desvio ferroviário (H-3177 a 31204) – não detalha braços/SDV. </t>
    </r>
    <r>
      <rPr>
        <b val="true"/>
        <sz val="9"/>
        <color rgb="FF000000"/>
        <rFont val="Arial"/>
        <family val="0"/>
        <charset val="1"/>
      </rPr>
      <t xml:space="preserve">Crítica (colunas N-P): </t>
    </r>
    <r>
      <rPr>
        <sz val="9"/>
        <color rgb="FF000000"/>
        <rFont val="Arial"/>
        <family val="0"/>
        <charset val="1"/>
      </rPr>
      <t xml:space="preserve">qtd 1, unitário R$ 1.462.832,34, total R$ 1.462.832,34. 
</t>
    </r>
    <r>
      <rPr>
        <b val="true"/>
        <sz val="9"/>
        <color rgb="FF000000"/>
        <rFont val="Arial"/>
        <family val="0"/>
        <charset val="1"/>
      </rPr>
      <t xml:space="preserve">Ficha (colunas E-J): </t>
    </r>
    <r>
      <rPr>
        <b val="true"/>
        <sz val="9"/>
        <color rgb="FF1F4E9A"/>
        <rFont val="Arial"/>
        <family val="0"/>
        <charset val="1"/>
      </rPr>
      <t xml:space="preserve">Marca: </t>
    </r>
    <r>
      <rPr>
        <sz val="9"/>
        <color rgb="FF1F4E9A"/>
        <rFont val="Arial"/>
        <family val="0"/>
        <charset val="1"/>
      </rPr>
      <t xml:space="preserve">Metroval (crítica) / TSPRO (braços). </t>
    </r>
    <r>
      <rPr>
        <b val="true"/>
        <sz val="9"/>
        <color rgb="FF1F4E9A"/>
        <rFont val="Arial"/>
        <family val="0"/>
        <charset val="1"/>
      </rPr>
      <t xml:space="preserve">Modelo: </t>
    </r>
    <r>
      <rPr>
        <sz val="9"/>
        <color rgb="FF1F4E9A"/>
        <rFont val="Arial"/>
        <family val="0"/>
        <charset val="1"/>
      </rPr>
      <t xml:space="preserve">braços TSPRO BTC-42CA.0466-4, 4". </t>
    </r>
    <r>
      <rPr>
        <b val="true"/>
        <sz val="9"/>
        <color rgb="FF000000"/>
        <rFont val="Arial"/>
        <family val="0"/>
        <charset val="1"/>
      </rPr>
      <t xml:space="preserve">Capacidade: </t>
    </r>
    <r>
      <rPr>
        <sz val="9"/>
        <color rgb="FF000000"/>
        <rFont val="Arial"/>
        <family val="0"/>
        <charset val="1"/>
      </rPr>
      <t xml:space="preserve">10 SDV, 10 sensores XNNN-0210, 30 alvos MS-PSH-G, 6 botoeiras (crítica). </t>
    </r>
    <r>
      <rPr>
        <b val="true"/>
        <sz val="9"/>
        <color rgb="FF1F4E9A"/>
        <rFont val="Arial"/>
        <family val="0"/>
        <charset val="1"/>
      </rPr>
      <t xml:space="preserve">Série/OP: </t>
    </r>
    <r>
      <rPr>
        <sz val="9"/>
        <color rgb="FF1F4E9A"/>
        <rFont val="Arial"/>
        <family val="0"/>
        <charset val="1"/>
      </rPr>
      <t xml:space="preserve">rastreamento 7741/24-02 a -05; BP-2123. </t>
    </r>
    <r>
      <rPr>
        <b val="true"/>
        <sz val="9"/>
        <color rgb="FF00703C"/>
        <rFont val="Arial"/>
        <family val="0"/>
        <charset val="1"/>
      </rPr>
      <t xml:space="preserve">TAG/SAP: </t>
    </r>
    <r>
      <rPr>
        <strike val="true"/>
        <sz val="9"/>
        <color rgb="FF00703C"/>
        <rFont val="Arial"/>
        <family val="0"/>
        <charset val="1"/>
      </rPr>
      <t xml:space="preserve">não consta na base SAP (seleção)</t>
    </r>
    <r>
      <rPr>
        <sz val="9"/>
        <color rgb="FF00703C"/>
        <rFont val="Arial"/>
        <family val="0"/>
        <charset val="1"/>
      </rPr>
      <t xml:space="preserve">. </t>
    </r>
    <r>
      <rPr>
        <b val="true"/>
        <sz val="9"/>
        <color rgb="FF1F4E9A"/>
        <rFont val="Arial"/>
        <family val="0"/>
        <charset val="1"/>
      </rPr>
      <t xml:space="preserve">Fabricação: </t>
    </r>
    <r>
      <rPr>
        <sz val="9"/>
        <color rgb="FF1F4E9A"/>
        <rFont val="Arial"/>
        <family val="0"/>
        <charset val="1"/>
      </rPr>
      <t xml:space="preserve">28/05/2024 (lote 1). 
</t>
    </r>
    <r>
      <rPr>
        <b val="true"/>
        <sz val="9"/>
        <color rgb="FF000000"/>
        <rFont val="Arial"/>
        <family val="0"/>
        <charset val="1"/>
      </rPr>
      <t xml:space="preserve">Obs. (coluna T): </t>
    </r>
    <r>
      <rPr>
        <sz val="9"/>
        <color rgb="FF000000"/>
        <rFont val="Arial"/>
        <family val="0"/>
        <charset val="1"/>
      </rPr>
      <t xml:space="preserve">A crítica descreve SDV, sensores, alvos e botoeiras; em campo foram caracterizados os braços TSPRO (2 pedidos de compra: 5700013342 e 5700017052) e as plataformas 8 a 14 lado B (7 ilhas no preset). SDV, sensores, alvos e botoeiras não foram contados um a um. A NF 42239 (Metroval, válvulas on-off) é compatível com as 10 SDV; as NFs TSPRO, com os braços. </t>
    </r>
    <r>
      <rPr>
        <b val="true"/>
        <sz val="9"/>
        <color rgb="FF000000"/>
        <rFont val="Arial"/>
        <family val="0"/>
        <charset val="1"/>
      </rPr>
      <t xml:space="preserve">Fotos (coluna U): </t>
    </r>
    <r>
      <rPr>
        <sz val="9"/>
        <color rgb="FF000000"/>
        <rFont val="Arial"/>
        <family val="0"/>
        <charset val="1"/>
      </rPr>
      <t xml:space="preserve">0886-0960 | ANP Fig. 119, 128, 131. 
</t>
    </r>
    <r>
      <rPr>
        <b val="true"/>
        <sz val="9"/>
        <color rgb="FF002060"/>
        <rFont val="Arial"/>
        <family val="0"/>
        <charset val="1"/>
      </rPr>
      <t xml:space="preserve">Cotação OPE154: </t>
    </r>
    <r>
      <rPr>
        <sz val="9"/>
        <color rgb="FF002060"/>
        <rFont val="Arial"/>
        <family val="0"/>
        <charset val="1"/>
      </rPr>
      <t xml:space="preserve">Cotação METROVAL 230200112STM-SC-RevE (30/08/2023), item (e): "1 unidade de carregamento ferroviário", sem detalhamento de braços, SDV, sensores, alvos ou botoeiras e sem preço individual. Correlatos: cotação VIDRAK 184481 (27/02/2024, cotação cliente BPA-0041-24) – 28 visores de fluxo 4" flangeados "Ferroviária" (R$ 2.080,03) + 4 "Rodoviária" (R$ 2.110,80) = R$ 66.684,04 (visores H-3177 a 31204 da LI-3100-6107); cotação NAVILLE/EWRBOT 88097 Rev1 (29/02/2024) – 11 botões de emergência Sermatex SGEX22GBETRN11 1NA+1NF, R$ 744,11/un. com ST e IPI = R$ 8.185,21. TSPRO (braços BTC) não consta no OPE154 nem na lista de faturamento direto da proposta Metroval. 
</t>
    </r>
    <r>
      <rPr>
        <b val="true"/>
        <sz val="9"/>
        <color rgb="FF7030A0"/>
        <rFont val="Arial"/>
        <family val="0"/>
        <charset val="1"/>
      </rPr>
      <t xml:space="preserve">Novo v2 (achados / correções / proposições): </t>
    </r>
    <r>
      <rPr>
        <sz val="9"/>
        <color rgb="FF7030A0"/>
        <rFont val="Arial"/>
        <family val="0"/>
        <charset val="1"/>
      </rPr>
      <t xml:space="preserve">A cotação não detalha o "carregamento ferroviário"; a crítica (10 SDV, 10 sensores XNNN-0210, 30 alvos MS-PSH-G, 6 botoeiras) é mais específica que a proposta. A NF 42239 Metroval ("válvula on-off", R$ 260.000,03) continua a melhor candidata às 10 SDV (campo leu VOOM-100: SDV-3103, 3111, 3112, 3113). Os braços TSPRO BTC-42CA.0466-4 (2 pedidos de compra) não estão na proposta Metroval nem na lista de faturamento direto – compra direta da Ultracargo (NFs TSPRO 7032/7488). Os 11 botões de emergência Sermatex (Naville, R$ 8.185,21) foram cotados à parte em 02/2024 – as "6 botoeiras" da crítica podem não ser fornecimento Metroval. Proposição: tratar 14e como "unidade de carregamento ferroviário" composta por braços TSPRO + SDV Metroval + sensores/alvos/botoeiras, e fotografar uma SDV com placa, um sensor e um alvo para o relatório. 
</t>
    </r>
    <r>
      <rPr>
        <b val="true"/>
        <sz val="9"/>
        <color rgb="FF000000"/>
        <rFont val="Arial"/>
        <family val="0"/>
        <charset val="1"/>
      </rPr>
      <t xml:space="preserve">COMPONENTES (3):
• BR ferrov. (lote 1): </t>
    </r>
    <r>
      <rPr>
        <b val="true"/>
        <sz val="9"/>
        <color rgb="FF1F4E9A"/>
        <rFont val="Arial"/>
        <family val="0"/>
        <charset val="1"/>
      </rPr>
      <t xml:space="preserve">Placa/campo: </t>
    </r>
    <r>
      <rPr>
        <sz val="9"/>
        <color rgb="FF1F4E9A"/>
        <rFont val="Arial"/>
        <family val="0"/>
        <charset val="1"/>
      </rPr>
      <t xml:space="preserve">Braco de carregamento superior (ferroviario) – TSPRO, BTC-42CA.0466-4, série Num. rastr. 7741/24-02, -03, -04, -05, Pedido de compra 5700013342, 28/05/2024, TSPRO | ASME B31.3 / ASME IX | BTC-42CA.0466-4 | 4" CARB. ALUM. / VITON | Cliente ULTRACARGO PALMEIRANTE | 4 unidades com rastreamento individual lido, Carregamento ferroviario. </t>
    </r>
    <r>
      <rPr>
        <b val="true"/>
        <sz val="9"/>
        <color rgb="FF000000"/>
        <rFont val="Arial"/>
        <family val="0"/>
        <charset val="1"/>
      </rPr>
      <t xml:space="preserve">Obs.: </t>
    </r>
    <r>
      <rPr>
        <sz val="9"/>
        <color rgb="FF000000"/>
        <rFont val="Arial"/>
        <family val="0"/>
        <charset val="1"/>
      </rPr>
      <t xml:space="preserve">Sem dado teórico individual. Pendente/ilegível: rastreamento de ~6 bracos ilegivel por reflexo. </t>
    </r>
    <r>
      <rPr>
        <b val="true"/>
        <sz val="9"/>
        <color rgb="FF000000"/>
        <rFont val="Arial"/>
        <family val="0"/>
        <charset val="1"/>
      </rPr>
      <t xml:space="preserve">Fotos: </t>
    </r>
    <r>
      <rPr>
        <sz val="9"/>
        <color rgb="FF000000"/>
        <rFont val="Arial"/>
        <family val="0"/>
        <charset val="1"/>
      </rPr>
      <t xml:space="preserve">0888-0931. 
</t>
    </r>
    <r>
      <rPr>
        <b val="true"/>
        <sz val="9"/>
        <color rgb="FF000000"/>
        <rFont val="Arial"/>
        <family val="0"/>
        <charset val="1"/>
      </rPr>
      <t xml:space="preserve">• BR ferrov. (lote 2): </t>
    </r>
    <r>
      <rPr>
        <b val="true"/>
        <sz val="9"/>
        <color rgb="FF1F4E9A"/>
        <rFont val="Arial"/>
        <family val="0"/>
        <charset val="1"/>
      </rPr>
      <t xml:space="preserve">Placa/campo: </t>
    </r>
    <r>
      <rPr>
        <sz val="9"/>
        <color rgb="FF1F4E9A"/>
        <rFont val="Arial"/>
        <family val="0"/>
        <charset val="1"/>
      </rPr>
      <t xml:space="preserve">Braco de carregamento superior (ferroviario) – TSPRO, BTC-42CA.0466-? (parcial), série Num. rastr. BP-2123, Pedido de compra 5700017052, TSPRO | </t>
    </r>
    <r>
      <rPr>
        <strike val="true"/>
        <sz val="9"/>
        <color rgb="FF1F4E9A"/>
        <rFont val="Arial"/>
        <family val="0"/>
        <charset val="1"/>
      </rPr>
      <t xml:space="preserve">ASME B31.3/ASME IX</t>
    </r>
    <r>
      <rPr>
        <sz val="9"/>
        <color rgb="FF1F4E9A"/>
        <rFont val="Arial"/>
        <family val="0"/>
        <charset val="1"/>
      </rPr>
      <t xml:space="preserve"> | 4" CARBONO AL / VITON | </t>
    </r>
    <r>
      <rPr>
        <strike val="true"/>
        <sz val="9"/>
        <color rgb="FF1F4E9A"/>
        <rFont val="Arial"/>
        <family val="0"/>
        <charset val="1"/>
      </rPr>
      <t xml:space="preserve">Cliente ULTRACARGO PALMEIRANTE</t>
    </r>
    <r>
      <rPr>
        <sz val="9"/>
        <color rgb="FF1F4E9A"/>
        <rFont val="Arial"/>
        <family val="0"/>
        <charset val="1"/>
      </rPr>
      <t xml:space="preserve">, </t>
    </r>
    <r>
      <rPr>
        <strike val="true"/>
        <sz val="9"/>
        <color rgb="FF1F4E9A"/>
        <rFont val="Arial"/>
        <family val="0"/>
        <charset val="1"/>
      </rPr>
      <t xml:space="preserve">Carregamento ferroviario</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Pendente/ilegível: SEGUNDO PEDIDO DE COMPRA - codigo de equipamento e data a confirmar. </t>
    </r>
    <r>
      <rPr>
        <b val="true"/>
        <sz val="9"/>
        <color rgb="FF000000"/>
        <rFont val="Arial"/>
        <family val="0"/>
        <charset val="1"/>
      </rPr>
      <t xml:space="preserve">Fotos: </t>
    </r>
    <r>
      <rPr>
        <sz val="9"/>
        <color rgb="FF000000"/>
        <rFont val="Arial"/>
        <family val="0"/>
        <charset val="1"/>
      </rPr>
      <t xml:space="preserve">0950, 0951, 0956. 
</t>
    </r>
    <r>
      <rPr>
        <b val="true"/>
        <sz val="9"/>
        <color rgb="FF000000"/>
        <rFont val="Arial"/>
        <family val="0"/>
        <charset val="1"/>
      </rPr>
      <t xml:space="preserve">• Plataformas 8 a 14 – lado B: </t>
    </r>
    <r>
      <rPr>
        <b val="true"/>
        <sz val="9"/>
        <color rgb="FF1F4E9A"/>
        <rFont val="Arial"/>
        <family val="0"/>
        <charset val="1"/>
      </rPr>
      <t xml:space="preserve">Placa/campo: </t>
    </r>
    <r>
      <rPr>
        <sz val="9"/>
        <color rgb="FF1F4E9A"/>
        <rFont val="Arial"/>
        <family val="0"/>
        <charset val="1"/>
      </rPr>
      <t xml:space="preserve">7 ilhas cadastradas no preset (ilha 8 = preset 1 ... ilha 14 = preset 7). </t>
    </r>
    <r>
      <rPr>
        <b val="true"/>
        <sz val="9"/>
        <color rgb="FF000000"/>
        <rFont val="Arial"/>
        <family val="0"/>
        <charset val="1"/>
      </rPr>
      <t xml:space="preserve">Obs.: </t>
    </r>
    <r>
      <rPr>
        <sz val="9"/>
        <color rgb="FF000000"/>
        <rFont val="Arial"/>
        <family val="0"/>
        <charset val="1"/>
      </rPr>
      <t xml:space="preserve">Lado A e numeração completa das plataformas a confirmar (pedido M16). </t>
    </r>
    <r>
      <rPr>
        <b val="true"/>
        <sz val="9"/>
        <color rgb="FF000000"/>
        <rFont val="Arial"/>
        <family val="0"/>
        <charset val="1"/>
      </rPr>
      <t xml:space="preserve">Fotos: </t>
    </r>
    <r>
      <rPr>
        <sz val="9"/>
        <color rgb="FF000000"/>
        <rFont val="Arial"/>
        <family val="0"/>
        <charset val="1"/>
      </rPr>
      <t xml:space="preserve">0886, 0897, 0900, 0906, 0923, 0934, 0960, 0917. </t>
    </r>
  </si>
  <si>
    <t xml:space="preserve">BR ferrov. (lote 1)</t>
  </si>
  <si>
    <r>
      <rPr>
        <b val="true"/>
        <sz val="9"/>
        <color rgb="FF1F4E9A"/>
        <rFont val="Arial"/>
        <family val="0"/>
        <charset val="1"/>
      </rPr>
      <t xml:space="preserve">Placa/campo: </t>
    </r>
    <r>
      <rPr>
        <sz val="9"/>
        <color rgb="FF1F4E9A"/>
        <rFont val="Arial"/>
        <family val="0"/>
        <charset val="1"/>
      </rPr>
      <t xml:space="preserve">Braco de carregamento superior (ferroviario) – TSPRO, BTC-42CA.0466-4, série Num. rastr. 7741/24-02, -03, -04, -05, Pedido de compra 5700013342, 28/05/2024, TSPRO | ASME B31.3 / ASME IX | BTC-42CA.0466-4 | 4" CARB. ALUM. / VITON | Cliente ULTRACARGO PALMEIRANTE | 4 unidades com rastreamento individual lido, Carregamento ferroviario.</t>
    </r>
  </si>
  <si>
    <t xml:space="preserve">TSPRO</t>
  </si>
  <si>
    <t xml:space="preserve">BTC-42CA.0466-4</t>
  </si>
  <si>
    <t xml:space="preserve">TSPRO | ASME B31.3 / ASME IX | BTC-42CA.0466-4 | 4" CARB. ALUM. / VITON | Cliente ULTRACARGO PALMEIRANTE | 4 unidades com rastreamento individual lido</t>
  </si>
  <si>
    <t xml:space="preserve">Num. rastr. 7741/24-02, -03, -04, -05</t>
  </si>
  <si>
    <t xml:space="preserve">28/05/2024</t>
  </si>
  <si>
    <t xml:space="preserve">Sem dado teórico individual. Pendente/ilegível: rastreamento de ~6 bracos ilegivel por reflexo.</t>
  </si>
  <si>
    <t xml:space="preserve">0888-0931</t>
  </si>
  <si>
    <t xml:space="preserve">BR ferrov. (lote 2)</t>
  </si>
  <si>
    <r>
      <rPr>
        <b val="true"/>
        <sz val="9"/>
        <color rgb="FF1F4E9A"/>
        <rFont val="Arial"/>
        <family val="0"/>
        <charset val="1"/>
      </rPr>
      <t xml:space="preserve">Placa/campo: </t>
    </r>
    <r>
      <rPr>
        <sz val="9"/>
        <color rgb="FF1F4E9A"/>
        <rFont val="Arial"/>
        <family val="0"/>
        <charset val="1"/>
      </rPr>
      <t xml:space="preserve">Braco de carregamento superior (ferroviario) – TSPRO, BTC-42CA.0466-? (parcial), série Num. rastr. BP-2123, Pedido de compra 5700017052, TSPRO | ASME B31.3/ASME IX | 4" CARBONO AL / VITON | Cliente ULTRACARGO PALMEIRANTE, Carregamento ferroviario.</t>
    </r>
  </si>
  <si>
    <t xml:space="preserve">BTC-42CA.0466-? (parcial)</t>
  </si>
  <si>
    <t xml:space="preserve">TSPRO | ASME B31.3/ASME IX | 4" CARBONO AL / VITON | Cliente ULTRACARGO PALMEIRANTE</t>
  </si>
  <si>
    <t xml:space="preserve">Num. rastr. BP-2123</t>
  </si>
  <si>
    <t xml:space="preserve">Sem dado teórico individual. Pendente/ilegível: SEGUNDO PEDIDO DE COMPRA - codigo de equipamento e data a confirmar.</t>
  </si>
  <si>
    <t xml:space="preserve">0950, 0951, 0956</t>
  </si>
  <si>
    <t xml:space="preserve">Plataformas 8 a 14 – lado B</t>
  </si>
  <si>
    <r>
      <rPr>
        <b val="true"/>
        <sz val="9"/>
        <color rgb="FF1F4E9A"/>
        <rFont val="Arial"/>
        <family val="0"/>
        <charset val="1"/>
      </rPr>
      <t xml:space="preserve">Placa/campo: </t>
    </r>
    <r>
      <rPr>
        <sz val="9"/>
        <color rgb="FF1F4E9A"/>
        <rFont val="Arial"/>
        <family val="0"/>
        <charset val="1"/>
      </rPr>
      <t xml:space="preserve">7 ilhas cadastradas no preset (ilha 8 = preset 1 ... ilha 14 = preset 7).</t>
    </r>
  </si>
  <si>
    <t xml:space="preserve">7 posições de carregamento</t>
  </si>
  <si>
    <t xml:space="preserve">Lado A e numeração completa das plataformas a confirmar (pedido M16).</t>
  </si>
  <si>
    <t xml:space="preserve">0886, 0897, 0900, 0906, 0923, 0934, 0960, 0917</t>
  </si>
  <si>
    <t xml:space="preserve">14 (comp.)</t>
  </si>
  <si>
    <t xml:space="preserve">(TAG pendente) – Medidor de vazao tipo turbina</t>
  </si>
  <si>
    <r>
      <rPr>
        <b val="true"/>
        <sz val="9"/>
        <color rgb="FF1F4E9A"/>
        <rFont val="Arial"/>
        <family val="0"/>
        <charset val="1"/>
      </rPr>
      <t xml:space="preserve">Placa/campo: </t>
    </r>
    <r>
      <rPr>
        <sz val="9"/>
        <color rgb="FF1F4E9A"/>
        <rFont val="Arial"/>
        <family val="0"/>
        <charset val="1"/>
      </rPr>
      <t xml:space="preserve">Medidor de vazao tipo turbina – Metroval, MTF-80, série 01291123, DIMEL 365/2020, 2024, Classe exatidao 0,3; QMM 100; 60/-20 C; 19,58; vazao 150/15, Etanol anidro.</t>
    </r>
  </si>
  <si>
    <t xml:space="preserve">MTF-80</t>
  </si>
  <si>
    <t xml:space="preserve">Classe exatidao 0,3; QMM 100; 60/-20 C; 19,58; vazao 150/15</t>
  </si>
  <si>
    <t xml:space="preserve">01291123</t>
  </si>
  <si>
    <t xml:space="preserve">Sem dado teórico individual. Só leitura de campo (sem 2ª fonte). Pendente/ilegível: TAG. Vínculo a 14a/14b/14d não documentado.</t>
  </si>
  <si>
    <t xml:space="preserve">0306, 0307</t>
  </si>
  <si>
    <r>
      <rPr>
        <b val="true"/>
        <sz val="9"/>
        <color rgb="FF000000"/>
        <rFont val="Arial"/>
        <family val="0"/>
        <charset val="1"/>
      </rPr>
      <t xml:space="preserve">LINHA 14 (comp.) – Componentes de campo da linha 14 sem vínculo documentado a 14a/14b/14d [COMPONENTES SEM VÍNCULO]
</t>
    </r>
    <r>
      <rPr>
        <b val="true"/>
        <sz val="9"/>
        <color rgb="FF7030A0"/>
        <rFont val="Arial"/>
        <family val="0"/>
        <charset val="1"/>
      </rPr>
      <t xml:space="preserve">Novo v2: </t>
    </r>
    <r>
      <rPr>
        <sz val="9"/>
        <color rgb="FF7030A0"/>
        <rFont val="Arial"/>
        <family val="0"/>
        <charset val="1"/>
      </rPr>
      <t xml:space="preserve">58 instrumentos e válvulas lidos em campo (medidores de vazão turbina MTF-80 e mássicos OI 50, válvulas de controle VCDM, válvulas on-off VOOM, transmissores de temperatura Alutal, monitores de transbordamento/aterramento KFW) – todos Metroval, Alutal ou KFW, compatíveis com o fornecimento Metroval (faturamento direto Ecoserv para os KFW: 32 monitores, NF 110). Sem lista de equipamentos Metroval não é possível alocar cada item a 14a, 14b ou 14d; para o laudo propõe-se tratá-los como componentes do conjunto de skids (linha 14) e usar as fotos de placa como comprovação. 
</t>
    </r>
    <r>
      <rPr>
        <b val="true"/>
        <sz val="9"/>
        <color rgb="FF000000"/>
        <rFont val="Arial"/>
        <family val="0"/>
        <charset val="1"/>
      </rPr>
      <t xml:space="preserve">COMPONENTES (58):
• (TAG pendente) – Medidor de vazao tipo turbina: </t>
    </r>
    <r>
      <rPr>
        <b val="true"/>
        <sz val="9"/>
        <color rgb="FF1F4E9A"/>
        <rFont val="Arial"/>
        <family val="0"/>
        <charset val="1"/>
      </rPr>
      <t xml:space="preserve">Placa/campo: </t>
    </r>
    <r>
      <rPr>
        <sz val="9"/>
        <color rgb="FF1F4E9A"/>
        <rFont val="Arial"/>
        <family val="0"/>
        <charset val="1"/>
      </rPr>
      <t xml:space="preserve">Medidor de vazao tipo turbina – Metroval, MTF-80, série 01291123, DIMEL 365/2020, 2024, Classe exatidao 0,3; QMM 100; 60/-20 C; 19,58; vazao 150/15, Etanol anidro. </t>
    </r>
    <r>
      <rPr>
        <b val="true"/>
        <sz val="9"/>
        <color rgb="FF000000"/>
        <rFont val="Arial"/>
        <family val="0"/>
        <charset val="1"/>
      </rPr>
      <t xml:space="preserve">Obs.: </t>
    </r>
    <r>
      <rPr>
        <sz val="9"/>
        <color rgb="FF000000"/>
        <rFont val="Arial"/>
        <family val="0"/>
        <charset val="1"/>
      </rPr>
      <t xml:space="preserve">Sem dado teórico individual. Só leitura de campo (sem 2ª fonte). Pendente/ilegível: TAG. Vínculo a 14a/14b/14d não documentado. </t>
    </r>
    <r>
      <rPr>
        <b val="true"/>
        <sz val="9"/>
        <color rgb="FF000000"/>
        <rFont val="Arial"/>
        <family val="0"/>
        <charset val="1"/>
      </rPr>
      <t xml:space="preserve">Fotos: </t>
    </r>
    <r>
      <rPr>
        <sz val="9"/>
        <color rgb="FF000000"/>
        <rFont val="Arial"/>
        <family val="0"/>
        <charset val="1"/>
      </rPr>
      <t xml:space="preserve">0306, 0307. 
</t>
    </r>
    <r>
      <rPr>
        <b val="true"/>
        <sz val="9"/>
        <color rgb="FF000000"/>
        <rFont val="Arial"/>
        <family val="0"/>
        <charset val="1"/>
      </rPr>
      <t xml:space="preserve">• (TAG pendente) – Medidor de vazao tipo turbina: </t>
    </r>
    <r>
      <rPr>
        <b val="true"/>
        <sz val="9"/>
        <color rgb="FF1F4E9A"/>
        <rFont val="Arial"/>
        <family val="0"/>
        <charset val="1"/>
      </rPr>
      <t xml:space="preserve">Placa/campo: </t>
    </r>
    <r>
      <rPr>
        <strike val="true"/>
        <sz val="9"/>
        <color rgb="FF1F4E9A"/>
        <rFont val="Arial"/>
        <family val="0"/>
        <charset val="1"/>
      </rPr>
      <t xml:space="preserve">Medidor de vazao tipo turbina – Metroval, MTF-80</t>
    </r>
    <r>
      <rPr>
        <sz val="9"/>
        <color rgb="FF1F4E9A"/>
        <rFont val="Arial"/>
        <family val="0"/>
        <charset val="1"/>
      </rPr>
      <t xml:space="preserve">, série 01381123, </t>
    </r>
    <r>
      <rPr>
        <strike val="true"/>
        <sz val="9"/>
        <color rgb="FF1F4E9A"/>
        <rFont val="Arial"/>
        <family val="0"/>
        <charset val="1"/>
      </rPr>
      <t xml:space="preserve">DIMEL 365/2020</t>
    </r>
    <r>
      <rPr>
        <sz val="9"/>
        <color rgb="FF1F4E9A"/>
        <rFont val="Arial"/>
        <family val="0"/>
        <charset val="1"/>
      </rPr>
      <t xml:space="preserve">, 2024, </t>
    </r>
    <r>
      <rPr>
        <strike val="true"/>
        <sz val="9"/>
        <color rgb="FF1F4E9A"/>
        <rFont val="Arial"/>
        <family val="0"/>
        <charset val="1"/>
      </rPr>
      <t xml:space="preserve">Classe exatidao 0,3</t>
    </r>
    <r>
      <rPr>
        <sz val="9"/>
        <color rgb="FF1F4E9A"/>
        <rFont val="Arial"/>
        <family val="0"/>
        <charset val="1"/>
      </rPr>
      <t xml:space="preserve">; </t>
    </r>
    <r>
      <rPr>
        <strike val="true"/>
        <sz val="9"/>
        <color rgb="FF1F4E9A"/>
        <rFont val="Arial"/>
        <family val="0"/>
        <charset val="1"/>
      </rPr>
      <t xml:space="preserve">QMM 100</t>
    </r>
    <r>
      <rPr>
        <sz val="9"/>
        <color rgb="FF1F4E9A"/>
        <rFont val="Arial"/>
        <family val="0"/>
        <charset val="1"/>
      </rPr>
      <t xml:space="preserve">; </t>
    </r>
    <r>
      <rPr>
        <strike val="true"/>
        <sz val="9"/>
        <color rgb="FF1F4E9A"/>
        <rFont val="Arial"/>
        <family val="0"/>
        <charset val="1"/>
      </rPr>
      <t xml:space="preserve">60/-20 C</t>
    </r>
    <r>
      <rPr>
        <sz val="9"/>
        <color rgb="FF1F4E9A"/>
        <rFont val="Arial"/>
        <family val="0"/>
        <charset val="1"/>
      </rPr>
      <t xml:space="preserve">; 19,8; </t>
    </r>
    <r>
      <rPr>
        <strike val="true"/>
        <sz val="9"/>
        <color rgb="FF1F4E9A"/>
        <rFont val="Arial"/>
        <family val="0"/>
        <charset val="1"/>
      </rPr>
      <t xml:space="preserve">vazao 150/15</t>
    </r>
    <r>
      <rPr>
        <sz val="9"/>
        <color rgb="FF1F4E9A"/>
        <rFont val="Arial"/>
        <family val="0"/>
        <charset val="1"/>
      </rPr>
      <t xml:space="preserve">, Diesel S-10.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TAG.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0417-0420. 
</t>
    </r>
    <r>
      <rPr>
        <b val="true"/>
        <sz val="9"/>
        <color rgb="FF000000"/>
        <rFont val="Arial"/>
        <family val="0"/>
        <charset val="1"/>
      </rPr>
      <t xml:space="preserve">• (TAG pendente) – Medidor de vazao tipo turbina: </t>
    </r>
    <r>
      <rPr>
        <b val="true"/>
        <sz val="9"/>
        <color rgb="FF1F4E9A"/>
        <rFont val="Arial"/>
        <family val="0"/>
        <charset val="1"/>
      </rPr>
      <t xml:space="preserve">Placa/campo: </t>
    </r>
    <r>
      <rPr>
        <strike val="true"/>
        <sz val="9"/>
        <color rgb="FF1F4E9A"/>
        <rFont val="Arial"/>
        <family val="0"/>
        <charset val="1"/>
      </rPr>
      <t xml:space="preserve">Medidor de vazao tipo turbina – Metroval, MTF-80</t>
    </r>
    <r>
      <rPr>
        <sz val="9"/>
        <color rgb="FF1F4E9A"/>
        <rFont val="Arial"/>
        <family val="0"/>
        <charset val="1"/>
      </rPr>
      <t xml:space="preserve">, série 01391123, </t>
    </r>
    <r>
      <rPr>
        <strike val="true"/>
        <sz val="9"/>
        <color rgb="FF1F4E9A"/>
        <rFont val="Arial"/>
        <family val="0"/>
        <charset val="1"/>
      </rPr>
      <t xml:space="preserve">DIMEL 365/2020</t>
    </r>
    <r>
      <rPr>
        <sz val="9"/>
        <color rgb="FF1F4E9A"/>
        <rFont val="Arial"/>
        <family val="0"/>
        <charset val="1"/>
      </rPr>
      <t xml:space="preserve">, 2024, </t>
    </r>
    <r>
      <rPr>
        <strike val="true"/>
        <sz val="9"/>
        <color rgb="FF1F4E9A"/>
        <rFont val="Arial"/>
        <family val="0"/>
        <charset val="1"/>
      </rPr>
      <t xml:space="preserve">Classe exatidao 0,3</t>
    </r>
    <r>
      <rPr>
        <sz val="9"/>
        <color rgb="FF1F4E9A"/>
        <rFont val="Arial"/>
        <family val="0"/>
        <charset val="1"/>
      </rPr>
      <t xml:space="preserve">; </t>
    </r>
    <r>
      <rPr>
        <strike val="true"/>
        <sz val="9"/>
        <color rgb="FF1F4E9A"/>
        <rFont val="Arial"/>
        <family val="0"/>
        <charset val="1"/>
      </rPr>
      <t xml:space="preserve">QMM 100</t>
    </r>
    <r>
      <rPr>
        <sz val="9"/>
        <color rgb="FF1F4E9A"/>
        <rFont val="Arial"/>
        <family val="0"/>
        <charset val="1"/>
      </rPr>
      <t xml:space="preserve">; </t>
    </r>
    <r>
      <rPr>
        <strike val="true"/>
        <sz val="9"/>
        <color rgb="FF1F4E9A"/>
        <rFont val="Arial"/>
        <family val="0"/>
        <charset val="1"/>
      </rPr>
      <t xml:space="preserve">60/-20 C</t>
    </r>
    <r>
      <rPr>
        <sz val="9"/>
        <color rgb="FF1F4E9A"/>
        <rFont val="Arial"/>
        <family val="0"/>
        <charset val="1"/>
      </rPr>
      <t xml:space="preserve">; 19,8; </t>
    </r>
    <r>
      <rPr>
        <strike val="true"/>
        <sz val="9"/>
        <color rgb="FF1F4E9A"/>
        <rFont val="Arial"/>
        <family val="0"/>
        <charset val="1"/>
      </rPr>
      <t xml:space="preserve">vazao 150/15</t>
    </r>
    <r>
      <rPr>
        <sz val="9"/>
        <color rgb="FF1F4E9A"/>
        <rFont val="Arial"/>
        <family val="0"/>
        <charset val="1"/>
      </rPr>
      <t xml:space="preserve">, Diesel S-10.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TAG (parcial: FT-3102?).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0403-0405. 
</t>
    </r>
    <r>
      <rPr>
        <b val="true"/>
        <sz val="9"/>
        <color rgb="FF000000"/>
        <rFont val="Arial"/>
        <family val="0"/>
        <charset val="1"/>
      </rPr>
      <t xml:space="preserve">• (TAG pendente) – Medidor de vazao tipo turbina: </t>
    </r>
    <r>
      <rPr>
        <b val="true"/>
        <sz val="9"/>
        <color rgb="FF1F4E9A"/>
        <rFont val="Arial"/>
        <family val="0"/>
        <charset val="1"/>
      </rPr>
      <t xml:space="preserve">Placa/campo: </t>
    </r>
    <r>
      <rPr>
        <strike val="true"/>
        <sz val="9"/>
        <color rgb="FF1F4E9A"/>
        <rFont val="Arial"/>
        <family val="0"/>
        <charset val="1"/>
      </rPr>
      <t xml:space="preserve">Medidor de vazao tipo turbina – Metroval, MTF-80</t>
    </r>
    <r>
      <rPr>
        <sz val="9"/>
        <color rgb="FF1F4E9A"/>
        <rFont val="Arial"/>
        <family val="0"/>
        <charset val="1"/>
      </rPr>
      <t xml:space="preserve">, série 01411123, </t>
    </r>
    <r>
      <rPr>
        <strike val="true"/>
        <sz val="9"/>
        <color rgb="FF1F4E9A"/>
        <rFont val="Arial"/>
        <family val="0"/>
        <charset val="1"/>
      </rPr>
      <t xml:space="preserve">DIMEL 365/2020</t>
    </r>
    <r>
      <rPr>
        <sz val="9"/>
        <color rgb="FF1F4E9A"/>
        <rFont val="Arial"/>
        <family val="0"/>
        <charset val="1"/>
      </rPr>
      <t xml:space="preserve">, 2024, </t>
    </r>
    <r>
      <rPr>
        <strike val="true"/>
        <sz val="9"/>
        <color rgb="FF1F4E9A"/>
        <rFont val="Arial"/>
        <family val="0"/>
        <charset val="1"/>
      </rPr>
      <t xml:space="preserve">Classe exatidao 0,3</t>
    </r>
    <r>
      <rPr>
        <sz val="9"/>
        <color rgb="FF1F4E9A"/>
        <rFont val="Arial"/>
        <family val="0"/>
        <charset val="1"/>
      </rPr>
      <t xml:space="preserve">; </t>
    </r>
    <r>
      <rPr>
        <strike val="true"/>
        <sz val="9"/>
        <color rgb="FF1F4E9A"/>
        <rFont val="Arial"/>
        <family val="0"/>
        <charset val="1"/>
      </rPr>
      <t xml:space="preserve">QMM 100</t>
    </r>
    <r>
      <rPr>
        <sz val="9"/>
        <color rgb="FF1F4E9A"/>
        <rFont val="Arial"/>
        <family val="0"/>
        <charset val="1"/>
      </rPr>
      <t xml:space="preserve">; </t>
    </r>
    <r>
      <rPr>
        <strike val="true"/>
        <sz val="9"/>
        <color rgb="FF1F4E9A"/>
        <rFont val="Arial"/>
        <family val="0"/>
        <charset val="1"/>
      </rPr>
      <t xml:space="preserve">60/-20 C</t>
    </r>
    <r>
      <rPr>
        <sz val="9"/>
        <color rgb="FF1F4E9A"/>
        <rFont val="Arial"/>
        <family val="0"/>
        <charset val="1"/>
      </rPr>
      <t xml:space="preserve">; 19,58, Etanol anidro.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TAG.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0356-0359. 
</t>
    </r>
    <r>
      <rPr>
        <b val="true"/>
        <sz val="9"/>
        <color rgb="FF000000"/>
        <rFont val="Arial"/>
        <family val="0"/>
        <charset val="1"/>
      </rPr>
      <t xml:space="preserve">• (TAG pendente) – Medidor de vazao tipo turbina: </t>
    </r>
    <r>
      <rPr>
        <b val="true"/>
        <sz val="9"/>
        <color rgb="FF1F4E9A"/>
        <rFont val="Arial"/>
        <family val="0"/>
        <charset val="1"/>
      </rPr>
      <t xml:space="preserve">Placa/campo: </t>
    </r>
    <r>
      <rPr>
        <strike val="true"/>
        <sz val="9"/>
        <color rgb="FF1F4E9A"/>
        <rFont val="Arial"/>
        <family val="0"/>
        <charset val="1"/>
      </rPr>
      <t xml:space="preserve">Medidor de vazao tipo turbina – Metroval, MTF-80</t>
    </r>
    <r>
      <rPr>
        <sz val="9"/>
        <color rgb="FF1F4E9A"/>
        <rFont val="Arial"/>
        <family val="0"/>
        <charset val="1"/>
      </rPr>
      <t xml:space="preserve">, série 01431123, </t>
    </r>
    <r>
      <rPr>
        <strike val="true"/>
        <sz val="9"/>
        <color rgb="FF1F4E9A"/>
        <rFont val="Arial"/>
        <family val="0"/>
        <charset val="1"/>
      </rPr>
      <t xml:space="preserve">DIMEL 365/2020</t>
    </r>
    <r>
      <rPr>
        <sz val="9"/>
        <color rgb="FF1F4E9A"/>
        <rFont val="Arial"/>
        <family val="0"/>
        <charset val="1"/>
      </rPr>
      <t xml:space="preserve">, 2024, </t>
    </r>
    <r>
      <rPr>
        <strike val="true"/>
        <sz val="9"/>
        <color rgb="FF1F4E9A"/>
        <rFont val="Arial"/>
        <family val="0"/>
        <charset val="1"/>
      </rPr>
      <t xml:space="preserve">Classe exatidao 0,3</t>
    </r>
    <r>
      <rPr>
        <sz val="9"/>
        <color rgb="FF1F4E9A"/>
        <rFont val="Arial"/>
        <family val="0"/>
        <charset val="1"/>
      </rPr>
      <t xml:space="preserve">; </t>
    </r>
    <r>
      <rPr>
        <strike val="true"/>
        <sz val="9"/>
        <color rgb="FF1F4E9A"/>
        <rFont val="Arial"/>
        <family val="0"/>
        <charset val="1"/>
      </rPr>
      <t xml:space="preserve">QMM 100</t>
    </r>
    <r>
      <rPr>
        <sz val="9"/>
        <color rgb="FF1F4E9A"/>
        <rFont val="Arial"/>
        <family val="0"/>
        <charset val="1"/>
      </rPr>
      <t xml:space="preserve">; </t>
    </r>
    <r>
      <rPr>
        <strike val="true"/>
        <sz val="9"/>
        <color rgb="FF1F4E9A"/>
        <rFont val="Arial"/>
        <family val="0"/>
        <charset val="1"/>
      </rPr>
      <t xml:space="preserve">60/-20 C</t>
    </r>
    <r>
      <rPr>
        <sz val="9"/>
        <color rgb="FF1F4E9A"/>
        <rFont val="Arial"/>
        <family val="0"/>
        <charset val="1"/>
      </rPr>
      <t xml:space="preserve">; 19,58; </t>
    </r>
    <r>
      <rPr>
        <strike val="true"/>
        <sz val="9"/>
        <color rgb="FF1F4E9A"/>
        <rFont val="Arial"/>
        <family val="0"/>
        <charset val="1"/>
      </rPr>
      <t xml:space="preserve">vazao 150/15</t>
    </r>
    <r>
      <rPr>
        <sz val="9"/>
        <color rgb="FF1F4E9A"/>
        <rFont val="Arial"/>
        <family val="0"/>
        <charset val="1"/>
      </rPr>
      <t xml:space="preserve">, Diesel S-500.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TAG (parcial: FT-315?).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0408-0410. 
</t>
    </r>
    <r>
      <rPr>
        <b val="true"/>
        <sz val="9"/>
        <color rgb="FF000000"/>
        <rFont val="Arial"/>
        <family val="0"/>
        <charset val="1"/>
      </rPr>
      <t xml:space="preserve">• (TAG pendente) – Medidor de vazao tipo turbina: </t>
    </r>
    <r>
      <rPr>
        <b val="true"/>
        <sz val="9"/>
        <color rgb="FF1F4E9A"/>
        <rFont val="Arial"/>
        <family val="0"/>
        <charset val="1"/>
      </rPr>
      <t xml:space="preserve">Placa/campo: </t>
    </r>
    <r>
      <rPr>
        <strike val="true"/>
        <sz val="9"/>
        <color rgb="FF1F4E9A"/>
        <rFont val="Arial"/>
        <family val="0"/>
        <charset val="1"/>
      </rPr>
      <t xml:space="preserve">Medidor de vazao tipo turbina – Metroval, MTF-80</t>
    </r>
    <r>
      <rPr>
        <sz val="9"/>
        <color rgb="FF1F4E9A"/>
        <rFont val="Arial"/>
        <family val="0"/>
        <charset val="1"/>
      </rPr>
      <t xml:space="preserve">, série 01441123, </t>
    </r>
    <r>
      <rPr>
        <strike val="true"/>
        <sz val="9"/>
        <color rgb="FF1F4E9A"/>
        <rFont val="Arial"/>
        <family val="0"/>
        <charset val="1"/>
      </rPr>
      <t xml:space="preserve">DIMEL 365/2020</t>
    </r>
    <r>
      <rPr>
        <sz val="9"/>
        <color rgb="FF1F4E9A"/>
        <rFont val="Arial"/>
        <family val="0"/>
        <charset val="1"/>
      </rPr>
      <t xml:space="preserve">, 2024, </t>
    </r>
    <r>
      <rPr>
        <strike val="true"/>
        <sz val="9"/>
        <color rgb="FF1F4E9A"/>
        <rFont val="Arial"/>
        <family val="0"/>
        <charset val="1"/>
      </rPr>
      <t xml:space="preserve">Classe exatidao 0,3</t>
    </r>
    <r>
      <rPr>
        <sz val="9"/>
        <color rgb="FF1F4E9A"/>
        <rFont val="Arial"/>
        <family val="0"/>
        <charset val="1"/>
      </rPr>
      <t xml:space="preserve">; </t>
    </r>
    <r>
      <rPr>
        <strike val="true"/>
        <sz val="9"/>
        <color rgb="FF1F4E9A"/>
        <rFont val="Arial"/>
        <family val="0"/>
        <charset val="1"/>
      </rPr>
      <t xml:space="preserve">QMM 100</t>
    </r>
    <r>
      <rPr>
        <sz val="9"/>
        <color rgb="FF1F4E9A"/>
        <rFont val="Arial"/>
        <family val="0"/>
        <charset val="1"/>
      </rPr>
      <t xml:space="preserve">; </t>
    </r>
    <r>
      <rPr>
        <strike val="true"/>
        <sz val="9"/>
        <color rgb="FF1F4E9A"/>
        <rFont val="Arial"/>
        <family val="0"/>
        <charset val="1"/>
      </rPr>
      <t xml:space="preserve">60/-20 C</t>
    </r>
    <r>
      <rPr>
        <sz val="9"/>
        <color rgb="FF1F4E9A"/>
        <rFont val="Arial"/>
        <family val="0"/>
        <charset val="1"/>
      </rPr>
      <t xml:space="preserve">, Diesel S-500.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TAG (parcial: FT-3146?).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0557, 0558. 
</t>
    </r>
    <r>
      <rPr>
        <b val="true"/>
        <sz val="9"/>
        <color rgb="FF000000"/>
        <rFont val="Arial"/>
        <family val="0"/>
        <charset val="1"/>
      </rPr>
      <t xml:space="preserve">• (TAG pendente) – Medidor de vazao tipo turbina: </t>
    </r>
    <r>
      <rPr>
        <b val="true"/>
        <sz val="9"/>
        <color rgb="FF1F4E9A"/>
        <rFont val="Arial"/>
        <family val="0"/>
        <charset val="1"/>
      </rPr>
      <t xml:space="preserve">Placa/campo: </t>
    </r>
    <r>
      <rPr>
        <strike val="true"/>
        <sz val="9"/>
        <color rgb="FF1F4E9A"/>
        <rFont val="Arial"/>
        <family val="0"/>
        <charset val="1"/>
      </rPr>
      <t xml:space="preserve">Medidor de vazao tipo turbina – Metroval, MTF-80</t>
    </r>
    <r>
      <rPr>
        <sz val="9"/>
        <color rgb="FF1F4E9A"/>
        <rFont val="Arial"/>
        <family val="0"/>
        <charset val="1"/>
      </rPr>
      <t xml:space="preserve">, série 01471123, </t>
    </r>
    <r>
      <rPr>
        <strike val="true"/>
        <sz val="9"/>
        <color rgb="FF1F4E9A"/>
        <rFont val="Arial"/>
        <family val="0"/>
        <charset val="1"/>
      </rPr>
      <t xml:space="preserve">DIMEL 365/2020</t>
    </r>
    <r>
      <rPr>
        <sz val="9"/>
        <color rgb="FF1F4E9A"/>
        <rFont val="Arial"/>
        <family val="0"/>
        <charset val="1"/>
      </rPr>
      <t xml:space="preserve">, 2024, </t>
    </r>
    <r>
      <rPr>
        <strike val="true"/>
        <sz val="9"/>
        <color rgb="FF1F4E9A"/>
        <rFont val="Arial"/>
        <family val="0"/>
        <charset val="1"/>
      </rPr>
      <t xml:space="preserve">Classe exatidao 0,3</t>
    </r>
    <r>
      <rPr>
        <sz val="9"/>
        <color rgb="FF1F4E9A"/>
        <rFont val="Arial"/>
        <family val="0"/>
        <charset val="1"/>
      </rPr>
      <t xml:space="preserve">; </t>
    </r>
    <r>
      <rPr>
        <strike val="true"/>
        <sz val="9"/>
        <color rgb="FF1F4E9A"/>
        <rFont val="Arial"/>
        <family val="0"/>
        <charset val="1"/>
      </rPr>
      <t xml:space="preserve">QMM 100</t>
    </r>
    <r>
      <rPr>
        <sz val="9"/>
        <color rgb="FF1F4E9A"/>
        <rFont val="Arial"/>
        <family val="0"/>
        <charset val="1"/>
      </rPr>
      <t xml:space="preserve">; </t>
    </r>
    <r>
      <rPr>
        <strike val="true"/>
        <sz val="9"/>
        <color rgb="FF1F4E9A"/>
        <rFont val="Arial"/>
        <family val="0"/>
        <charset val="1"/>
      </rPr>
      <t xml:space="preserve">60/-20 C</t>
    </r>
    <r>
      <rPr>
        <sz val="9"/>
        <color rgb="FF1F4E9A"/>
        <rFont val="Arial"/>
        <family val="0"/>
        <charset val="1"/>
      </rPr>
      <t xml:space="preserve">; 19,58, Gasolina.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TAG.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0654, 0658, 0659. 
</t>
    </r>
    <r>
      <rPr>
        <b val="true"/>
        <sz val="9"/>
        <color rgb="FF000000"/>
        <rFont val="Arial"/>
        <family val="0"/>
        <charset val="1"/>
      </rPr>
      <t xml:space="preserve">• (TAG pendente) – Medidor de vazao tipo turbina: </t>
    </r>
    <r>
      <rPr>
        <b val="true"/>
        <sz val="9"/>
        <color rgb="FF1F4E9A"/>
        <rFont val="Arial"/>
        <family val="0"/>
        <charset val="1"/>
      </rPr>
      <t xml:space="preserve">Placa/campo: </t>
    </r>
    <r>
      <rPr>
        <strike val="true"/>
        <sz val="9"/>
        <color rgb="FF1F4E9A"/>
        <rFont val="Arial"/>
        <family val="0"/>
        <charset val="1"/>
      </rPr>
      <t xml:space="preserve">Medidor de vazao tipo turbina – Metroval, MTF-80</t>
    </r>
    <r>
      <rPr>
        <sz val="9"/>
        <color rgb="FF1F4E9A"/>
        <rFont val="Arial"/>
        <family val="0"/>
        <charset val="1"/>
      </rPr>
      <t xml:space="preserve">, série 01481123, </t>
    </r>
    <r>
      <rPr>
        <strike val="true"/>
        <sz val="9"/>
        <color rgb="FF1F4E9A"/>
        <rFont val="Arial"/>
        <family val="0"/>
        <charset val="1"/>
      </rPr>
      <t xml:space="preserve">DIMEL 365/2020</t>
    </r>
    <r>
      <rPr>
        <sz val="9"/>
        <color rgb="FF1F4E9A"/>
        <rFont val="Arial"/>
        <family val="0"/>
        <charset val="1"/>
      </rPr>
      <t xml:space="preserve">, 2024, </t>
    </r>
    <r>
      <rPr>
        <strike val="true"/>
        <sz val="9"/>
        <color rgb="FF1F4E9A"/>
        <rFont val="Arial"/>
        <family val="0"/>
        <charset val="1"/>
      </rPr>
      <t xml:space="preserve">Classe exatidao 0,3</t>
    </r>
    <r>
      <rPr>
        <sz val="9"/>
        <color rgb="FF1F4E9A"/>
        <rFont val="Arial"/>
        <family val="0"/>
        <charset val="1"/>
      </rPr>
      <t xml:space="preserve">; </t>
    </r>
    <r>
      <rPr>
        <strike val="true"/>
        <sz val="9"/>
        <color rgb="FF1F4E9A"/>
        <rFont val="Arial"/>
        <family val="0"/>
        <charset val="1"/>
      </rPr>
      <t xml:space="preserve">QMM 100</t>
    </r>
    <r>
      <rPr>
        <sz val="9"/>
        <color rgb="FF1F4E9A"/>
        <rFont val="Arial"/>
        <family val="0"/>
        <charset val="1"/>
      </rPr>
      <t xml:space="preserve">; </t>
    </r>
    <r>
      <rPr>
        <strike val="true"/>
        <sz val="9"/>
        <color rgb="FF1F4E9A"/>
        <rFont val="Arial"/>
        <family val="0"/>
        <charset val="1"/>
      </rPr>
      <t xml:space="preserve">60/-20 C</t>
    </r>
    <r>
      <rPr>
        <sz val="9"/>
        <color rgb="FF1F4E9A"/>
        <rFont val="Arial"/>
        <family val="0"/>
        <charset val="1"/>
      </rPr>
      <t xml:space="preserve">; 19,58; </t>
    </r>
    <r>
      <rPr>
        <strike val="true"/>
        <sz val="9"/>
        <color rgb="FF1F4E9A"/>
        <rFont val="Arial"/>
        <family val="0"/>
        <charset val="1"/>
      </rPr>
      <t xml:space="preserve">vazao 150/15</t>
    </r>
    <r>
      <rPr>
        <sz val="9"/>
        <color rgb="FF1F4E9A"/>
        <rFont val="Arial"/>
        <family val="0"/>
        <charset val="1"/>
      </rPr>
      <t xml:space="preserve">, Diesel S-500.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TAG (parcial: FT-3158?).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0413-0415. 
</t>
    </r>
    <r>
      <rPr>
        <b val="true"/>
        <sz val="9"/>
        <color rgb="FF000000"/>
        <rFont val="Arial"/>
        <family val="0"/>
        <charset val="1"/>
      </rPr>
      <t xml:space="preserve">• (TAG pendente) – Medidor de vazao tipo turbina: </t>
    </r>
    <r>
      <rPr>
        <b val="true"/>
        <sz val="9"/>
        <color rgb="FF1F4E9A"/>
        <rFont val="Arial"/>
        <family val="0"/>
        <charset val="1"/>
      </rPr>
      <t xml:space="preserve">Placa/campo: </t>
    </r>
    <r>
      <rPr>
        <strike val="true"/>
        <sz val="9"/>
        <color rgb="FF1F4E9A"/>
        <rFont val="Arial"/>
        <family val="0"/>
        <charset val="1"/>
      </rPr>
      <t xml:space="preserve">Medidor de vazao tipo turbina – Metroval, MTF-80</t>
    </r>
    <r>
      <rPr>
        <sz val="9"/>
        <color rgb="FF1F4E9A"/>
        <rFont val="Arial"/>
        <family val="0"/>
        <charset val="1"/>
      </rPr>
      <t xml:space="preserve">, série 01491123, </t>
    </r>
    <r>
      <rPr>
        <strike val="true"/>
        <sz val="9"/>
        <color rgb="FF1F4E9A"/>
        <rFont val="Arial"/>
        <family val="0"/>
        <charset val="1"/>
      </rPr>
      <t xml:space="preserve">DIMEL 365/2020</t>
    </r>
    <r>
      <rPr>
        <sz val="9"/>
        <color rgb="FF1F4E9A"/>
        <rFont val="Arial"/>
        <family val="0"/>
        <charset val="1"/>
      </rPr>
      <t xml:space="preserve">, 2024, </t>
    </r>
    <r>
      <rPr>
        <strike val="true"/>
        <sz val="9"/>
        <color rgb="FF1F4E9A"/>
        <rFont val="Arial"/>
        <family val="0"/>
        <charset val="1"/>
      </rPr>
      <t xml:space="preserve">Classe exatidao 0,3</t>
    </r>
    <r>
      <rPr>
        <sz val="9"/>
        <color rgb="FF1F4E9A"/>
        <rFont val="Arial"/>
        <family val="0"/>
        <charset val="1"/>
      </rPr>
      <t xml:space="preserve">; </t>
    </r>
    <r>
      <rPr>
        <strike val="true"/>
        <sz val="9"/>
        <color rgb="FF1F4E9A"/>
        <rFont val="Arial"/>
        <family val="0"/>
        <charset val="1"/>
      </rPr>
      <t xml:space="preserve">QMM 100</t>
    </r>
    <r>
      <rPr>
        <sz val="9"/>
        <color rgb="FF1F4E9A"/>
        <rFont val="Arial"/>
        <family val="0"/>
        <charset val="1"/>
      </rPr>
      <t xml:space="preserve">; </t>
    </r>
    <r>
      <rPr>
        <strike val="true"/>
        <sz val="9"/>
        <color rgb="FF1F4E9A"/>
        <rFont val="Arial"/>
        <family val="0"/>
        <charset val="1"/>
      </rPr>
      <t xml:space="preserve">60/-20 C</t>
    </r>
    <r>
      <rPr>
        <sz val="9"/>
        <color rgb="FF1F4E9A"/>
        <rFont val="Arial"/>
        <family val="0"/>
        <charset val="1"/>
      </rPr>
      <t xml:space="preserve">; 19,58; </t>
    </r>
    <r>
      <rPr>
        <strike val="true"/>
        <sz val="9"/>
        <color rgb="FF1F4E9A"/>
        <rFont val="Arial"/>
        <family val="0"/>
        <charset val="1"/>
      </rPr>
      <t xml:space="preserve">vazao 150/15</t>
    </r>
    <r>
      <rPr>
        <sz val="9"/>
        <color rgb="FF1F4E9A"/>
        <rFont val="Arial"/>
        <family val="0"/>
        <charset val="1"/>
      </rPr>
      <t xml:space="preserve">, Diesel S-10.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TAG.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0562-0564. 
</t>
    </r>
    <r>
      <rPr>
        <b val="true"/>
        <sz val="9"/>
        <color rgb="FF000000"/>
        <rFont val="Arial"/>
        <family val="0"/>
        <charset val="1"/>
      </rPr>
      <t xml:space="preserve">• (TAG pendente) – Medidor de vazao tipo turbina: </t>
    </r>
    <r>
      <rPr>
        <b val="true"/>
        <sz val="9"/>
        <color rgb="FF1F4E9A"/>
        <rFont val="Arial"/>
        <family val="0"/>
        <charset val="1"/>
      </rPr>
      <t xml:space="preserve">Placa/campo: </t>
    </r>
    <r>
      <rPr>
        <strike val="true"/>
        <sz val="9"/>
        <color rgb="FF1F4E9A"/>
        <rFont val="Arial"/>
        <family val="0"/>
        <charset val="1"/>
      </rPr>
      <t xml:space="preserve">Medidor de vazao tipo turbina – Metroval, MTF-80</t>
    </r>
    <r>
      <rPr>
        <sz val="9"/>
        <color rgb="FF1F4E9A"/>
        <rFont val="Arial"/>
        <family val="0"/>
        <charset val="1"/>
      </rPr>
      <t xml:space="preserve">, série 01501123, </t>
    </r>
    <r>
      <rPr>
        <strike val="true"/>
        <sz val="9"/>
        <color rgb="FF1F4E9A"/>
        <rFont val="Arial"/>
        <family val="0"/>
        <charset val="1"/>
      </rPr>
      <t xml:space="preserve">DIMEL 365/2020</t>
    </r>
    <r>
      <rPr>
        <sz val="9"/>
        <color rgb="FF1F4E9A"/>
        <rFont val="Arial"/>
        <family val="0"/>
        <charset val="1"/>
      </rPr>
      <t xml:space="preserve">, 2024, </t>
    </r>
    <r>
      <rPr>
        <strike val="true"/>
        <sz val="9"/>
        <color rgb="FF1F4E9A"/>
        <rFont val="Arial"/>
        <family val="0"/>
        <charset val="1"/>
      </rPr>
      <t xml:space="preserve">Classe exatidao 0,3</t>
    </r>
    <r>
      <rPr>
        <sz val="9"/>
        <color rgb="FF1F4E9A"/>
        <rFont val="Arial"/>
        <family val="0"/>
        <charset val="1"/>
      </rPr>
      <t xml:space="preserve">; </t>
    </r>
    <r>
      <rPr>
        <strike val="true"/>
        <sz val="9"/>
        <color rgb="FF1F4E9A"/>
        <rFont val="Arial"/>
        <family val="0"/>
        <charset val="1"/>
      </rPr>
      <t xml:space="preserve">QMM 100</t>
    </r>
    <r>
      <rPr>
        <sz val="9"/>
        <color rgb="FF1F4E9A"/>
        <rFont val="Arial"/>
        <family val="0"/>
        <charset val="1"/>
      </rPr>
      <t xml:space="preserve">; </t>
    </r>
    <r>
      <rPr>
        <strike val="true"/>
        <sz val="9"/>
        <color rgb="FF1F4E9A"/>
        <rFont val="Arial"/>
        <family val="0"/>
        <charset val="1"/>
      </rPr>
      <t xml:space="preserve">60/-20 C</t>
    </r>
    <r>
      <rPr>
        <sz val="9"/>
        <color rgb="FF1F4E9A"/>
        <rFont val="Arial"/>
        <family val="0"/>
        <charset val="1"/>
      </rPr>
      <t xml:space="preserve">; 19,58, Etanol anidro.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TAG.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0674-0676. 
</t>
    </r>
    <r>
      <rPr>
        <b val="true"/>
        <sz val="9"/>
        <color rgb="FF000000"/>
        <rFont val="Arial"/>
        <family val="0"/>
        <charset val="1"/>
      </rPr>
      <t xml:space="preserve">• FCV-3140: </t>
    </r>
    <r>
      <rPr>
        <b val="true"/>
        <sz val="9"/>
        <color rgb="FF1F4E9A"/>
        <rFont val="Arial"/>
        <family val="0"/>
        <charset val="1"/>
      </rPr>
      <t xml:space="preserve">Placa/campo: </t>
    </r>
    <r>
      <rPr>
        <sz val="9"/>
        <color rgb="FF1F4E9A"/>
        <rFont val="Arial"/>
        <family val="0"/>
        <charset val="1"/>
      </rPr>
      <t xml:space="preserve">Valvula de controle de vazao – Metroval, VCDM-100, série 0281, DN 100 mm; T.max 70 C; PN 10 bar, Combustiveis.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Nr.S antes nao lido (0532 "0?9?" era esta valvula). Pendente/ilegível: no de serie, ano.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0527-0532. 
</t>
    </r>
    <r>
      <rPr>
        <b val="true"/>
        <sz val="9"/>
        <color rgb="FF000000"/>
        <rFont val="Arial"/>
        <family val="0"/>
        <charset val="1"/>
      </rPr>
      <t xml:space="preserve">• FCV-3141: </t>
    </r>
    <r>
      <rPr>
        <b val="true"/>
        <sz val="9"/>
        <color rgb="FF1F4E9A"/>
        <rFont val="Arial"/>
        <family val="0"/>
        <charset val="1"/>
      </rPr>
      <t xml:space="preserve">Placa/campo: </t>
    </r>
    <r>
      <rPr>
        <sz val="9"/>
        <color rgb="FF1F4E9A"/>
        <rFont val="Arial"/>
        <family val="0"/>
        <charset val="1"/>
      </rPr>
      <t xml:space="preserve">Valvula de controle de vazao – Metroval, VCDM-50, série 0302, 2024, DN 50 mm; T.max 70 C; PN 10 bar,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antes "TAG pendente".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0686-0691. 
</t>
    </r>
    <r>
      <rPr>
        <b val="true"/>
        <sz val="9"/>
        <color rgb="FF000000"/>
        <rFont val="Arial"/>
        <family val="0"/>
        <charset val="1"/>
      </rPr>
      <t xml:space="preserve">• FCV-3142: </t>
    </r>
    <r>
      <rPr>
        <b val="true"/>
        <sz val="9"/>
        <color rgb="FF1F4E9A"/>
        <rFont val="Arial"/>
        <family val="0"/>
        <charset val="1"/>
      </rPr>
      <t xml:space="preserve">Placa/campo: </t>
    </r>
    <r>
      <rPr>
        <strike val="true"/>
        <sz val="9"/>
        <color rgb="FF1F4E9A"/>
        <rFont val="Arial"/>
        <family val="0"/>
        <charset val="1"/>
      </rPr>
      <t xml:space="preserve">Valvula de controle de vazao – Metroval, VCDM-100</t>
    </r>
    <r>
      <rPr>
        <sz val="9"/>
        <color rgb="FF1F4E9A"/>
        <rFont val="Arial"/>
        <family val="0"/>
        <charset val="1"/>
      </rPr>
      <t xml:space="preserve">, série 0289, 2024, </t>
    </r>
    <r>
      <rPr>
        <strike val="true"/>
        <sz val="9"/>
        <color rgb="FF1F4E9A"/>
        <rFont val="Arial"/>
        <family val="0"/>
        <charset val="1"/>
      </rPr>
      <t xml:space="preserve">DN 100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TAG parcialmente legivel (FCV-314?).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0525-0526. 
</t>
    </r>
    <r>
      <rPr>
        <b val="true"/>
        <sz val="9"/>
        <color rgb="FF000000"/>
        <rFont val="Arial"/>
        <family val="0"/>
        <charset val="1"/>
      </rPr>
      <t xml:space="preserve">• FCV-3144: </t>
    </r>
    <r>
      <rPr>
        <b val="true"/>
        <sz val="9"/>
        <color rgb="FF1F4E9A"/>
        <rFont val="Arial"/>
        <family val="0"/>
        <charset val="1"/>
      </rPr>
      <t xml:space="preserve">Placa/campo: </t>
    </r>
    <r>
      <rPr>
        <strike val="true"/>
        <sz val="9"/>
        <color rgb="FF1F4E9A"/>
        <rFont val="Arial"/>
        <family val="0"/>
        <charset val="1"/>
      </rPr>
      <t xml:space="preserve">Valvula de controle de vazao – Metroval, VCDM-100</t>
    </r>
    <r>
      <rPr>
        <sz val="9"/>
        <color rgb="FF1F4E9A"/>
        <rFont val="Arial"/>
        <family val="0"/>
        <charset val="1"/>
      </rPr>
      <t xml:space="preserve">, série 0308, </t>
    </r>
    <r>
      <rPr>
        <strike val="true"/>
        <sz val="9"/>
        <color rgb="FF1F4E9A"/>
        <rFont val="Arial"/>
        <family val="0"/>
        <charset val="1"/>
      </rPr>
      <t xml:space="preserve">DN 100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Nr.S antes nao lido. Pendente/ilegível: no de serie, ano.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0620-0622. 
</t>
    </r>
    <r>
      <rPr>
        <b val="true"/>
        <sz val="9"/>
        <color rgb="FF000000"/>
        <rFont val="Arial"/>
        <family val="0"/>
        <charset val="1"/>
      </rPr>
      <t xml:space="preserve">• FCV-3145: </t>
    </r>
    <r>
      <rPr>
        <b val="true"/>
        <sz val="9"/>
        <color rgb="FF1F4E9A"/>
        <rFont val="Arial"/>
        <family val="0"/>
        <charset val="1"/>
      </rPr>
      <t xml:space="preserve">Placa/campo: </t>
    </r>
    <r>
      <rPr>
        <sz val="9"/>
        <color rgb="FF1F4E9A"/>
        <rFont val="Arial"/>
        <family val="0"/>
        <charset val="1"/>
      </rPr>
      <t xml:space="preserve">Valvula de controle de vazao – Metroval, VCDM-80, série 0270, 2024, DN 80 mm; T.max 70 C; PN 10 bar,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antes "TAG pendente".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0636-0637. 
</t>
    </r>
    <r>
      <rPr>
        <b val="true"/>
        <sz val="9"/>
        <color rgb="FF000000"/>
        <rFont val="Arial"/>
        <family val="0"/>
        <charset val="1"/>
      </rPr>
      <t xml:space="preserve">• FCV-3146: </t>
    </r>
    <r>
      <rPr>
        <b val="true"/>
        <sz val="9"/>
        <color rgb="FF1F4E9A"/>
        <rFont val="Arial"/>
        <family val="0"/>
        <charset val="1"/>
      </rPr>
      <t xml:space="preserve">Placa/campo: </t>
    </r>
    <r>
      <rPr>
        <strike val="true"/>
        <sz val="9"/>
        <color rgb="FF1F4E9A"/>
        <rFont val="Arial"/>
        <family val="0"/>
        <charset val="1"/>
      </rPr>
      <t xml:space="preserve">Valvula de controle de vazao – Metroval, VCDM-100</t>
    </r>
    <r>
      <rPr>
        <sz val="9"/>
        <color rgb="FF1F4E9A"/>
        <rFont val="Arial"/>
        <family val="0"/>
        <charset val="1"/>
      </rPr>
      <t xml:space="preserve">, série 0310, 2024, </t>
    </r>
    <r>
      <rPr>
        <strike val="true"/>
        <sz val="9"/>
        <color rgb="FF1F4E9A"/>
        <rFont val="Arial"/>
        <family val="0"/>
        <charset val="1"/>
      </rPr>
      <t xml:space="preserve">DN 100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placa e tag em fotos seguidas (nao na mesma foto).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0612-0618. 
</t>
    </r>
    <r>
      <rPr>
        <b val="true"/>
        <sz val="9"/>
        <color rgb="FF000000"/>
        <rFont val="Arial"/>
        <family val="0"/>
        <charset val="1"/>
      </rPr>
      <t xml:space="preserve">• FCV-3147: </t>
    </r>
    <r>
      <rPr>
        <b val="true"/>
        <sz val="9"/>
        <color rgb="FF1F4E9A"/>
        <rFont val="Arial"/>
        <family val="0"/>
        <charset val="1"/>
      </rPr>
      <t xml:space="preserve">Placa/campo: </t>
    </r>
    <r>
      <rPr>
        <strike val="true"/>
        <sz val="9"/>
        <color rgb="FF1F4E9A"/>
        <rFont val="Arial"/>
        <family val="0"/>
        <charset val="1"/>
      </rPr>
      <t xml:space="preserve">Valvula de controle de vazao – Metroval, VCDM-80</t>
    </r>
    <r>
      <rPr>
        <sz val="9"/>
        <color rgb="FF1F4E9A"/>
        <rFont val="Arial"/>
        <family val="0"/>
        <charset val="1"/>
      </rPr>
      <t xml:space="preserve">, série 0274, 2024, </t>
    </r>
    <r>
      <rPr>
        <strike val="true"/>
        <sz val="9"/>
        <color rgb="FF1F4E9A"/>
        <rFont val="Arial"/>
        <family val="0"/>
        <charset val="1"/>
      </rPr>
      <t xml:space="preserve">DN 80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antes "TAG pendente".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0630-0634. 
</t>
    </r>
    <r>
      <rPr>
        <b val="true"/>
        <sz val="9"/>
        <color rgb="FF000000"/>
        <rFont val="Arial"/>
        <family val="0"/>
        <charset val="1"/>
      </rPr>
      <t xml:space="preserve">• FCV-3148: </t>
    </r>
    <r>
      <rPr>
        <b val="true"/>
        <sz val="9"/>
        <color rgb="FF1F4E9A"/>
        <rFont val="Arial"/>
        <family val="0"/>
        <charset val="1"/>
      </rPr>
      <t xml:space="preserve">Placa/campo: </t>
    </r>
    <r>
      <rPr>
        <strike val="true"/>
        <sz val="9"/>
        <color rgb="FF1F4E9A"/>
        <rFont val="Arial"/>
        <family val="0"/>
        <charset val="1"/>
      </rPr>
      <t xml:space="preserve">Valvula de controle de vazao – Metroval, VCDM-100</t>
    </r>
    <r>
      <rPr>
        <sz val="9"/>
        <color rgb="FF1F4E9A"/>
        <rFont val="Arial"/>
        <family val="0"/>
        <charset val="1"/>
      </rPr>
      <t xml:space="preserve">, série 0312, 2024, </t>
    </r>
    <r>
      <rPr>
        <strike val="true"/>
        <sz val="9"/>
        <color rgb="FF1F4E9A"/>
        <rFont val="Arial"/>
        <family val="0"/>
        <charset val="1"/>
      </rPr>
      <t xml:space="preserve">DN 100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tag pouco legivel.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0607-0609. 
</t>
    </r>
    <r>
      <rPr>
        <b val="true"/>
        <sz val="9"/>
        <color rgb="FF000000"/>
        <rFont val="Arial"/>
        <family val="0"/>
        <charset val="1"/>
      </rPr>
      <t xml:space="preserve">• FCV-3149: </t>
    </r>
    <r>
      <rPr>
        <b val="true"/>
        <sz val="9"/>
        <color rgb="FF1F4E9A"/>
        <rFont val="Arial"/>
        <family val="0"/>
        <charset val="1"/>
      </rPr>
      <t xml:space="preserve">Placa/campo: </t>
    </r>
    <r>
      <rPr>
        <strike val="true"/>
        <sz val="9"/>
        <color rgb="FF1F4E9A"/>
        <rFont val="Arial"/>
        <family val="0"/>
        <charset val="1"/>
      </rPr>
      <t xml:space="preserve">Valvula de controle de vazao – Metroval, VCDM-100</t>
    </r>
    <r>
      <rPr>
        <sz val="9"/>
        <color rgb="FF1F4E9A"/>
        <rFont val="Arial"/>
        <family val="0"/>
        <charset val="1"/>
      </rPr>
      <t xml:space="preserve">, série 0290, </t>
    </r>
    <r>
      <rPr>
        <strike val="true"/>
        <sz val="9"/>
        <color rgb="FF1F4E9A"/>
        <rFont val="Arial"/>
        <family val="0"/>
        <charset val="1"/>
      </rPr>
      <t xml:space="preserve">DN 100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sem mudanca. Pendente/ilegível: ano de fabricacao.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0534-0537. 
</t>
    </r>
    <r>
      <rPr>
        <b val="true"/>
        <sz val="9"/>
        <color rgb="FF000000"/>
        <rFont val="Arial"/>
        <family val="0"/>
        <charset val="1"/>
      </rPr>
      <t xml:space="preserve">• FCV-3150: </t>
    </r>
    <r>
      <rPr>
        <b val="true"/>
        <sz val="9"/>
        <color rgb="FF1F4E9A"/>
        <rFont val="Arial"/>
        <family val="0"/>
        <charset val="1"/>
      </rPr>
      <t xml:space="preserve">Placa/campo: </t>
    </r>
    <r>
      <rPr>
        <strike val="true"/>
        <sz val="9"/>
        <color rgb="FF1F4E9A"/>
        <rFont val="Arial"/>
        <family val="0"/>
        <charset val="1"/>
      </rPr>
      <t xml:space="preserve">Valvula de controle de vazao – Metroval, VCDM-50</t>
    </r>
    <r>
      <rPr>
        <sz val="9"/>
        <color rgb="FF1F4E9A"/>
        <rFont val="Arial"/>
        <family val="0"/>
        <charset val="1"/>
      </rPr>
      <t xml:space="preserve">, série 0317, 2024, </t>
    </r>
    <r>
      <rPr>
        <strike val="true"/>
        <sz val="9"/>
        <color rgb="FF1F4E9A"/>
        <rFont val="Arial"/>
        <family val="0"/>
        <charset val="1"/>
      </rPr>
      <t xml:space="preserve">DN 50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antes "FCV-31?? 0317".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0693-0696. 
</t>
    </r>
    <r>
      <rPr>
        <b val="true"/>
        <sz val="9"/>
        <color rgb="FF000000"/>
        <rFont val="Arial"/>
        <family val="0"/>
        <charset val="1"/>
      </rPr>
      <t xml:space="preserve">• FCV-3151: </t>
    </r>
    <r>
      <rPr>
        <b val="true"/>
        <sz val="9"/>
        <color rgb="FF1F4E9A"/>
        <rFont val="Arial"/>
        <family val="0"/>
        <charset val="1"/>
      </rPr>
      <t xml:space="preserve">Placa/campo: </t>
    </r>
    <r>
      <rPr>
        <strike val="true"/>
        <sz val="9"/>
        <color rgb="FF1F4E9A"/>
        <rFont val="Arial"/>
        <family val="0"/>
        <charset val="1"/>
      </rPr>
      <t xml:space="preserve">Valvula de controle de vazao – Metroval, VCDM-100</t>
    </r>
    <r>
      <rPr>
        <sz val="9"/>
        <color rgb="FF1F4E9A"/>
        <rFont val="Arial"/>
        <family val="0"/>
        <charset val="1"/>
      </rPr>
      <t xml:space="preserve">, série 0291, 2024, </t>
    </r>
    <r>
      <rPr>
        <strike val="true"/>
        <sz val="9"/>
        <color rgb="FF1F4E9A"/>
        <rFont val="Arial"/>
        <family val="0"/>
        <charset val="1"/>
      </rPr>
      <t xml:space="preserve">DN 100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ERA REGISTRADA COMO FCV-3161 (leitura errada do tag).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0539-0540. 
</t>
    </r>
    <r>
      <rPr>
        <b val="true"/>
        <sz val="9"/>
        <color rgb="FF000000"/>
        <rFont val="Arial"/>
        <family val="0"/>
        <charset val="1"/>
      </rPr>
      <t xml:space="preserve">• FCV-3152: </t>
    </r>
    <r>
      <rPr>
        <b val="true"/>
        <sz val="9"/>
        <color rgb="FF1F4E9A"/>
        <rFont val="Arial"/>
        <family val="0"/>
        <charset val="1"/>
      </rPr>
      <t xml:space="preserve">Placa/campo: </t>
    </r>
    <r>
      <rPr>
        <strike val="true"/>
        <sz val="9"/>
        <color rgb="FF1F4E9A"/>
        <rFont val="Arial"/>
        <family val="0"/>
        <charset val="1"/>
      </rPr>
      <t xml:space="preserve">Valvula de controle de vazao – Metroval, VCDM-50</t>
    </r>
    <r>
      <rPr>
        <sz val="9"/>
        <color rgb="FF1F4E9A"/>
        <rFont val="Arial"/>
        <family val="0"/>
        <charset val="1"/>
      </rPr>
      <t xml:space="preserve">, série 0318, 2024, </t>
    </r>
    <r>
      <rPr>
        <strike val="true"/>
        <sz val="9"/>
        <color rgb="FF1F4E9A"/>
        <rFont val="Arial"/>
        <family val="0"/>
        <charset val="1"/>
      </rPr>
      <t xml:space="preserve">DN 50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Terceiros (fotos 14/11/2025, WA0315): WA0315 "</t>
    </r>
    <r>
      <rPr>
        <strike val="true"/>
        <sz val="9"/>
        <color rgb="FF000000"/>
        <rFont val="Arial"/>
        <family val="0"/>
        <charset val="1"/>
      </rPr>
      <t xml:space="preserve">FCV-3152</t>
    </r>
    <r>
      <rPr>
        <sz val="9"/>
        <color rgb="FF000000"/>
        <rFont val="Arial"/>
        <family val="0"/>
        <charset val="1"/>
      </rPr>
      <t xml:space="preserve"> (provavel)" Nr.S 0309 - DIVERGE – DIVERGE. antes lida "0316" - leitura errada; o Nr.S e 0318.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0698-0700. 
</t>
    </r>
    <r>
      <rPr>
        <b val="true"/>
        <sz val="9"/>
        <color rgb="FF000000"/>
        <rFont val="Arial"/>
        <family val="0"/>
        <charset val="1"/>
      </rPr>
      <t xml:space="preserve">• FCV-3155: </t>
    </r>
    <r>
      <rPr>
        <b val="true"/>
        <sz val="9"/>
        <color rgb="FF1F4E9A"/>
        <rFont val="Arial"/>
        <family val="0"/>
        <charset val="1"/>
      </rPr>
      <t xml:space="preserve">Placa/campo: </t>
    </r>
    <r>
      <rPr>
        <strike val="true"/>
        <sz val="9"/>
        <color rgb="FF1F4E9A"/>
        <rFont val="Arial"/>
        <family val="0"/>
        <charset val="1"/>
      </rPr>
      <t xml:space="preserve">Valvula de controle de vazao – Metroval, VCDM-100</t>
    </r>
    <r>
      <rPr>
        <sz val="9"/>
        <color rgb="FF1F4E9A"/>
        <rFont val="Arial"/>
        <family val="0"/>
        <charset val="1"/>
      </rPr>
      <t xml:space="preserve">, série 0293, </t>
    </r>
    <r>
      <rPr>
        <strike val="true"/>
        <sz val="9"/>
        <color rgb="FF1F4E9A"/>
        <rFont val="Arial"/>
        <family val="0"/>
        <charset val="1"/>
      </rPr>
      <t xml:space="preserve">DN 100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Terceiros (fotos 14/11/2025, WA0308): WA0308 0293 - confere – S.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0387. 
</t>
    </r>
    <r>
      <rPr>
        <b val="true"/>
        <sz val="9"/>
        <color rgb="FF000000"/>
        <rFont val="Arial"/>
        <family val="0"/>
        <charset val="1"/>
      </rPr>
      <t xml:space="preserve">• FCV-3156: </t>
    </r>
    <r>
      <rPr>
        <b val="true"/>
        <sz val="9"/>
        <color rgb="FF1F4E9A"/>
        <rFont val="Arial"/>
        <family val="0"/>
        <charset val="1"/>
      </rPr>
      <t xml:space="preserve">Placa/campo: </t>
    </r>
    <r>
      <rPr>
        <strike val="true"/>
        <sz val="9"/>
        <color rgb="FF1F4E9A"/>
        <rFont val="Arial"/>
        <family val="0"/>
        <charset val="1"/>
      </rPr>
      <t xml:space="preserve">Valvula de controle de vazao – Metroval, VCDM-50</t>
    </r>
    <r>
      <rPr>
        <sz val="9"/>
        <color rgb="FF1F4E9A"/>
        <rFont val="Arial"/>
        <family val="0"/>
        <charset val="1"/>
      </rPr>
      <t xml:space="preserve">, série 0321, </t>
    </r>
    <r>
      <rPr>
        <strike val="true"/>
        <sz val="9"/>
        <color rgb="FF1F4E9A"/>
        <rFont val="Arial"/>
        <family val="0"/>
        <charset val="1"/>
      </rPr>
      <t xml:space="preserve">DN 50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ERA REGISTRADA COMO FCV-3168 sem Nr.S (tag lido errado). Pendente/ilegível: no de serie, PN, ano.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0459-0465. 
</t>
    </r>
    <r>
      <rPr>
        <b val="true"/>
        <sz val="9"/>
        <color rgb="FF000000"/>
        <rFont val="Arial"/>
        <family val="0"/>
        <charset val="1"/>
      </rPr>
      <t xml:space="preserve">• FCV-3157: </t>
    </r>
    <r>
      <rPr>
        <b val="true"/>
        <sz val="9"/>
        <color rgb="FF1F4E9A"/>
        <rFont val="Arial"/>
        <family val="0"/>
        <charset val="1"/>
      </rPr>
      <t xml:space="preserve">Placa/campo: </t>
    </r>
    <r>
      <rPr>
        <strike val="true"/>
        <sz val="9"/>
        <color rgb="FF1F4E9A"/>
        <rFont val="Arial"/>
        <family val="0"/>
        <charset val="1"/>
      </rPr>
      <t xml:space="preserve">Valvula de controle de vazao – Metroval, VCDM-100</t>
    </r>
    <r>
      <rPr>
        <sz val="9"/>
        <color rgb="FF1F4E9A"/>
        <rFont val="Arial"/>
        <family val="0"/>
        <charset val="1"/>
      </rPr>
      <t xml:space="preserve">, série 0294, </t>
    </r>
    <r>
      <rPr>
        <strike val="true"/>
        <sz val="9"/>
        <color rgb="FF1F4E9A"/>
        <rFont val="Arial"/>
        <family val="0"/>
        <charset val="1"/>
      </rPr>
      <t xml:space="preserve">DN 100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Terceiros (fotos 14/11/2025, WA0281): WA0281 0294 - confere – S. tag confirmado em campo (0336). Pendente/ilegível: TAG nao fotografado em campo.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0335-0336. 
</t>
    </r>
    <r>
      <rPr>
        <b val="true"/>
        <sz val="9"/>
        <color rgb="FF000000"/>
        <rFont val="Arial"/>
        <family val="0"/>
        <charset val="1"/>
      </rPr>
      <t xml:space="preserve">• FCV-3158: </t>
    </r>
    <r>
      <rPr>
        <b val="true"/>
        <sz val="9"/>
        <color rgb="FF1F4E9A"/>
        <rFont val="Arial"/>
        <family val="0"/>
        <charset val="1"/>
      </rPr>
      <t xml:space="preserve">Placa/campo: </t>
    </r>
    <r>
      <rPr>
        <strike val="true"/>
        <sz val="9"/>
        <color rgb="FF1F4E9A"/>
        <rFont val="Arial"/>
        <family val="0"/>
        <charset val="1"/>
      </rPr>
      <t xml:space="preserve">Valvula de controle de vazao – Metroval, VCDM-80</t>
    </r>
    <r>
      <rPr>
        <sz val="9"/>
        <color rgb="FF1F4E9A"/>
        <rFont val="Arial"/>
        <family val="0"/>
        <charset val="1"/>
      </rPr>
      <t xml:space="preserve">, série 0271, 2024, </t>
    </r>
    <r>
      <rPr>
        <strike val="true"/>
        <sz val="9"/>
        <color rgb="FF1F4E9A"/>
        <rFont val="Arial"/>
        <family val="0"/>
        <charset val="1"/>
      </rPr>
      <t xml:space="preserve">DN 80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Terceiros (fotos 14/11/2025, WA0283): WA0283 0271 - confere – S. antes "</t>
    </r>
    <r>
      <rPr>
        <strike val="true"/>
        <sz val="9"/>
        <color rgb="FF000000"/>
        <rFont val="Arial"/>
        <family val="0"/>
        <charset val="1"/>
      </rPr>
      <t xml:space="preserve">FCV-3149</t>
    </r>
    <r>
      <rPr>
        <sz val="9"/>
        <color rgb="FF000000"/>
        <rFont val="Arial"/>
        <family val="0"/>
        <charset val="1"/>
      </rPr>
      <t xml:space="preserve">?" - leitura errada.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0338-0340. 
</t>
    </r>
    <r>
      <rPr>
        <b val="true"/>
        <sz val="9"/>
        <color rgb="FF000000"/>
        <rFont val="Arial"/>
        <family val="0"/>
        <charset val="1"/>
      </rPr>
      <t xml:space="preserve">• FCV-3159: </t>
    </r>
    <r>
      <rPr>
        <b val="true"/>
        <sz val="9"/>
        <color rgb="FF1F4E9A"/>
        <rFont val="Arial"/>
        <family val="0"/>
        <charset val="1"/>
      </rPr>
      <t xml:space="preserve">Placa/campo: </t>
    </r>
    <r>
      <rPr>
        <strike val="true"/>
        <sz val="9"/>
        <color rgb="FF1F4E9A"/>
        <rFont val="Arial"/>
        <family val="0"/>
        <charset val="1"/>
      </rPr>
      <t xml:space="preserve">Valvula de controle de vazao – Metroval, VCDM-100</t>
    </r>
    <r>
      <rPr>
        <sz val="9"/>
        <color rgb="FF1F4E9A"/>
        <rFont val="Arial"/>
        <family val="0"/>
        <charset val="1"/>
      </rPr>
      <t xml:space="preserve">, série 0295, 2024, </t>
    </r>
    <r>
      <rPr>
        <strike val="true"/>
        <sz val="9"/>
        <color rgb="FF1F4E9A"/>
        <rFont val="Arial"/>
        <family val="0"/>
        <charset val="1"/>
      </rPr>
      <t xml:space="preserve">DN 100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Terceiros (fotos 14/11/2025, WA0288): WA0288 0295 - confere – S. placa e tag em fotos seguidas.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0330-0333. 
</t>
    </r>
    <r>
      <rPr>
        <b val="true"/>
        <sz val="9"/>
        <color rgb="FF000000"/>
        <rFont val="Arial"/>
        <family val="0"/>
        <charset val="1"/>
      </rPr>
      <t xml:space="preserve">• FCV-3160: </t>
    </r>
    <r>
      <rPr>
        <b val="true"/>
        <sz val="9"/>
        <color rgb="FF1F4E9A"/>
        <rFont val="Arial"/>
        <family val="0"/>
        <charset val="1"/>
      </rPr>
      <t xml:space="preserve">Placa/campo: </t>
    </r>
    <r>
      <rPr>
        <strike val="true"/>
        <sz val="9"/>
        <color rgb="FF1F4E9A"/>
        <rFont val="Arial"/>
        <family val="0"/>
        <charset val="1"/>
      </rPr>
      <t xml:space="preserve">Valvula de controle de vazao – Metroval, VCDM-80</t>
    </r>
    <r>
      <rPr>
        <sz val="9"/>
        <color rgb="FF1F4E9A"/>
        <rFont val="Arial"/>
        <family val="0"/>
        <charset val="1"/>
      </rPr>
      <t xml:space="preserve">, série 0272, </t>
    </r>
    <r>
      <rPr>
        <strike val="true"/>
        <sz val="9"/>
        <color rgb="FF1F4E9A"/>
        <rFont val="Arial"/>
        <family val="0"/>
        <charset val="1"/>
      </rPr>
      <t xml:space="preserve">DN 80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Terceiros (fotos 14/11/2025, WA0290): WA0290 0272 - confere – S. era FCV-3130 (corrigido M12). Pendente/ilegível: ano de fabricacao.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0341-0346. 
</t>
    </r>
    <r>
      <rPr>
        <b val="true"/>
        <sz val="9"/>
        <color rgb="FF000000"/>
        <rFont val="Arial"/>
        <family val="0"/>
        <charset val="1"/>
      </rPr>
      <t xml:space="preserve">• FCV-3161: </t>
    </r>
    <r>
      <rPr>
        <b val="true"/>
        <sz val="9"/>
        <color rgb="FF1F4E9A"/>
        <rFont val="Arial"/>
        <family val="0"/>
        <charset val="1"/>
      </rPr>
      <t xml:space="preserve">Placa/campo: </t>
    </r>
    <r>
      <rPr>
        <strike val="true"/>
        <sz val="9"/>
        <color rgb="FF1F4E9A"/>
        <rFont val="Arial"/>
        <family val="0"/>
        <charset val="1"/>
      </rPr>
      <t xml:space="preserve">Valvula de controle de vazao – Metroval, VCDM-100</t>
    </r>
    <r>
      <rPr>
        <sz val="9"/>
        <color rgb="FF1F4E9A"/>
        <rFont val="Arial"/>
        <family val="0"/>
        <charset val="1"/>
      </rPr>
      <t xml:space="preserve">, série 0307, </t>
    </r>
    <r>
      <rPr>
        <strike val="true"/>
        <sz val="9"/>
        <color rgb="FF1F4E9A"/>
        <rFont val="Arial"/>
        <family val="0"/>
        <charset val="1"/>
      </rPr>
      <t xml:space="preserve">DN 100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Terceiros (fotos 14/11/2025, WA0291): WA0291 </t>
    </r>
    <r>
      <rPr>
        <strike val="true"/>
        <sz val="9"/>
        <color rgb="FF000000"/>
        <rFont val="Arial"/>
        <family val="0"/>
        <charset val="1"/>
      </rPr>
      <t xml:space="preserve">FCV-3161</t>
    </r>
    <r>
      <rPr>
        <sz val="9"/>
        <color rgb="FF000000"/>
        <rFont val="Arial"/>
        <family val="0"/>
        <charset val="1"/>
      </rPr>
      <t xml:space="preserve"> - confere TAG – S. antes a </t>
    </r>
    <r>
      <rPr>
        <strike val="true"/>
        <sz val="9"/>
        <color rgb="FF000000"/>
        <rFont val="Arial"/>
        <family val="0"/>
        <charset val="1"/>
      </rPr>
      <t xml:space="preserve">FCV-3161</t>
    </r>
    <r>
      <rPr>
        <sz val="9"/>
        <color rgb="FF000000"/>
        <rFont val="Arial"/>
        <family val="0"/>
        <charset val="1"/>
      </rPr>
      <t xml:space="preserve"> tinha o Nr.S 0291, que e da </t>
    </r>
    <r>
      <rPr>
        <strike val="true"/>
        <sz val="9"/>
        <color rgb="FF000000"/>
        <rFont val="Arial"/>
        <family val="0"/>
        <charset val="1"/>
      </rPr>
      <t xml:space="preserve">FCV-3151</t>
    </r>
    <r>
      <rPr>
        <sz val="9"/>
        <color rgb="FF000000"/>
        <rFont val="Arial"/>
        <family val="0"/>
        <charset val="1"/>
      </rPr>
      <t xml:space="preserve">. Pendente/ilegível: ano de fabricacao.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0327-0329. 
</t>
    </r>
    <r>
      <rPr>
        <b val="true"/>
        <sz val="9"/>
        <color rgb="FF000000"/>
        <rFont val="Arial"/>
        <family val="0"/>
        <charset val="1"/>
      </rPr>
      <t xml:space="preserve">• FCV-3164: </t>
    </r>
    <r>
      <rPr>
        <b val="true"/>
        <sz val="9"/>
        <color rgb="FF1F4E9A"/>
        <rFont val="Arial"/>
        <family val="0"/>
        <charset val="1"/>
      </rPr>
      <t xml:space="preserve">Placa/campo: </t>
    </r>
    <r>
      <rPr>
        <strike val="true"/>
        <sz val="9"/>
        <color rgb="FF1F4E9A"/>
        <rFont val="Arial"/>
        <family val="0"/>
        <charset val="1"/>
      </rPr>
      <t xml:space="preserve">Valvula de controle de vazao – Metroval, VCDM-100</t>
    </r>
    <r>
      <rPr>
        <sz val="9"/>
        <color rgb="FF1F4E9A"/>
        <rFont val="Arial"/>
        <family val="0"/>
        <charset val="1"/>
      </rPr>
      <t xml:space="preserve">, série 0311, </t>
    </r>
    <r>
      <rPr>
        <strike val="true"/>
        <sz val="9"/>
        <color rgb="FF1F4E9A"/>
        <rFont val="Arial"/>
        <family val="0"/>
        <charset val="1"/>
      </rPr>
      <t xml:space="preserve">DN 100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Terceiros (fotos 14/11/2025, WA0316): WA0316 0311 - confere – S. era FCV-3154 (corrigido M12). Pendente/ilegível: ano de fabricacao.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0389-0390. 
</t>
    </r>
    <r>
      <rPr>
        <b val="true"/>
        <sz val="9"/>
        <color rgb="FF000000"/>
        <rFont val="Arial"/>
        <family val="0"/>
        <charset val="1"/>
      </rPr>
      <t xml:space="preserve">• FCV-3165: </t>
    </r>
    <r>
      <rPr>
        <b val="true"/>
        <sz val="9"/>
        <color rgb="FF1F4E9A"/>
        <rFont val="Arial"/>
        <family val="0"/>
        <charset val="1"/>
      </rPr>
      <t xml:space="preserve">Placa/campo: </t>
    </r>
    <r>
      <rPr>
        <strike val="true"/>
        <sz val="9"/>
        <color rgb="FF1F4E9A"/>
        <rFont val="Arial"/>
        <family val="0"/>
        <charset val="1"/>
      </rPr>
      <t xml:space="preserve">Valvula de controle de vazao – Metroval, VCDM-50</t>
    </r>
    <r>
      <rPr>
        <sz val="9"/>
        <color rgb="FF1F4E9A"/>
        <rFont val="Arial"/>
        <family val="0"/>
        <charset val="1"/>
      </rPr>
      <t xml:space="preserve">, série 0323, </t>
    </r>
    <r>
      <rPr>
        <strike val="true"/>
        <sz val="9"/>
        <color rgb="FF1F4E9A"/>
        <rFont val="Arial"/>
        <family val="0"/>
        <charset val="1"/>
      </rPr>
      <t xml:space="preserve">DN 50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Terceiros (fotos 14/11/2025, WA0313): WA0313 0323 - confere – S. tag confirmado em campo (0470). Pendente/ilegível: TAG nao fotografado em campo.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0467-0470. 
</t>
    </r>
    <r>
      <rPr>
        <b val="true"/>
        <sz val="9"/>
        <color rgb="FF000000"/>
        <rFont val="Arial"/>
        <family val="0"/>
        <charset val="1"/>
      </rPr>
      <t xml:space="preserve">• FT-3141: </t>
    </r>
    <r>
      <rPr>
        <b val="true"/>
        <sz val="9"/>
        <color rgb="FF1F4E9A"/>
        <rFont val="Arial"/>
        <family val="0"/>
        <charset val="1"/>
      </rPr>
      <t xml:space="preserve">Placa/campo: </t>
    </r>
    <r>
      <rPr>
        <strike val="true"/>
        <sz val="9"/>
        <color rgb="FF1F4E9A"/>
        <rFont val="Arial"/>
        <family val="0"/>
        <charset val="1"/>
      </rPr>
      <t xml:space="preserve">Medidor de vazao tipo turbina – Metroval, MTF-80</t>
    </r>
    <r>
      <rPr>
        <sz val="9"/>
        <color rgb="FF1F4E9A"/>
        <rFont val="Arial"/>
        <family val="0"/>
        <charset val="1"/>
      </rPr>
      <t xml:space="preserve">, série 01311123, </t>
    </r>
    <r>
      <rPr>
        <strike val="true"/>
        <sz val="9"/>
        <color rgb="FF1F4E9A"/>
        <rFont val="Arial"/>
        <family val="0"/>
        <charset val="1"/>
      </rPr>
      <t xml:space="preserve">DIMEL 365/2020</t>
    </r>
    <r>
      <rPr>
        <sz val="9"/>
        <color rgb="FF1F4E9A"/>
        <rFont val="Arial"/>
        <family val="0"/>
        <charset val="1"/>
      </rPr>
      <t xml:space="preserve">, 2024, </t>
    </r>
    <r>
      <rPr>
        <strike val="true"/>
        <sz val="9"/>
        <color rgb="FF1F4E9A"/>
        <rFont val="Arial"/>
        <family val="0"/>
        <charset val="1"/>
      </rPr>
      <t xml:space="preserve">Classe exatidao 0,3</t>
    </r>
    <r>
      <rPr>
        <sz val="9"/>
        <color rgb="FF1F4E9A"/>
        <rFont val="Arial"/>
        <family val="0"/>
        <charset val="1"/>
      </rPr>
      <t xml:space="preserve">; </t>
    </r>
    <r>
      <rPr>
        <strike val="true"/>
        <sz val="9"/>
        <color rgb="FF1F4E9A"/>
        <rFont val="Arial"/>
        <family val="0"/>
        <charset val="1"/>
      </rPr>
      <t xml:space="preserve">QMM 100</t>
    </r>
    <r>
      <rPr>
        <sz val="9"/>
        <color rgb="FF1F4E9A"/>
        <rFont val="Arial"/>
        <family val="0"/>
        <charset val="1"/>
      </rPr>
      <t xml:space="preserve">; </t>
    </r>
    <r>
      <rPr>
        <strike val="true"/>
        <sz val="9"/>
        <color rgb="FF1F4E9A"/>
        <rFont val="Arial"/>
        <family val="0"/>
        <charset val="1"/>
      </rPr>
      <t xml:space="preserve">60/-20 C</t>
    </r>
    <r>
      <rPr>
        <sz val="9"/>
        <color rgb="FF1F4E9A"/>
        <rFont val="Arial"/>
        <family val="0"/>
        <charset val="1"/>
      </rPr>
      <t xml:space="preserve">; 19,58; </t>
    </r>
    <r>
      <rPr>
        <strike val="true"/>
        <sz val="9"/>
        <color rgb="FF1F4E9A"/>
        <rFont val="Arial"/>
        <family val="0"/>
        <charset val="1"/>
      </rPr>
      <t xml:space="preserve">vazao 150/15</t>
    </r>
    <r>
      <rPr>
        <sz val="9"/>
        <color rgb="FF1F4E9A"/>
        <rFont val="Arial"/>
        <family val="0"/>
        <charset val="1"/>
      </rPr>
      <t xml:space="preserve">, Gasolina.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TAG a confirmar (plaqueta desfocada).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0662-0663, 0667, 0670. 
</t>
    </r>
    <r>
      <rPr>
        <b val="true"/>
        <sz val="9"/>
        <color rgb="FF000000"/>
        <rFont val="Arial"/>
        <family val="0"/>
        <charset val="1"/>
      </rPr>
      <t xml:space="preserve">• FT-3142: </t>
    </r>
    <r>
      <rPr>
        <b val="true"/>
        <sz val="9"/>
        <color rgb="FF1F4E9A"/>
        <rFont val="Arial"/>
        <family val="0"/>
        <charset val="1"/>
      </rPr>
      <t xml:space="preserve">Placa/campo: </t>
    </r>
    <r>
      <rPr>
        <strike val="true"/>
        <sz val="9"/>
        <color rgb="FF1F4E9A"/>
        <rFont val="Arial"/>
        <family val="0"/>
        <charset val="1"/>
      </rPr>
      <t xml:space="preserve">Medidor de vazao tipo turbina – Metroval, MTF-80</t>
    </r>
    <r>
      <rPr>
        <sz val="9"/>
        <color rgb="FF1F4E9A"/>
        <rFont val="Arial"/>
        <family val="0"/>
        <charset val="1"/>
      </rPr>
      <t xml:space="preserve">, série 01?3?1123, </t>
    </r>
    <r>
      <rPr>
        <strike val="true"/>
        <sz val="9"/>
        <color rgb="FF1F4E9A"/>
        <rFont val="Arial"/>
        <family val="0"/>
        <charset val="1"/>
      </rPr>
      <t xml:space="preserve">DIMEL 365/2020</t>
    </r>
    <r>
      <rPr>
        <sz val="9"/>
        <color rgb="FF1F4E9A"/>
        <rFont val="Arial"/>
        <family val="0"/>
        <charset val="1"/>
      </rPr>
      <t xml:space="preserve">, 2024, </t>
    </r>
    <r>
      <rPr>
        <strike val="true"/>
        <sz val="9"/>
        <color rgb="FF1F4E9A"/>
        <rFont val="Arial"/>
        <family val="0"/>
        <charset val="1"/>
      </rPr>
      <t xml:space="preserve">Classe exatidao 0,3</t>
    </r>
    <r>
      <rPr>
        <sz val="9"/>
        <color rgb="FF1F4E9A"/>
        <rFont val="Arial"/>
        <family val="0"/>
        <charset val="1"/>
      </rPr>
      <t xml:space="preserve">; </t>
    </r>
    <r>
      <rPr>
        <strike val="true"/>
        <sz val="9"/>
        <color rgb="FF1F4E9A"/>
        <rFont val="Arial"/>
        <family val="0"/>
        <charset val="1"/>
      </rPr>
      <t xml:space="preserve">QMM 100</t>
    </r>
    <r>
      <rPr>
        <sz val="9"/>
        <color rgb="FF1F4E9A"/>
        <rFont val="Arial"/>
        <family val="0"/>
        <charset val="1"/>
      </rPr>
      <t xml:space="preserve">; </t>
    </r>
    <r>
      <rPr>
        <strike val="true"/>
        <sz val="9"/>
        <color rgb="FF1F4E9A"/>
        <rFont val="Arial"/>
        <family val="0"/>
        <charset val="1"/>
      </rPr>
      <t xml:space="preserve">60/-20 C</t>
    </r>
    <r>
      <rPr>
        <sz val="9"/>
        <color rgb="FF1F4E9A"/>
        <rFont val="Arial"/>
        <family val="0"/>
        <charset val="1"/>
      </rPr>
      <t xml:space="preserve">; 19,58; </t>
    </r>
    <r>
      <rPr>
        <strike val="true"/>
        <sz val="9"/>
        <color rgb="FF1F4E9A"/>
        <rFont val="Arial"/>
        <family val="0"/>
        <charset val="1"/>
      </rPr>
      <t xml:space="preserve">vazao 150/15</t>
    </r>
    <r>
      <rPr>
        <sz val="9"/>
        <color rgb="FF1F4E9A"/>
        <rFont val="Arial"/>
        <family val="0"/>
        <charset val="1"/>
      </rPr>
      <t xml:space="preserve">, Diesel S-500.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digitos do no de serie.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0553, 0554. 
</t>
    </r>
    <r>
      <rPr>
        <b val="true"/>
        <sz val="9"/>
        <color rgb="FF000000"/>
        <rFont val="Arial"/>
        <family val="0"/>
        <charset val="1"/>
      </rPr>
      <t xml:space="preserve">• FT-3143: </t>
    </r>
    <r>
      <rPr>
        <b val="true"/>
        <sz val="9"/>
        <color rgb="FF1F4E9A"/>
        <rFont val="Arial"/>
        <family val="0"/>
        <charset val="1"/>
      </rPr>
      <t xml:space="preserve">Placa/campo: </t>
    </r>
    <r>
      <rPr>
        <sz val="9"/>
        <color rgb="FF1F4E9A"/>
        <rFont val="Arial"/>
        <family val="0"/>
        <charset val="1"/>
      </rPr>
      <t xml:space="preserve">Medidor massico – Metroval, OI 50 SMPF/F2, série 12527, 2024, Vazao 30-300 L/min; 2" 150# RF; 20 bar; 60 C, Biodiesel B100.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no de serie.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0711, 0712. 
</t>
    </r>
    <r>
      <rPr>
        <b val="true"/>
        <sz val="9"/>
        <color rgb="FF000000"/>
        <rFont val="Arial"/>
        <family val="0"/>
        <charset val="1"/>
      </rPr>
      <t xml:space="preserve">• FT-3148: </t>
    </r>
    <r>
      <rPr>
        <b val="true"/>
        <sz val="9"/>
        <color rgb="FF1F4E9A"/>
        <rFont val="Arial"/>
        <family val="0"/>
        <charset val="1"/>
      </rPr>
      <t xml:space="preserve">Placa/campo: </t>
    </r>
    <r>
      <rPr>
        <strike val="true"/>
        <sz val="9"/>
        <color rgb="FF1F4E9A"/>
        <rFont val="Arial"/>
        <family val="0"/>
        <charset val="1"/>
      </rPr>
      <t xml:space="preserve">Medidor de vazao tipo turbina – Metroval, MTF-80</t>
    </r>
    <r>
      <rPr>
        <sz val="9"/>
        <color rgb="FF1F4E9A"/>
        <rFont val="Arial"/>
        <family val="0"/>
        <charset val="1"/>
      </rPr>
      <t xml:space="preserve">, série 01421123, </t>
    </r>
    <r>
      <rPr>
        <strike val="true"/>
        <sz val="9"/>
        <color rgb="FF1F4E9A"/>
        <rFont val="Arial"/>
        <family val="0"/>
        <charset val="1"/>
      </rPr>
      <t xml:space="preserve">DIMEL 365/2020</t>
    </r>
    <r>
      <rPr>
        <sz val="9"/>
        <color rgb="FF1F4E9A"/>
        <rFont val="Arial"/>
        <family val="0"/>
        <charset val="1"/>
      </rPr>
      <t xml:space="preserve">, 2024, </t>
    </r>
    <r>
      <rPr>
        <strike val="true"/>
        <sz val="9"/>
        <color rgb="FF1F4E9A"/>
        <rFont val="Arial"/>
        <family val="0"/>
        <charset val="1"/>
      </rPr>
      <t xml:space="preserve">Classe exatidao 0,3</t>
    </r>
    <r>
      <rPr>
        <sz val="9"/>
        <color rgb="FF1F4E9A"/>
        <rFont val="Arial"/>
        <family val="0"/>
        <charset val="1"/>
      </rPr>
      <t xml:space="preserve">; </t>
    </r>
    <r>
      <rPr>
        <strike val="true"/>
        <sz val="9"/>
        <color rgb="FF1F4E9A"/>
        <rFont val="Arial"/>
        <family val="0"/>
        <charset val="1"/>
      </rPr>
      <t xml:space="preserve">QMM 100</t>
    </r>
    <r>
      <rPr>
        <sz val="9"/>
        <color rgb="FF1F4E9A"/>
        <rFont val="Arial"/>
        <family val="0"/>
        <charset val="1"/>
      </rPr>
      <t xml:space="preserve">; </t>
    </r>
    <r>
      <rPr>
        <strike val="true"/>
        <sz val="9"/>
        <color rgb="FF1F4E9A"/>
        <rFont val="Arial"/>
        <family val="0"/>
        <charset val="1"/>
      </rPr>
      <t xml:space="preserve">60/-20 C</t>
    </r>
    <r>
      <rPr>
        <sz val="9"/>
        <color rgb="FF1F4E9A"/>
        <rFont val="Arial"/>
        <family val="0"/>
        <charset val="1"/>
      </rPr>
      <t xml:space="preserve">; 19,58; </t>
    </r>
    <r>
      <rPr>
        <strike val="true"/>
        <sz val="9"/>
        <color rgb="FF1F4E9A"/>
        <rFont val="Arial"/>
        <family val="0"/>
        <charset val="1"/>
      </rPr>
      <t xml:space="preserve">vazao 150/15</t>
    </r>
    <r>
      <rPr>
        <sz val="9"/>
        <color rgb="FF1F4E9A"/>
        <rFont val="Arial"/>
        <family val="0"/>
        <charset val="1"/>
      </rPr>
      <t xml:space="preserve">, Etanol hidratado.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0649-0651. 
</t>
    </r>
    <r>
      <rPr>
        <b val="true"/>
        <sz val="9"/>
        <color rgb="FF000000"/>
        <rFont val="Arial"/>
        <family val="0"/>
        <charset val="1"/>
      </rPr>
      <t xml:space="preserve">• FT-3151: </t>
    </r>
    <r>
      <rPr>
        <b val="true"/>
        <sz val="9"/>
        <color rgb="FF1F4E9A"/>
        <rFont val="Arial"/>
        <family val="0"/>
        <charset val="1"/>
      </rPr>
      <t xml:space="preserve">Placa/campo: </t>
    </r>
    <r>
      <rPr>
        <strike val="true"/>
        <sz val="9"/>
        <color rgb="FF1F4E9A"/>
        <rFont val="Arial"/>
        <family val="0"/>
        <charset val="1"/>
      </rPr>
      <t xml:space="preserve">Medidor de vazao tipo turbina – Metroval, MTF-80</t>
    </r>
    <r>
      <rPr>
        <sz val="9"/>
        <color rgb="FF1F4E9A"/>
        <rFont val="Arial"/>
        <family val="0"/>
        <charset val="1"/>
      </rPr>
      <t xml:space="preserve">, série 01341123, </t>
    </r>
    <r>
      <rPr>
        <strike val="true"/>
        <sz val="9"/>
        <color rgb="FF1F4E9A"/>
        <rFont val="Arial"/>
        <family val="0"/>
        <charset val="1"/>
      </rPr>
      <t xml:space="preserve">DIMEL 365/2020</t>
    </r>
    <r>
      <rPr>
        <sz val="9"/>
        <color rgb="FF1F4E9A"/>
        <rFont val="Arial"/>
        <family val="0"/>
        <charset val="1"/>
      </rPr>
      <t xml:space="preserve">, 2024, </t>
    </r>
    <r>
      <rPr>
        <strike val="true"/>
        <sz val="9"/>
        <color rgb="FF1F4E9A"/>
        <rFont val="Arial"/>
        <family val="0"/>
        <charset val="1"/>
      </rPr>
      <t xml:space="preserve">Classe exatidao 0,3</t>
    </r>
    <r>
      <rPr>
        <sz val="9"/>
        <color rgb="FF1F4E9A"/>
        <rFont val="Arial"/>
        <family val="0"/>
        <charset val="1"/>
      </rPr>
      <t xml:space="preserve">; </t>
    </r>
    <r>
      <rPr>
        <strike val="true"/>
        <sz val="9"/>
        <color rgb="FF1F4E9A"/>
        <rFont val="Arial"/>
        <family val="0"/>
        <charset val="1"/>
      </rPr>
      <t xml:space="preserve">QMM 100</t>
    </r>
    <r>
      <rPr>
        <sz val="9"/>
        <color rgb="FF1F4E9A"/>
        <rFont val="Arial"/>
        <family val="0"/>
        <charset val="1"/>
      </rPr>
      <t xml:space="preserve">; </t>
    </r>
    <r>
      <rPr>
        <strike val="true"/>
        <sz val="9"/>
        <color rgb="FF1F4E9A"/>
        <rFont val="Arial"/>
        <family val="0"/>
        <charset val="1"/>
      </rPr>
      <t xml:space="preserve">60/-20 C</t>
    </r>
    <r>
      <rPr>
        <sz val="9"/>
        <color rgb="FF1F4E9A"/>
        <rFont val="Arial"/>
        <family val="0"/>
        <charset val="1"/>
      </rPr>
      <t xml:space="preserve">; 19,58; </t>
    </r>
    <r>
      <rPr>
        <strike val="true"/>
        <sz val="9"/>
        <color rgb="FF1F4E9A"/>
        <rFont val="Arial"/>
        <family val="0"/>
        <charset val="1"/>
      </rPr>
      <t xml:space="preserve">vazao 150/15</t>
    </r>
    <r>
      <rPr>
        <sz val="9"/>
        <color rgb="FF1F4E9A"/>
        <rFont val="Arial"/>
        <family val="0"/>
        <charset val="1"/>
      </rPr>
      <t xml:space="preserve">, Diesel S-500.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nenhum - divergencia D01 resolvida.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0315-0317, 0567-0570. 
</t>
    </r>
    <r>
      <rPr>
        <b val="true"/>
        <sz val="9"/>
        <color rgb="FF000000"/>
        <rFont val="Arial"/>
        <family val="0"/>
        <charset val="1"/>
      </rPr>
      <t xml:space="preserve">• FT-3154: </t>
    </r>
    <r>
      <rPr>
        <b val="true"/>
        <sz val="9"/>
        <color rgb="FF1F4E9A"/>
        <rFont val="Arial"/>
        <family val="0"/>
        <charset val="1"/>
      </rPr>
      <t xml:space="preserve">Placa/campo: </t>
    </r>
    <r>
      <rPr>
        <strike val="true"/>
        <sz val="9"/>
        <color rgb="FF1F4E9A"/>
        <rFont val="Arial"/>
        <family val="0"/>
        <charset val="1"/>
      </rPr>
      <t xml:space="preserve">Medidor massico – Metroval, OI 50 SMPF/F2</t>
    </r>
    <r>
      <rPr>
        <sz val="9"/>
        <color rgb="FF1F4E9A"/>
        <rFont val="Arial"/>
        <family val="0"/>
        <charset val="1"/>
      </rPr>
      <t xml:space="preserve">, série 12529, 2024, </t>
    </r>
    <r>
      <rPr>
        <strike val="true"/>
        <sz val="9"/>
        <color rgb="FF1F4E9A"/>
        <rFont val="Arial"/>
        <family val="0"/>
        <charset val="1"/>
      </rPr>
      <t xml:space="preserve">Vazao 30-300 L/min; 2" 150# RF; 20 bar; 60 C</t>
    </r>
    <r>
      <rPr>
        <sz val="9"/>
        <color rgb="FF1F4E9A"/>
        <rFont val="Arial"/>
        <family val="0"/>
        <charset val="1"/>
      </rPr>
      <t xml:space="preserve">, </t>
    </r>
    <r>
      <rPr>
        <strike val="true"/>
        <sz val="9"/>
        <color rgb="FF1F4E9A"/>
        <rFont val="Arial"/>
        <family val="0"/>
        <charset val="1"/>
      </rPr>
      <t xml:space="preserve">Biodiesel B100</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Terceiros (fotos 14/11/2025, WA0341): </t>
    </r>
    <r>
      <rPr>
        <strike val="true"/>
        <sz val="9"/>
        <color rgb="FF000000"/>
        <rFont val="Arial"/>
        <family val="0"/>
        <charset val="1"/>
      </rPr>
      <t xml:space="preserve">FT-3154</t>
    </r>
    <r>
      <rPr>
        <sz val="9"/>
        <color rgb="FF000000"/>
        <rFont val="Arial"/>
        <family val="0"/>
        <charset val="1"/>
      </rPr>
      <t xml:space="preserve"> | OI 50 SMPF/F2 | 12529 – S.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0439, 0440. 
</t>
    </r>
    <r>
      <rPr>
        <b val="true"/>
        <sz val="9"/>
        <color rgb="FF000000"/>
        <rFont val="Arial"/>
        <family val="0"/>
        <charset val="1"/>
      </rPr>
      <t xml:space="preserve">• FT-3156: </t>
    </r>
    <r>
      <rPr>
        <b val="true"/>
        <sz val="9"/>
        <color rgb="FF1F4E9A"/>
        <rFont val="Arial"/>
        <family val="0"/>
        <charset val="1"/>
      </rPr>
      <t xml:space="preserve">Placa/campo: </t>
    </r>
    <r>
      <rPr>
        <strike val="true"/>
        <sz val="9"/>
        <color rgb="FF1F4E9A"/>
        <rFont val="Arial"/>
        <family val="0"/>
        <charset val="1"/>
      </rPr>
      <t xml:space="preserve">Medidor massico – Metroval, OI 50 SMPF/F2</t>
    </r>
    <r>
      <rPr>
        <sz val="9"/>
        <color rgb="FF1F4E9A"/>
        <rFont val="Arial"/>
        <family val="0"/>
        <charset val="1"/>
      </rPr>
      <t xml:space="preserve">, série 12531, 2024, </t>
    </r>
    <r>
      <rPr>
        <strike val="true"/>
        <sz val="9"/>
        <color rgb="FF1F4E9A"/>
        <rFont val="Arial"/>
        <family val="0"/>
        <charset val="1"/>
      </rPr>
      <t xml:space="preserve">Vazao 30-300 L/min; 2" 150# RF; 20 bar; 60 C</t>
    </r>
    <r>
      <rPr>
        <sz val="9"/>
        <color rgb="FF1F4E9A"/>
        <rFont val="Arial"/>
        <family val="0"/>
        <charset val="1"/>
      </rPr>
      <t xml:space="preserve">, </t>
    </r>
    <r>
      <rPr>
        <strike val="true"/>
        <sz val="9"/>
        <color rgb="FF1F4E9A"/>
        <rFont val="Arial"/>
        <family val="0"/>
        <charset val="1"/>
      </rPr>
      <t xml:space="preserve">Biodiesel B100</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Terceiros (fotos 14/11/2025, WA0332): </t>
    </r>
    <r>
      <rPr>
        <strike val="true"/>
        <sz val="9"/>
        <color rgb="FF000000"/>
        <rFont val="Arial"/>
        <family val="0"/>
        <charset val="1"/>
      </rPr>
      <t xml:space="preserve">FT-3156</t>
    </r>
    <r>
      <rPr>
        <sz val="9"/>
        <color rgb="FF000000"/>
        <rFont val="Arial"/>
        <family val="0"/>
        <charset val="1"/>
      </rPr>
      <t xml:space="preserve"> | OI 50 SMPF/F2 | 12531 – S.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0441, 0442. 
</t>
    </r>
    <r>
      <rPr>
        <b val="true"/>
        <sz val="9"/>
        <color rgb="FF000000"/>
        <rFont val="Arial"/>
        <family val="0"/>
        <charset val="1"/>
      </rPr>
      <t xml:space="preserve">• FT-3159: </t>
    </r>
    <r>
      <rPr>
        <b val="true"/>
        <sz val="9"/>
        <color rgb="FF1F4E9A"/>
        <rFont val="Arial"/>
        <family val="0"/>
        <charset val="1"/>
      </rPr>
      <t xml:space="preserve">Placa/campo: </t>
    </r>
    <r>
      <rPr>
        <strike val="true"/>
        <sz val="9"/>
        <color rgb="FF1F4E9A"/>
        <rFont val="Arial"/>
        <family val="0"/>
        <charset val="1"/>
      </rPr>
      <t xml:space="preserve">Medidor de vazao tipo turbina – Metroval, MTF-80</t>
    </r>
    <r>
      <rPr>
        <sz val="9"/>
        <color rgb="FF1F4E9A"/>
        <rFont val="Arial"/>
        <family val="0"/>
        <charset val="1"/>
      </rPr>
      <t xml:space="preserve">, série 01451123, </t>
    </r>
    <r>
      <rPr>
        <strike val="true"/>
        <sz val="9"/>
        <color rgb="FF1F4E9A"/>
        <rFont val="Arial"/>
        <family val="0"/>
        <charset val="1"/>
      </rPr>
      <t xml:space="preserve">DIMEL 365/2020</t>
    </r>
    <r>
      <rPr>
        <sz val="9"/>
        <color rgb="FF1F4E9A"/>
        <rFont val="Arial"/>
        <family val="0"/>
        <charset val="1"/>
      </rPr>
      <t xml:space="preserve">, 2024, </t>
    </r>
    <r>
      <rPr>
        <strike val="true"/>
        <sz val="9"/>
        <color rgb="FF1F4E9A"/>
        <rFont val="Arial"/>
        <family val="0"/>
        <charset val="1"/>
      </rPr>
      <t xml:space="preserve">Classe exatidao 0,3</t>
    </r>
    <r>
      <rPr>
        <sz val="9"/>
        <color rgb="FF1F4E9A"/>
        <rFont val="Arial"/>
        <family val="0"/>
        <charset val="1"/>
      </rPr>
      <t xml:space="preserve">; </t>
    </r>
    <r>
      <rPr>
        <strike val="true"/>
        <sz val="9"/>
        <color rgb="FF1F4E9A"/>
        <rFont val="Arial"/>
        <family val="0"/>
        <charset val="1"/>
      </rPr>
      <t xml:space="preserve">QMM 100</t>
    </r>
    <r>
      <rPr>
        <sz val="9"/>
        <color rgb="FF1F4E9A"/>
        <rFont val="Arial"/>
        <family val="0"/>
        <charset val="1"/>
      </rPr>
      <t xml:space="preserve">; </t>
    </r>
    <r>
      <rPr>
        <strike val="true"/>
        <sz val="9"/>
        <color rgb="FF1F4E9A"/>
        <rFont val="Arial"/>
        <family val="0"/>
        <charset val="1"/>
      </rPr>
      <t xml:space="preserve">60/-20 C</t>
    </r>
    <r>
      <rPr>
        <sz val="9"/>
        <color rgb="FF1F4E9A"/>
        <rFont val="Arial"/>
        <family val="0"/>
        <charset val="1"/>
      </rPr>
      <t xml:space="preserve">; 19,58; </t>
    </r>
    <r>
      <rPr>
        <strike val="true"/>
        <sz val="9"/>
        <color rgb="FF1F4E9A"/>
        <rFont val="Arial"/>
        <family val="0"/>
        <charset val="1"/>
      </rPr>
      <t xml:space="preserve">vazao 150/15</t>
    </r>
    <r>
      <rPr>
        <sz val="9"/>
        <color rgb="FF1F4E9A"/>
        <rFont val="Arial"/>
        <family val="0"/>
        <charset val="1"/>
      </rPr>
      <t xml:space="preserve">, Gasolina.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0308, 0311, 0312. 
</t>
    </r>
    <r>
      <rPr>
        <b val="true"/>
        <sz val="9"/>
        <color rgb="FF000000"/>
        <rFont val="Arial"/>
        <family val="0"/>
        <charset val="1"/>
      </rPr>
      <t xml:space="preserve">• FT-3163: </t>
    </r>
    <r>
      <rPr>
        <b val="true"/>
        <sz val="9"/>
        <color rgb="FF1F4E9A"/>
        <rFont val="Arial"/>
        <family val="0"/>
        <charset val="1"/>
      </rPr>
      <t xml:space="preserve">Placa/campo: </t>
    </r>
    <r>
      <rPr>
        <strike val="true"/>
        <sz val="9"/>
        <color rgb="FF1F4E9A"/>
        <rFont val="Arial"/>
        <family val="0"/>
        <charset val="1"/>
      </rPr>
      <t xml:space="preserve">Medidor massico – Metroval, OI 50 SMPF/F2</t>
    </r>
    <r>
      <rPr>
        <sz val="9"/>
        <color rgb="FF1F4E9A"/>
        <rFont val="Arial"/>
        <family val="0"/>
        <charset val="1"/>
      </rPr>
      <t xml:space="preserve">, série 12528, 2024, </t>
    </r>
    <r>
      <rPr>
        <strike val="true"/>
        <sz val="9"/>
        <color rgb="FF1F4E9A"/>
        <rFont val="Arial"/>
        <family val="0"/>
        <charset val="1"/>
      </rPr>
      <t xml:space="preserve">Vazao 30-300 L/min; 2" 150# RF; 20 bar; 60 C</t>
    </r>
    <r>
      <rPr>
        <sz val="9"/>
        <color rgb="FF1F4E9A"/>
        <rFont val="Arial"/>
        <family val="0"/>
        <charset val="1"/>
      </rPr>
      <t xml:space="preserve">, </t>
    </r>
    <r>
      <rPr>
        <strike val="true"/>
        <sz val="9"/>
        <color rgb="FF1F4E9A"/>
        <rFont val="Arial"/>
        <family val="0"/>
        <charset val="1"/>
      </rPr>
      <t xml:space="preserve">Biodiesel B100</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Terceiros (fotos 14/11/2025, WA0326 / WA0343): </t>
    </r>
    <r>
      <rPr>
        <strike val="true"/>
        <sz val="9"/>
        <color rgb="FF000000"/>
        <rFont val="Arial"/>
        <family val="0"/>
        <charset val="1"/>
      </rPr>
      <t xml:space="preserve">FT-3163</t>
    </r>
    <r>
      <rPr>
        <sz val="9"/>
        <color rgb="FF000000"/>
        <rFont val="Arial"/>
        <family val="0"/>
        <charset val="1"/>
      </rPr>
      <t xml:space="preserve"> | OI 50 SMPF/F2 | 12528 – S.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0437, 0438. 
</t>
    </r>
    <r>
      <rPr>
        <b val="true"/>
        <sz val="9"/>
        <color rgb="FF000000"/>
        <rFont val="Arial"/>
        <family val="0"/>
        <charset val="1"/>
      </rPr>
      <t xml:space="preserve">• SDV-3103: </t>
    </r>
    <r>
      <rPr>
        <b val="true"/>
        <sz val="9"/>
        <color rgb="FF1F4E9A"/>
        <rFont val="Arial"/>
        <family val="0"/>
        <charset val="1"/>
      </rPr>
      <t xml:space="preserve">Placa/campo: </t>
    </r>
    <r>
      <rPr>
        <sz val="9"/>
        <color rgb="FF1F4E9A"/>
        <rFont val="Arial"/>
        <family val="0"/>
        <charset val="1"/>
      </rPr>
      <t xml:space="preserve">Valvula ON-OFF – Metroval, VOOM-100, série 0331, </t>
    </r>
    <r>
      <rPr>
        <strike val="true"/>
        <sz val="9"/>
        <color rgb="FF1F4E9A"/>
        <rFont val="Arial"/>
        <family val="0"/>
        <charset val="1"/>
      </rPr>
      <t xml:space="preserve">DN 100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ERA REGISTRADA COMO SDV-3109 (tag lido errado); 0490 lida antes como SDV-3105. Pendente/ilegível: ano de fabricacao.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0489-0490. 
</t>
    </r>
    <r>
      <rPr>
        <b val="true"/>
        <sz val="9"/>
        <color rgb="FF000000"/>
        <rFont val="Arial"/>
        <family val="0"/>
        <charset val="1"/>
      </rPr>
      <t xml:space="preserve">• SDV-3111: </t>
    </r>
    <r>
      <rPr>
        <b val="true"/>
        <sz val="9"/>
        <color rgb="FF1F4E9A"/>
        <rFont val="Arial"/>
        <family val="0"/>
        <charset val="1"/>
      </rPr>
      <t xml:space="preserve">Placa/campo: </t>
    </r>
    <r>
      <rPr>
        <strike val="true"/>
        <sz val="9"/>
        <color rgb="FF1F4E9A"/>
        <rFont val="Arial"/>
        <family val="0"/>
        <charset val="1"/>
      </rPr>
      <t xml:space="preserve">Valvula ON-OFF – Metroval, VOOM-100</t>
    </r>
    <r>
      <rPr>
        <sz val="9"/>
        <color rgb="FF1F4E9A"/>
        <rFont val="Arial"/>
        <family val="0"/>
        <charset val="1"/>
      </rPr>
      <t xml:space="preserve">, série 0336, 2024, </t>
    </r>
    <r>
      <rPr>
        <strike val="true"/>
        <sz val="9"/>
        <color rgb="FF1F4E9A"/>
        <rFont val="Arial"/>
        <family val="0"/>
        <charset val="1"/>
      </rPr>
      <t xml:space="preserve">DN 100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antes "TAG pendente".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0492-0494. 
</t>
    </r>
    <r>
      <rPr>
        <b val="true"/>
        <sz val="9"/>
        <color rgb="FF000000"/>
        <rFont val="Arial"/>
        <family val="0"/>
        <charset val="1"/>
      </rPr>
      <t xml:space="preserve">• SDV-3112: </t>
    </r>
    <r>
      <rPr>
        <b val="true"/>
        <sz val="9"/>
        <color rgb="FF1F4E9A"/>
        <rFont val="Arial"/>
        <family val="0"/>
        <charset val="1"/>
      </rPr>
      <t xml:space="preserve">Placa/campo: </t>
    </r>
    <r>
      <rPr>
        <strike val="true"/>
        <sz val="9"/>
        <color rgb="FF1F4E9A"/>
        <rFont val="Arial"/>
        <family val="0"/>
        <charset val="1"/>
      </rPr>
      <t xml:space="preserve">Valvula ON-OFF – Metroval, VOOM-100</t>
    </r>
    <r>
      <rPr>
        <sz val="9"/>
        <color rgb="FF1F4E9A"/>
        <rFont val="Arial"/>
        <family val="0"/>
        <charset val="1"/>
      </rPr>
      <t xml:space="preserve">, série 0338, </t>
    </r>
    <r>
      <rPr>
        <strike val="true"/>
        <sz val="9"/>
        <color rgb="FF1F4E9A"/>
        <rFont val="Arial"/>
        <family val="0"/>
        <charset val="1"/>
      </rPr>
      <t xml:space="preserve">DN 100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antes "0338 ou 0339" - fechado 0338. Pendente/ilegível: ver DIVERGENCIAS (duas series).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0496-0499. 
</t>
    </r>
    <r>
      <rPr>
        <b val="true"/>
        <sz val="9"/>
        <color rgb="FF000000"/>
        <rFont val="Arial"/>
        <family val="0"/>
        <charset val="1"/>
      </rPr>
      <t xml:space="preserve">• SDV-3113: </t>
    </r>
    <r>
      <rPr>
        <b val="true"/>
        <sz val="9"/>
        <color rgb="FF1F4E9A"/>
        <rFont val="Arial"/>
        <family val="0"/>
        <charset val="1"/>
      </rPr>
      <t xml:space="preserve">Placa/campo: </t>
    </r>
    <r>
      <rPr>
        <strike val="true"/>
        <sz val="9"/>
        <color rgb="FF1F4E9A"/>
        <rFont val="Arial"/>
        <family val="0"/>
        <charset val="1"/>
      </rPr>
      <t xml:space="preserve">Valvula ON-OFF – Metroval, VOOM-100</t>
    </r>
    <r>
      <rPr>
        <sz val="9"/>
        <color rgb="FF1F4E9A"/>
        <rFont val="Arial"/>
        <family val="0"/>
        <charset val="1"/>
      </rPr>
      <t xml:space="preserve">, série 0339, </t>
    </r>
    <r>
      <rPr>
        <strike val="true"/>
        <sz val="9"/>
        <color rgb="FF1F4E9A"/>
        <rFont val="Arial"/>
        <family val="0"/>
        <charset val="1"/>
      </rPr>
      <t xml:space="preserve">DN 100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Terceiros (fotos 14/11/2025, WA0311): WA0311 </t>
    </r>
    <r>
      <rPr>
        <strike val="true"/>
        <sz val="9"/>
        <color rgb="FF000000"/>
        <rFont val="Arial"/>
        <family val="0"/>
        <charset val="1"/>
      </rPr>
      <t xml:space="preserve">SDV-3113</t>
    </r>
    <r>
      <rPr>
        <sz val="9"/>
        <color rgb="FF000000"/>
        <rFont val="Arial"/>
        <family val="0"/>
        <charset val="1"/>
      </rPr>
      <t xml:space="preserve"> - confere TAG – S. Nr.S antes nao lido. Pendente/ilegível: no de serie, ano.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0485-0487. 
</t>
    </r>
    <r>
      <rPr>
        <b val="true"/>
        <sz val="9"/>
        <color rgb="FF000000"/>
        <rFont val="Arial"/>
        <family val="0"/>
        <charset val="1"/>
      </rPr>
      <t xml:space="preserve">• TE-3101A: </t>
    </r>
    <r>
      <rPr>
        <b val="true"/>
        <sz val="9"/>
        <color rgb="FF1F4E9A"/>
        <rFont val="Arial"/>
        <family val="0"/>
        <charset val="1"/>
      </rPr>
      <t xml:space="preserve">Placa/campo: </t>
    </r>
    <r>
      <rPr>
        <sz val="9"/>
        <color rgb="FF1F4E9A"/>
        <rFont val="Arial"/>
        <family val="0"/>
        <charset val="1"/>
      </rPr>
      <t xml:space="preserve">Transmissor de temperatura – ALUTAL, CEX-A-00015, série 377041, Ex ia IIC T6..T1 Ga; Ex ic IIC T6..T4 Ga; IP66W/IP66X; INMETRO, Instrumentacao.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ano de fabricacao.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0548. 
</t>
    </r>
    <r>
      <rPr>
        <b val="true"/>
        <sz val="9"/>
        <color rgb="FF000000"/>
        <rFont val="Arial"/>
        <family val="0"/>
        <charset val="1"/>
      </rPr>
      <t xml:space="preserve">• TE-3141A: </t>
    </r>
    <r>
      <rPr>
        <b val="true"/>
        <sz val="9"/>
        <color rgb="FF1F4E9A"/>
        <rFont val="Arial"/>
        <family val="0"/>
        <charset val="1"/>
      </rPr>
      <t xml:space="preserve">Placa/campo: </t>
    </r>
    <r>
      <rPr>
        <strike val="true"/>
        <sz val="9"/>
        <color rgb="FF1F4E9A"/>
        <rFont val="Arial"/>
        <family val="0"/>
        <charset val="1"/>
      </rPr>
      <t xml:space="preserve">Transmissor de temperatura – ALUTAL, CEX-A-00015</t>
    </r>
    <r>
      <rPr>
        <sz val="9"/>
        <color rgb="FF1F4E9A"/>
        <rFont val="Arial"/>
        <family val="0"/>
        <charset val="1"/>
      </rPr>
      <t xml:space="preserve">, série 377041, </t>
    </r>
    <r>
      <rPr>
        <strike val="true"/>
        <sz val="9"/>
        <color rgb="FF1F4E9A"/>
        <rFont val="Arial"/>
        <family val="0"/>
        <charset val="1"/>
      </rPr>
      <t xml:space="preserve">Ex ia IIC T6..T1 Ga</t>
    </r>
    <r>
      <rPr>
        <sz val="9"/>
        <color rgb="FF1F4E9A"/>
        <rFont val="Arial"/>
        <family val="0"/>
        <charset val="1"/>
      </rPr>
      <t xml:space="preserve">; </t>
    </r>
    <r>
      <rPr>
        <strike val="true"/>
        <sz val="9"/>
        <color rgb="FF1F4E9A"/>
        <rFont val="Arial"/>
        <family val="0"/>
        <charset val="1"/>
      </rPr>
      <t xml:space="preserve">IP66W/IP66X</t>
    </r>
    <r>
      <rPr>
        <sz val="9"/>
        <color rgb="FF1F4E9A"/>
        <rFont val="Arial"/>
        <family val="0"/>
        <charset val="1"/>
      </rPr>
      <t xml:space="preserve">; </t>
    </r>
    <r>
      <rPr>
        <strike val="true"/>
        <sz val="9"/>
        <color rgb="FF1F4E9A"/>
        <rFont val="Arial"/>
        <family val="0"/>
        <charset val="1"/>
      </rPr>
      <t xml:space="preserve">INMETRO</t>
    </r>
    <r>
      <rPr>
        <sz val="9"/>
        <color rgb="FF1F4E9A"/>
        <rFont val="Arial"/>
        <family val="0"/>
        <charset val="1"/>
      </rPr>
      <t xml:space="preserve">, </t>
    </r>
    <r>
      <rPr>
        <strike val="true"/>
        <sz val="9"/>
        <color rgb="FF1F4E9A"/>
        <rFont val="Arial"/>
        <family val="0"/>
        <charset val="1"/>
      </rPr>
      <t xml:space="preserve">Instrumentacao</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ano de fabricacao.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0703, 0704. 
</t>
    </r>
    <r>
      <rPr>
        <b val="true"/>
        <sz val="9"/>
        <color rgb="FF000000"/>
        <rFont val="Arial"/>
        <family val="0"/>
        <charset val="1"/>
      </rPr>
      <t xml:space="preserve">• TE-3147A: </t>
    </r>
    <r>
      <rPr>
        <b val="true"/>
        <sz val="9"/>
        <color rgb="FF1F4E9A"/>
        <rFont val="Arial"/>
        <family val="0"/>
        <charset val="1"/>
      </rPr>
      <t xml:space="preserve">Placa/campo: </t>
    </r>
    <r>
      <rPr>
        <strike val="true"/>
        <sz val="9"/>
        <color rgb="FF1F4E9A"/>
        <rFont val="Arial"/>
        <family val="0"/>
        <charset val="1"/>
      </rPr>
      <t xml:space="preserve">Transmissor de temperatura – ALUTAL, CEX-A-00015</t>
    </r>
    <r>
      <rPr>
        <sz val="9"/>
        <color rgb="FF1F4E9A"/>
        <rFont val="Arial"/>
        <family val="0"/>
        <charset val="1"/>
      </rPr>
      <t xml:space="preserve">, série 377041, </t>
    </r>
    <r>
      <rPr>
        <strike val="true"/>
        <sz val="9"/>
        <color rgb="FF1F4E9A"/>
        <rFont val="Arial"/>
        <family val="0"/>
        <charset val="1"/>
      </rPr>
      <t xml:space="preserve">Ex ia IIC T6..T1 Ga</t>
    </r>
    <r>
      <rPr>
        <sz val="9"/>
        <color rgb="FF1F4E9A"/>
        <rFont val="Arial"/>
        <family val="0"/>
        <charset val="1"/>
      </rPr>
      <t xml:space="preserve">; </t>
    </r>
    <r>
      <rPr>
        <strike val="true"/>
        <sz val="9"/>
        <color rgb="FF1F4E9A"/>
        <rFont val="Arial"/>
        <family val="0"/>
        <charset val="1"/>
      </rPr>
      <t xml:space="preserve">Ex ic IIC T6..T4 Ga</t>
    </r>
    <r>
      <rPr>
        <sz val="9"/>
        <color rgb="FF1F4E9A"/>
        <rFont val="Arial"/>
        <family val="0"/>
        <charset val="1"/>
      </rPr>
      <t xml:space="preserve">; </t>
    </r>
    <r>
      <rPr>
        <strike val="true"/>
        <sz val="9"/>
        <color rgb="FF1F4E9A"/>
        <rFont val="Arial"/>
        <family val="0"/>
        <charset val="1"/>
      </rPr>
      <t xml:space="preserve">IP66W/IP66X</t>
    </r>
    <r>
      <rPr>
        <sz val="9"/>
        <color rgb="FF1F4E9A"/>
        <rFont val="Arial"/>
        <family val="0"/>
        <charset val="1"/>
      </rPr>
      <t xml:space="preserve">; </t>
    </r>
    <r>
      <rPr>
        <strike val="true"/>
        <sz val="9"/>
        <color rgb="FF1F4E9A"/>
        <rFont val="Arial"/>
        <family val="0"/>
        <charset val="1"/>
      </rPr>
      <t xml:space="preserve">INMETRO</t>
    </r>
    <r>
      <rPr>
        <sz val="9"/>
        <color rgb="FF1F4E9A"/>
        <rFont val="Arial"/>
        <family val="0"/>
        <charset val="1"/>
      </rPr>
      <t xml:space="preserve">, </t>
    </r>
    <r>
      <rPr>
        <strike val="true"/>
        <sz val="9"/>
        <color rgb="FF1F4E9A"/>
        <rFont val="Arial"/>
        <family val="0"/>
        <charset val="1"/>
      </rPr>
      <t xml:space="preserve">Instrumentacao</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ano de fabricacao.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0643. 
</t>
    </r>
    <r>
      <rPr>
        <b val="true"/>
        <sz val="9"/>
        <color rgb="FF000000"/>
        <rFont val="Arial"/>
        <family val="0"/>
        <charset val="1"/>
      </rPr>
      <t xml:space="preserve">• TE-3149A: </t>
    </r>
    <r>
      <rPr>
        <b val="true"/>
        <sz val="9"/>
        <color rgb="FF1F4E9A"/>
        <rFont val="Arial"/>
        <family val="0"/>
        <charset val="1"/>
      </rPr>
      <t xml:space="preserve">Placa/campo: </t>
    </r>
    <r>
      <rPr>
        <strike val="true"/>
        <sz val="9"/>
        <color rgb="FF1F4E9A"/>
        <rFont val="Arial"/>
        <family val="0"/>
        <charset val="1"/>
      </rPr>
      <t xml:space="preserve">Transmissor de temperatura – ALUTAL, CEX-A-00015</t>
    </r>
    <r>
      <rPr>
        <sz val="9"/>
        <color rgb="FF1F4E9A"/>
        <rFont val="Arial"/>
        <family val="0"/>
        <charset val="1"/>
      </rPr>
      <t xml:space="preserve">, série 377041, </t>
    </r>
    <r>
      <rPr>
        <strike val="true"/>
        <sz val="9"/>
        <color rgb="FF1F4E9A"/>
        <rFont val="Arial"/>
        <family val="0"/>
        <charset val="1"/>
      </rPr>
      <t xml:space="preserve">Ex ia IIC T6..T1 Ga</t>
    </r>
    <r>
      <rPr>
        <sz val="9"/>
        <color rgb="FF1F4E9A"/>
        <rFont val="Arial"/>
        <family val="0"/>
        <charset val="1"/>
      </rPr>
      <t xml:space="preserve">; </t>
    </r>
    <r>
      <rPr>
        <strike val="true"/>
        <sz val="9"/>
        <color rgb="FF1F4E9A"/>
        <rFont val="Arial"/>
        <family val="0"/>
        <charset val="1"/>
      </rPr>
      <t xml:space="preserve">INMETRO</t>
    </r>
    <r>
      <rPr>
        <sz val="9"/>
        <color rgb="FF1F4E9A"/>
        <rFont val="Arial"/>
        <family val="0"/>
        <charset val="1"/>
      </rPr>
      <t xml:space="preserve">, </t>
    </r>
    <r>
      <rPr>
        <strike val="true"/>
        <sz val="9"/>
        <color rgb="FF1F4E9A"/>
        <rFont val="Arial"/>
        <family val="0"/>
        <charset val="1"/>
      </rPr>
      <t xml:space="preserve">Instrumentacao</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ano de fabricacao.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0546. 
</t>
    </r>
    <r>
      <rPr>
        <b val="true"/>
        <sz val="9"/>
        <color rgb="FF000000"/>
        <rFont val="Arial"/>
        <family val="0"/>
        <charset val="1"/>
      </rPr>
      <t xml:space="preserve">• TE-3152A: </t>
    </r>
    <r>
      <rPr>
        <b val="true"/>
        <sz val="9"/>
        <color rgb="FF1F4E9A"/>
        <rFont val="Arial"/>
        <family val="0"/>
        <charset val="1"/>
      </rPr>
      <t xml:space="preserve">Placa/campo: </t>
    </r>
    <r>
      <rPr>
        <strike val="true"/>
        <sz val="9"/>
        <color rgb="FF1F4E9A"/>
        <rFont val="Arial"/>
        <family val="0"/>
        <charset val="1"/>
      </rPr>
      <t xml:space="preserve">Transmissor de temperatura – ALUTAL, CEX-A-00015</t>
    </r>
    <r>
      <rPr>
        <sz val="9"/>
        <color rgb="FF1F4E9A"/>
        <rFont val="Arial"/>
        <family val="0"/>
        <charset val="1"/>
      </rPr>
      <t xml:space="preserve">, série 377041, </t>
    </r>
    <r>
      <rPr>
        <strike val="true"/>
        <sz val="9"/>
        <color rgb="FF1F4E9A"/>
        <rFont val="Arial"/>
        <family val="0"/>
        <charset val="1"/>
      </rPr>
      <t xml:space="preserve">Ex ia IIC T6..T1 Ga</t>
    </r>
    <r>
      <rPr>
        <sz val="9"/>
        <color rgb="FF1F4E9A"/>
        <rFont val="Arial"/>
        <family val="0"/>
        <charset val="1"/>
      </rPr>
      <t xml:space="preserve">; </t>
    </r>
    <r>
      <rPr>
        <strike val="true"/>
        <sz val="9"/>
        <color rgb="FF1F4E9A"/>
        <rFont val="Arial"/>
        <family val="0"/>
        <charset val="1"/>
      </rPr>
      <t xml:space="preserve">INMETRO</t>
    </r>
    <r>
      <rPr>
        <sz val="9"/>
        <color rgb="FF1F4E9A"/>
        <rFont val="Arial"/>
        <family val="0"/>
        <charset val="1"/>
      </rPr>
      <t xml:space="preserve">, </t>
    </r>
    <r>
      <rPr>
        <strike val="true"/>
        <sz val="9"/>
        <color rgb="FF1F4E9A"/>
        <rFont val="Arial"/>
        <family val="0"/>
        <charset val="1"/>
      </rPr>
      <t xml:space="preserve">Instrumentacao</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ano de fabricacao.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0708, 0709. 
</t>
    </r>
    <r>
      <rPr>
        <b val="true"/>
        <sz val="9"/>
        <color rgb="FF000000"/>
        <rFont val="Arial"/>
        <family val="0"/>
        <charset val="1"/>
      </rPr>
      <t xml:space="preserve">• XS-3103A: </t>
    </r>
    <r>
      <rPr>
        <b val="true"/>
        <sz val="9"/>
        <color rgb="FF1F4E9A"/>
        <rFont val="Arial"/>
        <family val="0"/>
        <charset val="1"/>
      </rPr>
      <t xml:space="preserve">Placa/campo: </t>
    </r>
    <r>
      <rPr>
        <sz val="9"/>
        <color rgb="FF1F4E9A"/>
        <rFont val="Arial"/>
        <family val="0"/>
        <charset val="1"/>
      </rPr>
      <t xml:space="preserve">Protecao de transbordamento e aterramento – KFW (Qingdao Aiptec), SLA-S-Y, Cert. DNV 18.0113 X, 85-250 Vca; Ex db ia [ia Ga] IIB T5 Gb; -20 a +55 C, Carregamento rodoviario.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no de serie.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0571, 0572. </t>
    </r>
    <r>
      <rPr>
        <b val="true"/>
        <sz val="9"/>
        <color rgb="FF002060"/>
        <rFont val="Arial"/>
        <family val="0"/>
        <charset val="1"/>
      </rPr>
      <t xml:space="preserve">Cotação: </t>
    </r>
    <r>
      <rPr>
        <sz val="9"/>
        <color rgb="FF002060"/>
        <rFont val="Arial"/>
        <family val="0"/>
        <charset val="1"/>
      </rPr>
      <t xml:space="preserve">ECOSERV 036/24 (09/02/2024): "Monitor de Aterramento Completo / cabo espiralado e garra de aterramento", 32 un. × R$ 12.090,00 = R$ 386.880,00 (= NF 110 Ecoserv). Provável origem deste equipamento (Ecoserv = faturamento direto do pacote Metroval). 
</t>
    </r>
    <r>
      <rPr>
        <b val="true"/>
        <sz val="9"/>
        <color rgb="FF000000"/>
        <rFont val="Arial"/>
        <family val="0"/>
        <charset val="1"/>
      </rPr>
      <t xml:space="preserve">• XS-3104: </t>
    </r>
    <r>
      <rPr>
        <b val="true"/>
        <sz val="9"/>
        <color rgb="FF1F4E9A"/>
        <rFont val="Arial"/>
        <family val="0"/>
        <charset val="1"/>
      </rPr>
      <t xml:space="preserve">Placa/campo: </t>
    </r>
    <r>
      <rPr>
        <strike val="true"/>
        <sz val="9"/>
        <color rgb="FF1F4E9A"/>
        <rFont val="Arial"/>
        <family val="0"/>
        <charset val="1"/>
      </rPr>
      <t xml:space="preserve">Protecao de transbordamento e aterramento – KFW (Qingdao Aiptec), SLA-S-Y</t>
    </r>
    <r>
      <rPr>
        <sz val="9"/>
        <color rgb="FF1F4E9A"/>
        <rFont val="Arial"/>
        <family val="0"/>
        <charset val="1"/>
      </rPr>
      <t xml:space="preserve">, série 2011011, </t>
    </r>
    <r>
      <rPr>
        <strike val="true"/>
        <sz val="9"/>
        <color rgb="FF1F4E9A"/>
        <rFont val="Arial"/>
        <family val="0"/>
        <charset val="1"/>
      </rPr>
      <t xml:space="preserve">Cert. DNV 18.0113 X</t>
    </r>
    <r>
      <rPr>
        <sz val="9"/>
        <color rgb="FF1F4E9A"/>
        <rFont val="Arial"/>
        <family val="0"/>
        <charset val="1"/>
      </rPr>
      <t xml:space="preserve">, </t>
    </r>
    <r>
      <rPr>
        <strike val="true"/>
        <sz val="9"/>
        <color rgb="FF1F4E9A"/>
        <rFont val="Arial"/>
        <family val="0"/>
        <charset val="1"/>
      </rPr>
      <t xml:space="preserve">85-250 Vca; Ex db ia [ia Ga] IIB T5 Gb; -20 a +55 C</t>
    </r>
    <r>
      <rPr>
        <sz val="9"/>
        <color rgb="FF1F4E9A"/>
        <rFont val="Arial"/>
        <family val="0"/>
        <charset val="1"/>
      </rPr>
      <t xml:space="preserve">, </t>
    </r>
    <r>
      <rPr>
        <strike val="true"/>
        <sz val="9"/>
        <color rgb="FF1F4E9A"/>
        <rFont val="Arial"/>
        <family val="0"/>
        <charset val="1"/>
      </rPr>
      <t xml:space="preserve">Carregamento rodoviario</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0624, 0722, 0723. </t>
    </r>
    <r>
      <rPr>
        <b val="true"/>
        <sz val="9"/>
        <color rgb="FF002060"/>
        <rFont val="Arial"/>
        <family val="0"/>
        <charset val="1"/>
      </rPr>
      <t xml:space="preserve">Cotação: </t>
    </r>
    <r>
      <rPr>
        <sz val="9"/>
        <color rgb="FF002060"/>
        <rFont val="Arial"/>
        <family val="0"/>
        <charset val="1"/>
      </rPr>
      <t xml:space="preserve">ECOSERV 036/24 (09/02/2024): "Monitor de Aterramento Completo / cabo espiralado e garra de aterramento", 32 un. × R$ 12.090,00 = R$ 386.880,00 (= NF 110 Ecoserv). Provável origem deste equipamento (Ecoserv = faturamento direto do pacote Metroval). 
</t>
    </r>
    <r>
      <rPr>
        <b val="true"/>
        <sz val="9"/>
        <color rgb="FF000000"/>
        <rFont val="Arial"/>
        <family val="0"/>
        <charset val="1"/>
      </rPr>
      <t xml:space="preserve">• XS-3104B: </t>
    </r>
    <r>
      <rPr>
        <b val="true"/>
        <sz val="9"/>
        <color rgb="FF1F4E9A"/>
        <rFont val="Arial"/>
        <family val="0"/>
        <charset val="1"/>
      </rPr>
      <t xml:space="preserve">Placa/campo: </t>
    </r>
    <r>
      <rPr>
        <strike val="true"/>
        <sz val="9"/>
        <color rgb="FF1F4E9A"/>
        <rFont val="Arial"/>
        <family val="0"/>
        <charset val="1"/>
      </rPr>
      <t xml:space="preserve">Protecao de transbordamento e aterramento – KFW (Qingdao Aiptec), SLA-S-Y</t>
    </r>
    <r>
      <rPr>
        <sz val="9"/>
        <color rgb="FF1F4E9A"/>
        <rFont val="Arial"/>
        <family val="0"/>
        <charset val="1"/>
      </rPr>
      <t xml:space="preserve">, </t>
    </r>
    <r>
      <rPr>
        <strike val="true"/>
        <sz val="9"/>
        <color rgb="FF1F4E9A"/>
        <rFont val="Arial"/>
        <family val="0"/>
        <charset val="1"/>
      </rPr>
      <t xml:space="preserve">Cert. DNV 18.0113 X</t>
    </r>
    <r>
      <rPr>
        <sz val="9"/>
        <color rgb="FF1F4E9A"/>
        <rFont val="Arial"/>
        <family val="0"/>
        <charset val="1"/>
      </rPr>
      <t xml:space="preserve">, 85-250 Vca; Ex db ia [ia Ga] IIB T5 Gb, </t>
    </r>
    <r>
      <rPr>
        <strike val="true"/>
        <sz val="9"/>
        <color rgb="FF1F4E9A"/>
        <rFont val="Arial"/>
        <family val="0"/>
        <charset val="1"/>
      </rPr>
      <t xml:space="preserve">Carregamento rodoviario</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no de serie.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0594, 0595, 0724, 0725. </t>
    </r>
    <r>
      <rPr>
        <b val="true"/>
        <sz val="9"/>
        <color rgb="FF002060"/>
        <rFont val="Arial"/>
        <family val="0"/>
        <charset val="1"/>
      </rPr>
      <t xml:space="preserve">Cotação: </t>
    </r>
    <r>
      <rPr>
        <sz val="9"/>
        <color rgb="FF002060"/>
        <rFont val="Arial"/>
        <family val="0"/>
        <charset val="1"/>
      </rPr>
      <t xml:space="preserve">ECOSERV 036/24 (09/02/2024): "Monitor de Aterramento Completo / cabo espiralado e garra de aterramento", 32 un. × R$ 12.090,00 = R$ 386.880,00 (= NF 110 Ecoserv). Provável origem deste equipamento (Ecoserv = faturamento direto do pacote Metroval). 
</t>
    </r>
    <r>
      <rPr>
        <b val="true"/>
        <sz val="9"/>
        <color rgb="FF000000"/>
        <rFont val="Arial"/>
        <family val="0"/>
        <charset val="1"/>
      </rPr>
      <t xml:space="preserve">• XS-3107A: </t>
    </r>
    <r>
      <rPr>
        <b val="true"/>
        <sz val="9"/>
        <color rgb="FF1F4E9A"/>
        <rFont val="Arial"/>
        <family val="0"/>
        <charset val="1"/>
      </rPr>
      <t xml:space="preserve">Placa/campo: </t>
    </r>
    <r>
      <rPr>
        <strike val="true"/>
        <sz val="9"/>
        <color rgb="FF1F4E9A"/>
        <rFont val="Arial"/>
        <family val="0"/>
        <charset val="1"/>
      </rPr>
      <t xml:space="preserve">Protecao de transbordamento e aterramento – KFW (Qingdao Aiptec), SLA-S-Y</t>
    </r>
    <r>
      <rPr>
        <sz val="9"/>
        <color rgb="FF1F4E9A"/>
        <rFont val="Arial"/>
        <family val="0"/>
        <charset val="1"/>
      </rPr>
      <t xml:space="preserve">, </t>
    </r>
    <r>
      <rPr>
        <strike val="true"/>
        <sz val="9"/>
        <color rgb="FF1F4E9A"/>
        <rFont val="Arial"/>
        <family val="0"/>
        <charset val="1"/>
      </rPr>
      <t xml:space="preserve">Cert. DNV 18.0113 X</t>
    </r>
    <r>
      <rPr>
        <sz val="9"/>
        <color rgb="FF1F4E9A"/>
        <rFont val="Arial"/>
        <family val="0"/>
        <charset val="1"/>
      </rPr>
      <t xml:space="preserve">, </t>
    </r>
    <r>
      <rPr>
        <strike val="true"/>
        <sz val="9"/>
        <color rgb="FF1F4E9A"/>
        <rFont val="Arial"/>
        <family val="0"/>
        <charset val="1"/>
      </rPr>
      <t xml:space="preserve">85-250 Vca; Ex db ia [ia Ga] IIB T5 Gb</t>
    </r>
    <r>
      <rPr>
        <sz val="9"/>
        <color rgb="FF1F4E9A"/>
        <rFont val="Arial"/>
        <family val="0"/>
        <charset val="1"/>
      </rPr>
      <t xml:space="preserve">, </t>
    </r>
    <r>
      <rPr>
        <strike val="true"/>
        <sz val="9"/>
        <color rgb="FF1F4E9A"/>
        <rFont val="Arial"/>
        <family val="0"/>
        <charset val="1"/>
      </rPr>
      <t xml:space="preserve">Carregamento rodoviario</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no de serie.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0472, 0473. </t>
    </r>
    <r>
      <rPr>
        <b val="true"/>
        <sz val="9"/>
        <color rgb="FF002060"/>
        <rFont val="Arial"/>
        <family val="0"/>
        <charset val="1"/>
      </rPr>
      <t xml:space="preserve">Cotação: </t>
    </r>
    <r>
      <rPr>
        <sz val="9"/>
        <color rgb="FF002060"/>
        <rFont val="Arial"/>
        <family val="0"/>
        <charset val="1"/>
      </rPr>
      <t xml:space="preserve">ECOSERV 036/24 (09/02/2024): "Monitor de Aterramento Completo / cabo espiralado e garra de aterramento", 32 un. × R$ 12.090,00 = R$ 386.880,00 (= NF 110 Ecoserv). Provável origem deste equipamento (Ecoserv = faturamento direto do pacote Metroval). 
</t>
    </r>
    <r>
      <rPr>
        <b val="true"/>
        <sz val="9"/>
        <color rgb="FF000000"/>
        <rFont val="Arial"/>
        <family val="0"/>
        <charset val="1"/>
      </rPr>
      <t xml:space="preserve">• XS-3107B: </t>
    </r>
    <r>
      <rPr>
        <b val="true"/>
        <sz val="9"/>
        <color rgb="FF1F4E9A"/>
        <rFont val="Arial"/>
        <family val="0"/>
        <charset val="1"/>
      </rPr>
      <t xml:space="preserve">Placa/campo: </t>
    </r>
    <r>
      <rPr>
        <strike val="true"/>
        <sz val="9"/>
        <color rgb="FF1F4E9A"/>
        <rFont val="Arial"/>
        <family val="0"/>
        <charset val="1"/>
      </rPr>
      <t xml:space="preserve">Protecao de transbordamento e aterramento – KFW (Qingdao Aiptec), SLA-S-Y</t>
    </r>
    <r>
      <rPr>
        <sz val="9"/>
        <color rgb="FF1F4E9A"/>
        <rFont val="Arial"/>
        <family val="0"/>
        <charset val="1"/>
      </rPr>
      <t xml:space="preserve">, </t>
    </r>
    <r>
      <rPr>
        <strike val="true"/>
        <sz val="9"/>
        <color rgb="FF1F4E9A"/>
        <rFont val="Arial"/>
        <family val="0"/>
        <charset val="1"/>
      </rPr>
      <t xml:space="preserve">Cert. DNV 18.0113 X</t>
    </r>
    <r>
      <rPr>
        <sz val="9"/>
        <color rgb="FF1F4E9A"/>
        <rFont val="Arial"/>
        <family val="0"/>
        <charset val="1"/>
      </rPr>
      <t xml:space="preserve">, </t>
    </r>
    <r>
      <rPr>
        <strike val="true"/>
        <sz val="9"/>
        <color rgb="FF1F4E9A"/>
        <rFont val="Arial"/>
        <family val="0"/>
        <charset val="1"/>
      </rPr>
      <t xml:space="preserve">85-250 Vca; Ex db ia [ia Ga] IIB T5 Gb</t>
    </r>
    <r>
      <rPr>
        <sz val="9"/>
        <color rgb="FF1F4E9A"/>
        <rFont val="Arial"/>
        <family val="0"/>
        <charset val="1"/>
      </rPr>
      <t xml:space="preserve">, </t>
    </r>
    <r>
      <rPr>
        <strike val="true"/>
        <sz val="9"/>
        <color rgb="FF1F4E9A"/>
        <rFont val="Arial"/>
        <family val="0"/>
        <charset val="1"/>
      </rPr>
      <t xml:space="preserve">Carregamento rodoviario</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no de serie.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0430, 0431. </t>
    </r>
    <r>
      <rPr>
        <b val="true"/>
        <sz val="9"/>
        <color rgb="FF002060"/>
        <rFont val="Arial"/>
        <family val="0"/>
        <charset val="1"/>
      </rPr>
      <t xml:space="preserve">Cotação: </t>
    </r>
    <r>
      <rPr>
        <sz val="9"/>
        <color rgb="FF002060"/>
        <rFont val="Arial"/>
        <family val="0"/>
        <charset val="1"/>
      </rPr>
      <t xml:space="preserve">ECOSERV 036/24 (09/02/2024): "Monitor de Aterramento Completo / cabo espiralado e garra de aterramento", 32 un. × R$ 12.090,00 = R$ 386.880,00 (= NF 110 Ecoserv). Provável origem deste equipamento (Ecoserv = faturamento direto do pacote Metroval). 
</t>
    </r>
    <r>
      <rPr>
        <b val="true"/>
        <sz val="9"/>
        <color rgb="FF000000"/>
        <rFont val="Arial"/>
        <family val="0"/>
        <charset val="1"/>
      </rPr>
      <t xml:space="preserve">• XS-3108A: </t>
    </r>
    <r>
      <rPr>
        <b val="true"/>
        <sz val="9"/>
        <color rgb="FF1F4E9A"/>
        <rFont val="Arial"/>
        <family val="0"/>
        <charset val="1"/>
      </rPr>
      <t xml:space="preserve">Placa/campo: </t>
    </r>
    <r>
      <rPr>
        <strike val="true"/>
        <sz val="9"/>
        <color rgb="FF1F4E9A"/>
        <rFont val="Arial"/>
        <family val="0"/>
        <charset val="1"/>
      </rPr>
      <t xml:space="preserve">Protecao de transbordamento e aterramento – KFW (Qingdao Aiptec), SLA-S-Y</t>
    </r>
    <r>
      <rPr>
        <sz val="9"/>
        <color rgb="FF1F4E9A"/>
        <rFont val="Arial"/>
        <family val="0"/>
        <charset val="1"/>
      </rPr>
      <t xml:space="preserve">, série 21022?42, </t>
    </r>
    <r>
      <rPr>
        <strike val="true"/>
        <sz val="9"/>
        <color rgb="FF1F4E9A"/>
        <rFont val="Arial"/>
        <family val="0"/>
        <charset val="1"/>
      </rPr>
      <t xml:space="preserve">Cert. DNV 18.0113 X</t>
    </r>
    <r>
      <rPr>
        <sz val="9"/>
        <color rgb="FF1F4E9A"/>
        <rFont val="Arial"/>
        <family val="0"/>
        <charset val="1"/>
      </rPr>
      <t xml:space="preserve">, </t>
    </r>
    <r>
      <rPr>
        <strike val="true"/>
        <sz val="9"/>
        <color rgb="FF1F4E9A"/>
        <rFont val="Arial"/>
        <family val="0"/>
        <charset val="1"/>
      </rPr>
      <t xml:space="preserve">85-250 Vca; Ex db ia [ia Ga] IIB T5 Gb</t>
    </r>
    <r>
      <rPr>
        <sz val="9"/>
        <color rgb="FF1F4E9A"/>
        <rFont val="Arial"/>
        <family val="0"/>
        <charset val="1"/>
      </rPr>
      <t xml:space="preserve">, </t>
    </r>
    <r>
      <rPr>
        <strike val="true"/>
        <sz val="9"/>
        <color rgb="FF1F4E9A"/>
        <rFont val="Arial"/>
        <family val="0"/>
        <charset val="1"/>
      </rPr>
      <t xml:space="preserve">Carregamento rodoviario</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digitos do no de serie.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0477, 0478. </t>
    </r>
    <r>
      <rPr>
        <b val="true"/>
        <sz val="9"/>
        <color rgb="FF002060"/>
        <rFont val="Arial"/>
        <family val="0"/>
        <charset val="1"/>
      </rPr>
      <t xml:space="preserve">Cotação: </t>
    </r>
    <r>
      <rPr>
        <sz val="9"/>
        <color rgb="FF002060"/>
        <rFont val="Arial"/>
        <family val="0"/>
        <charset val="1"/>
      </rPr>
      <t xml:space="preserve">ECOSERV 036/24 (09/02/2024): "Monitor de Aterramento Completo / cabo espiralado e garra de aterramento", 32 un. × R$ 12.090,00 = R$ 386.880,00 (= NF 110 Ecoserv). Provável origem deste equipamento (Ecoserv = faturamento direto do pacote Metroval). 
</t>
    </r>
    <r>
      <rPr>
        <b val="true"/>
        <sz val="9"/>
        <color rgb="FF000000"/>
        <rFont val="Arial"/>
        <family val="0"/>
        <charset val="1"/>
      </rPr>
      <t xml:space="preserve">• XS-31209: </t>
    </r>
    <r>
      <rPr>
        <b val="true"/>
        <sz val="9"/>
        <color rgb="FF1F4E9A"/>
        <rFont val="Arial"/>
        <family val="0"/>
        <charset val="1"/>
      </rPr>
      <t xml:space="preserve">Placa/campo: </t>
    </r>
    <r>
      <rPr>
        <strike val="true"/>
        <sz val="9"/>
        <color rgb="FF1F4E9A"/>
        <rFont val="Arial"/>
        <family val="0"/>
        <charset val="1"/>
      </rPr>
      <t xml:space="preserve">Protecao de transbordamento e aterramento – KFW (Qingdao Aiptec), SLA-S-Y</t>
    </r>
    <r>
      <rPr>
        <sz val="9"/>
        <color rgb="FF1F4E9A"/>
        <rFont val="Arial"/>
        <family val="0"/>
        <charset val="1"/>
      </rPr>
      <t xml:space="preserve">, série 911?03?, </t>
    </r>
    <r>
      <rPr>
        <strike val="true"/>
        <sz val="9"/>
        <color rgb="FF1F4E9A"/>
        <rFont val="Arial"/>
        <family val="0"/>
        <charset val="1"/>
      </rPr>
      <t xml:space="preserve">Cert. DNV 18.0113 X</t>
    </r>
    <r>
      <rPr>
        <sz val="9"/>
        <color rgb="FF1F4E9A"/>
        <rFont val="Arial"/>
        <family val="0"/>
        <charset val="1"/>
      </rPr>
      <t xml:space="preserve">, </t>
    </r>
    <r>
      <rPr>
        <strike val="true"/>
        <sz val="9"/>
        <color rgb="FF1F4E9A"/>
        <rFont val="Arial"/>
        <family val="0"/>
        <charset val="1"/>
      </rPr>
      <t xml:space="preserve">85-250 Vca; Ex db ia [ia Ga] IIB T5 Gb</t>
    </r>
    <r>
      <rPr>
        <sz val="9"/>
        <color rgb="FF1F4E9A"/>
        <rFont val="Arial"/>
        <family val="0"/>
        <charset val="1"/>
      </rPr>
      <t xml:space="preserve">, Carregamento.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digitos do no de serie.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0279, 0280. </t>
    </r>
    <r>
      <rPr>
        <b val="true"/>
        <sz val="9"/>
        <color rgb="FF002060"/>
        <rFont val="Arial"/>
        <family val="0"/>
        <charset val="1"/>
      </rPr>
      <t xml:space="preserve">Cotação: </t>
    </r>
    <r>
      <rPr>
        <sz val="9"/>
        <color rgb="FF002060"/>
        <rFont val="Arial"/>
        <family val="0"/>
        <charset val="1"/>
      </rPr>
      <t xml:space="preserve">ECOSERV 036/24 (09/02/2024): "Monitor de Aterramento Completo / cabo espiralado e garra de aterramento", 32 un. × R$ 12.090,00 = R$ 386.880,00 (= NF 110 Ecoserv). Provável origem deste equipamento (Ecoserv = faturamento direto do pacote Metroval). 
</t>
    </r>
    <r>
      <rPr>
        <b val="true"/>
        <sz val="9"/>
        <color rgb="FF000000"/>
        <rFont val="Arial"/>
        <family val="0"/>
        <charset val="1"/>
      </rPr>
      <t xml:space="preserve">• XS-31211: </t>
    </r>
    <r>
      <rPr>
        <b val="true"/>
        <sz val="9"/>
        <color rgb="FF1F4E9A"/>
        <rFont val="Arial"/>
        <family val="0"/>
        <charset val="1"/>
      </rPr>
      <t xml:space="preserve">Placa/campo: </t>
    </r>
    <r>
      <rPr>
        <strike val="true"/>
        <sz val="9"/>
        <color rgb="FF1F4E9A"/>
        <rFont val="Arial"/>
        <family val="0"/>
        <charset val="1"/>
      </rPr>
      <t xml:space="preserve">Protecao de transbordamento e aterramento – KFW (Qingdao Aiptec), SLA-S-Y</t>
    </r>
    <r>
      <rPr>
        <sz val="9"/>
        <color rgb="FF1F4E9A"/>
        <rFont val="Arial"/>
        <family val="0"/>
        <charset val="1"/>
      </rPr>
      <t xml:space="preserve">, </t>
    </r>
    <r>
      <rPr>
        <strike val="true"/>
        <sz val="9"/>
        <color rgb="FF1F4E9A"/>
        <rFont val="Arial"/>
        <family val="0"/>
        <charset val="1"/>
      </rPr>
      <t xml:space="preserve">Cert. DNV 18.0113 X</t>
    </r>
    <r>
      <rPr>
        <sz val="9"/>
        <color rgb="FF1F4E9A"/>
        <rFont val="Arial"/>
        <family val="0"/>
        <charset val="1"/>
      </rPr>
      <t xml:space="preserve">, </t>
    </r>
    <r>
      <rPr>
        <strike val="true"/>
        <sz val="9"/>
        <color rgb="FF1F4E9A"/>
        <rFont val="Arial"/>
        <family val="0"/>
        <charset val="1"/>
      </rPr>
      <t xml:space="preserve">85-250 Vca; Ex db ia [ia Ga] IIB T5 Gb</t>
    </r>
    <r>
      <rPr>
        <sz val="9"/>
        <color rgb="FF1F4E9A"/>
        <rFont val="Arial"/>
        <family val="0"/>
        <charset val="1"/>
      </rPr>
      <t xml:space="preserve">; Uo 21,42Vcc/Io 149mA (transbord.); Uo 14,28Vcc/Io 86,2mA (aterr.), Carregamento.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no de serie.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0268, 0269. </t>
    </r>
    <r>
      <rPr>
        <b val="true"/>
        <sz val="9"/>
        <color rgb="FF002060"/>
        <rFont val="Arial"/>
        <family val="0"/>
        <charset val="1"/>
      </rPr>
      <t xml:space="preserve">Cotação: </t>
    </r>
    <r>
      <rPr>
        <sz val="9"/>
        <color rgb="FF002060"/>
        <rFont val="Arial"/>
        <family val="0"/>
        <charset val="1"/>
      </rPr>
      <t xml:space="preserve">ECOSERV 036/24 (09/02/2024): "Monitor de Aterramento Completo / cabo espiralado e garra de aterramento", 32 un. × R$ 12.090,00 = R$ 386.880,00 (= NF 110 Ecoserv). Provável origem deste equipamento (Ecoserv = faturamento direto do pacote Metroval). 
</t>
    </r>
    <r>
      <rPr>
        <b val="true"/>
        <sz val="9"/>
        <color rgb="FF000000"/>
        <rFont val="Arial"/>
        <family val="0"/>
        <charset val="1"/>
      </rPr>
      <t xml:space="preserve">• XS-31212: </t>
    </r>
    <r>
      <rPr>
        <b val="true"/>
        <sz val="9"/>
        <color rgb="FF1F4E9A"/>
        <rFont val="Arial"/>
        <family val="0"/>
        <charset val="1"/>
      </rPr>
      <t xml:space="preserve">Placa/campo: </t>
    </r>
    <r>
      <rPr>
        <strike val="true"/>
        <sz val="9"/>
        <color rgb="FF1F4E9A"/>
        <rFont val="Arial"/>
        <family val="0"/>
        <charset val="1"/>
      </rPr>
      <t xml:space="preserve">Protecao de transbordamento e aterramento – KFW (Qingdao Aiptec), SLA-S-Y</t>
    </r>
    <r>
      <rPr>
        <sz val="9"/>
        <color rgb="FF1F4E9A"/>
        <rFont val="Arial"/>
        <family val="0"/>
        <charset val="1"/>
      </rPr>
      <t xml:space="preserve">, série 2011002 (?), </t>
    </r>
    <r>
      <rPr>
        <strike val="true"/>
        <sz val="9"/>
        <color rgb="FF1F4E9A"/>
        <rFont val="Arial"/>
        <family val="0"/>
        <charset val="1"/>
      </rPr>
      <t xml:space="preserve">Cert. DNV 18.0113 X</t>
    </r>
    <r>
      <rPr>
        <sz val="9"/>
        <color rgb="FF1F4E9A"/>
        <rFont val="Arial"/>
        <family val="0"/>
        <charset val="1"/>
      </rPr>
      <t xml:space="preserve">, </t>
    </r>
    <r>
      <rPr>
        <strike val="true"/>
        <sz val="9"/>
        <color rgb="FF1F4E9A"/>
        <rFont val="Arial"/>
        <family val="0"/>
        <charset val="1"/>
      </rPr>
      <t xml:space="preserve">85-250 Vca; Ex db ia [ia Ga] IIB T5 Gb</t>
    </r>
    <r>
      <rPr>
        <sz val="9"/>
        <color rgb="FF1F4E9A"/>
        <rFont val="Arial"/>
        <family val="0"/>
        <charset val="1"/>
      </rPr>
      <t xml:space="preserve">, Carregamento.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no de serie.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0285, 0286. </t>
    </r>
    <r>
      <rPr>
        <b val="true"/>
        <sz val="9"/>
        <color rgb="FF002060"/>
        <rFont val="Arial"/>
        <family val="0"/>
        <charset val="1"/>
      </rPr>
      <t xml:space="preserve">Cotação: </t>
    </r>
    <r>
      <rPr>
        <sz val="9"/>
        <color rgb="FF002060"/>
        <rFont val="Arial"/>
        <family val="0"/>
        <charset val="1"/>
      </rPr>
      <t xml:space="preserve">ECOSERV 036/24 (09/02/2024): "Monitor de Aterramento Completo / cabo espiralado e garra de aterramento", 32 un. × R$ 12.090,00 = R$ 386.880,00 (= NF 110 Ecoserv). Provável origem deste equipamento (Ecoserv = faturamento direto do pacote Metroval). </t>
    </r>
  </si>
  <si>
    <r>
      <rPr>
        <b val="true"/>
        <sz val="9"/>
        <color rgb="FF1F4E9A"/>
        <rFont val="Arial"/>
        <family val="0"/>
        <charset val="1"/>
      </rPr>
      <t xml:space="preserve">Placa/campo: </t>
    </r>
    <r>
      <rPr>
        <sz val="9"/>
        <color rgb="FF1F4E9A"/>
        <rFont val="Arial"/>
        <family val="0"/>
        <charset val="1"/>
      </rPr>
      <t xml:space="preserve">Medidor de vazao tipo turbina – Metroval, MTF-80, série 01381123, DIMEL 365/2020, 2024, Classe exatidao 0,3; QMM 100; 60/-20 C; 19,8; vazao 150/15, Diesel S-10.</t>
    </r>
  </si>
  <si>
    <t xml:space="preserve">Classe exatidao 0,3; QMM 100; 60/-20 C; 19,8; vazao 150/15</t>
  </si>
  <si>
    <t xml:space="preserve">01381123</t>
  </si>
  <si>
    <t xml:space="preserve">0417-0420</t>
  </si>
  <si>
    <t xml:space="preserve">↑ ver célula única em X77</t>
  </si>
  <si>
    <r>
      <rPr>
        <b val="true"/>
        <sz val="9"/>
        <color rgb="FF1F4E9A"/>
        <rFont val="Arial"/>
        <family val="0"/>
        <charset val="1"/>
      </rPr>
      <t xml:space="preserve">Placa/campo: </t>
    </r>
    <r>
      <rPr>
        <sz val="9"/>
        <color rgb="FF1F4E9A"/>
        <rFont val="Arial"/>
        <family val="0"/>
        <charset val="1"/>
      </rPr>
      <t xml:space="preserve">Medidor de vazao tipo turbina – Metroval, MTF-80, série 01391123, DIMEL 365/2020, 2024, Classe exatidao 0,3; QMM 100; 60/-20 C; 19,8; vazao 150/15, Diesel S-10.</t>
    </r>
  </si>
  <si>
    <t xml:space="preserve">01391123</t>
  </si>
  <si>
    <t xml:space="preserve">Sem dado teórico individual. Só leitura de campo (sem 2ª fonte). Pendente/ilegível: TAG (parcial: FT-3102?). Vínculo a 14a/14b/14d não documentado.</t>
  </si>
  <si>
    <t xml:space="preserve">0403-0405</t>
  </si>
  <si>
    <r>
      <rPr>
        <b val="true"/>
        <sz val="9"/>
        <color rgb="FF1F4E9A"/>
        <rFont val="Arial"/>
        <family val="0"/>
        <charset val="1"/>
      </rPr>
      <t xml:space="preserve">Placa/campo: </t>
    </r>
    <r>
      <rPr>
        <sz val="9"/>
        <color rgb="FF1F4E9A"/>
        <rFont val="Arial"/>
        <family val="0"/>
        <charset val="1"/>
      </rPr>
      <t xml:space="preserve">Medidor de vazao tipo turbina – Metroval, MTF-80, série 01411123, DIMEL 365/2020, 2024, Classe exatidao 0,3; QMM 100; 60/-20 C; 19,58, Etanol anidro.</t>
    </r>
  </si>
  <si>
    <t xml:space="preserve">Classe exatidao 0,3; QMM 100; 60/-20 C; 19,58</t>
  </si>
  <si>
    <t xml:space="preserve">01411123</t>
  </si>
  <si>
    <t xml:space="preserve">0356-0359</t>
  </si>
  <si>
    <r>
      <rPr>
        <b val="true"/>
        <sz val="9"/>
        <color rgb="FF1F4E9A"/>
        <rFont val="Arial"/>
        <family val="0"/>
        <charset val="1"/>
      </rPr>
      <t xml:space="preserve">Placa/campo: </t>
    </r>
    <r>
      <rPr>
        <sz val="9"/>
        <color rgb="FF1F4E9A"/>
        <rFont val="Arial"/>
        <family val="0"/>
        <charset val="1"/>
      </rPr>
      <t xml:space="preserve">Medidor de vazao tipo turbina – Metroval, MTF-80, série 01431123, DIMEL 365/2020, 2024, Classe exatidao 0,3; QMM 100; 60/-20 C; 19,58; vazao 150/15, Diesel S-500.</t>
    </r>
  </si>
  <si>
    <t xml:space="preserve">01431123</t>
  </si>
  <si>
    <t xml:space="preserve">Sem dado teórico individual. Só leitura de campo (sem 2ª fonte). Pendente/ilegível: TAG (parcial: FT-315?). Vínculo a 14a/14b/14d não documentado.</t>
  </si>
  <si>
    <t xml:space="preserve">0408-0410</t>
  </si>
  <si>
    <r>
      <rPr>
        <b val="true"/>
        <sz val="9"/>
        <color rgb="FF1F4E9A"/>
        <rFont val="Arial"/>
        <family val="0"/>
        <charset val="1"/>
      </rPr>
      <t xml:space="preserve">Placa/campo: </t>
    </r>
    <r>
      <rPr>
        <sz val="9"/>
        <color rgb="FF1F4E9A"/>
        <rFont val="Arial"/>
        <family val="0"/>
        <charset val="1"/>
      </rPr>
      <t xml:space="preserve">Medidor de vazao tipo turbina – Metroval, MTF-80, série 01441123, DIMEL 365/2020, 2024, Classe exatidao 0,3; QMM 100; 60/-20 C, Diesel S-500.</t>
    </r>
  </si>
  <si>
    <t xml:space="preserve">Classe exatidao 0,3; QMM 100; 60/-20 C</t>
  </si>
  <si>
    <t xml:space="preserve">01441123</t>
  </si>
  <si>
    <t xml:space="preserve">Sem dado teórico individual. Só leitura de campo (sem 2ª fonte). Pendente/ilegível: TAG (parcial: FT-3146?). Vínculo a 14a/14b/14d não documentado.</t>
  </si>
  <si>
    <t xml:space="preserve">0557, 0558</t>
  </si>
  <si>
    <r>
      <rPr>
        <b val="true"/>
        <sz val="9"/>
        <color rgb="FF1F4E9A"/>
        <rFont val="Arial"/>
        <family val="0"/>
        <charset val="1"/>
      </rPr>
      <t xml:space="preserve">Placa/campo: </t>
    </r>
    <r>
      <rPr>
        <sz val="9"/>
        <color rgb="FF1F4E9A"/>
        <rFont val="Arial"/>
        <family val="0"/>
        <charset val="1"/>
      </rPr>
      <t xml:space="preserve">Medidor de vazao tipo turbina – Metroval, MTF-80, série 01471123, DIMEL 365/2020, 2024, Classe exatidao 0,3; QMM 100; 60/-20 C; 19,58, Gasolina.</t>
    </r>
  </si>
  <si>
    <t xml:space="preserve">01471123</t>
  </si>
  <si>
    <t xml:space="preserve">0654, 0658, 0659</t>
  </si>
  <si>
    <r>
      <rPr>
        <b val="true"/>
        <sz val="9"/>
        <color rgb="FF1F4E9A"/>
        <rFont val="Arial"/>
        <family val="0"/>
        <charset val="1"/>
      </rPr>
      <t xml:space="preserve">Placa/campo: </t>
    </r>
    <r>
      <rPr>
        <sz val="9"/>
        <color rgb="FF1F4E9A"/>
        <rFont val="Arial"/>
        <family val="0"/>
        <charset val="1"/>
      </rPr>
      <t xml:space="preserve">Medidor de vazao tipo turbina – Metroval, MTF-80, série 01481123, DIMEL 365/2020, 2024, Classe exatidao 0,3; QMM 100; 60/-20 C; 19,58; vazao 150/15, Diesel S-500.</t>
    </r>
  </si>
  <si>
    <t xml:space="preserve">01481123</t>
  </si>
  <si>
    <t xml:space="preserve">Sem dado teórico individual. Só leitura de campo (sem 2ª fonte). Pendente/ilegível: TAG (parcial: FT-3158?). Vínculo a 14a/14b/14d não documentado.</t>
  </si>
  <si>
    <t xml:space="preserve">0413-0415</t>
  </si>
  <si>
    <r>
      <rPr>
        <b val="true"/>
        <sz val="9"/>
        <color rgb="FF1F4E9A"/>
        <rFont val="Arial"/>
        <family val="0"/>
        <charset val="1"/>
      </rPr>
      <t xml:space="preserve">Placa/campo: </t>
    </r>
    <r>
      <rPr>
        <sz val="9"/>
        <color rgb="FF1F4E9A"/>
        <rFont val="Arial"/>
        <family val="0"/>
        <charset val="1"/>
      </rPr>
      <t xml:space="preserve">Medidor de vazao tipo turbina – Metroval, MTF-80, série 01491123, DIMEL 365/2020, 2024, Classe exatidao 0,3; QMM 100; 60/-20 C; 19,58; vazao 150/15, Diesel S-10.</t>
    </r>
  </si>
  <si>
    <t xml:space="preserve">01491123</t>
  </si>
  <si>
    <t xml:space="preserve">0562-0564</t>
  </si>
  <si>
    <r>
      <rPr>
        <b val="true"/>
        <sz val="9"/>
        <color rgb="FF1F4E9A"/>
        <rFont val="Arial"/>
        <family val="0"/>
        <charset val="1"/>
      </rPr>
      <t xml:space="preserve">Placa/campo: </t>
    </r>
    <r>
      <rPr>
        <sz val="9"/>
        <color rgb="FF1F4E9A"/>
        <rFont val="Arial"/>
        <family val="0"/>
        <charset val="1"/>
      </rPr>
      <t xml:space="preserve">Medidor de vazao tipo turbina – Metroval, MTF-80, série 01501123, DIMEL 365/2020, 2024, Classe exatidao 0,3; QMM 100; 60/-20 C; 19,58, Etanol anidro.</t>
    </r>
  </si>
  <si>
    <t xml:space="preserve">01501123</t>
  </si>
  <si>
    <t xml:space="preserve">0674-0676</t>
  </si>
  <si>
    <t xml:space="preserve">FCV-3140</t>
  </si>
  <si>
    <r>
      <rPr>
        <b val="true"/>
        <sz val="9"/>
        <color rgb="FF1F4E9A"/>
        <rFont val="Arial"/>
        <family val="0"/>
        <charset val="1"/>
      </rPr>
      <t xml:space="preserve">Placa/campo: </t>
    </r>
    <r>
      <rPr>
        <sz val="9"/>
        <color rgb="FF1F4E9A"/>
        <rFont val="Arial"/>
        <family val="0"/>
        <charset val="1"/>
      </rPr>
      <t xml:space="preserve">Valvula de controle de vazao – Metroval, VCDM-100, série 0281, DN 100 mm; T.max 70 C; PN 10 bar, Combustiveis.</t>
    </r>
  </si>
  <si>
    <t xml:space="preserve">0281</t>
  </si>
  <si>
    <t xml:space="preserve">Sem dado teórico individual. Só leitura de campo (sem 2ª fonte). Nr.S antes nao lido (0532 "0?9?" era esta valvula). Pendente/ilegível: no de serie, ano. Vínculo a 14a/14b/14d não documentado.</t>
  </si>
  <si>
    <t xml:space="preserve">0527-0532</t>
  </si>
  <si>
    <t xml:space="preserve">FCV-3141</t>
  </si>
  <si>
    <r>
      <rPr>
        <b val="true"/>
        <sz val="9"/>
        <color rgb="FF1F4E9A"/>
        <rFont val="Arial"/>
        <family val="0"/>
        <charset val="1"/>
      </rPr>
      <t xml:space="preserve">Placa/campo: </t>
    </r>
    <r>
      <rPr>
        <sz val="9"/>
        <color rgb="FF1F4E9A"/>
        <rFont val="Arial"/>
        <family val="0"/>
        <charset val="1"/>
      </rPr>
      <t xml:space="preserve">Valvula de controle de vazao – Metroval, VCDM-50, série 0302, 2024, DN 50 mm; T.max 70 C; PN 10 bar, Combustiveis.</t>
    </r>
  </si>
  <si>
    <t xml:space="preserve">VCDM-50</t>
  </si>
  <si>
    <t xml:space="preserve">DN 50 mm; T.max 70 C; PN 10 bar</t>
  </si>
  <si>
    <t xml:space="preserve">0302</t>
  </si>
  <si>
    <t xml:space="preserve">Sem dado teórico individual. Só leitura de campo (sem 2ª fonte). antes "TAG pendente". Vínculo a 14a/14b/14d não documentado.</t>
  </si>
  <si>
    <t xml:space="preserve">0686-0691</t>
  </si>
  <si>
    <t xml:space="preserve">FCV-3142</t>
  </si>
  <si>
    <r>
      <rPr>
        <b val="true"/>
        <sz val="9"/>
        <color rgb="FF1F4E9A"/>
        <rFont val="Arial"/>
        <family val="0"/>
        <charset val="1"/>
      </rPr>
      <t xml:space="preserve">Placa/campo: </t>
    </r>
    <r>
      <rPr>
        <sz val="9"/>
        <color rgb="FF1F4E9A"/>
        <rFont val="Arial"/>
        <family val="0"/>
        <charset val="1"/>
      </rPr>
      <t xml:space="preserve">Valvula de controle de vazao – Metroval, VCDM-100, série 0289, 2024, DN 100 mm; T.max 70 C; PN 10 bar, Combustiveis.</t>
    </r>
  </si>
  <si>
    <t xml:space="preserve">0289</t>
  </si>
  <si>
    <t xml:space="preserve">Sem dado teórico individual. Só leitura de campo (sem 2ª fonte). TAG parcialmente legivel (FCV-314?). Vínculo a 14a/14b/14d não documentado.</t>
  </si>
  <si>
    <t xml:space="preserve">0525-0526</t>
  </si>
  <si>
    <t xml:space="preserve">FCV-3144</t>
  </si>
  <si>
    <r>
      <rPr>
        <b val="true"/>
        <sz val="9"/>
        <color rgb="FF1F4E9A"/>
        <rFont val="Arial"/>
        <family val="0"/>
        <charset val="1"/>
      </rPr>
      <t xml:space="preserve">Placa/campo: </t>
    </r>
    <r>
      <rPr>
        <sz val="9"/>
        <color rgb="FF1F4E9A"/>
        <rFont val="Arial"/>
        <family val="0"/>
        <charset val="1"/>
      </rPr>
      <t xml:space="preserve">Valvula de controle de vazao – Metroval, VCDM-100, série 0308, DN 100 mm; T.max 70 C; PN 10 bar, Combustiveis.</t>
    </r>
  </si>
  <si>
    <t xml:space="preserve">0308</t>
  </si>
  <si>
    <t xml:space="preserve">Sem dado teórico individual. Só leitura de campo (sem 2ª fonte). Nr.S antes nao lido. Pendente/ilegível: no de serie, ano. Vínculo a 14a/14b/14d não documentado.</t>
  </si>
  <si>
    <t xml:space="preserve">0620-0622</t>
  </si>
  <si>
    <t xml:space="preserve">FCV-3145</t>
  </si>
  <si>
    <r>
      <rPr>
        <b val="true"/>
        <sz val="9"/>
        <color rgb="FF1F4E9A"/>
        <rFont val="Arial"/>
        <family val="0"/>
        <charset val="1"/>
      </rPr>
      <t xml:space="preserve">Placa/campo: </t>
    </r>
    <r>
      <rPr>
        <sz val="9"/>
        <color rgb="FF1F4E9A"/>
        <rFont val="Arial"/>
        <family val="0"/>
        <charset val="1"/>
      </rPr>
      <t xml:space="preserve">Valvula de controle de vazao – Metroval, VCDM-80, série 0270, 2024, DN 80 mm; T.max 70 C; PN 10 bar, Combustiveis.</t>
    </r>
  </si>
  <si>
    <t xml:space="preserve">VCDM-80</t>
  </si>
  <si>
    <t xml:space="preserve">DN 80 mm; T.max 70 C; PN 10 bar</t>
  </si>
  <si>
    <t xml:space="preserve">0270</t>
  </si>
  <si>
    <t xml:space="preserve">0636-0637</t>
  </si>
  <si>
    <t xml:space="preserve">FCV-3146</t>
  </si>
  <si>
    <r>
      <rPr>
        <b val="true"/>
        <sz val="9"/>
        <color rgb="FF1F4E9A"/>
        <rFont val="Arial"/>
        <family val="0"/>
        <charset val="1"/>
      </rPr>
      <t xml:space="preserve">Placa/campo: </t>
    </r>
    <r>
      <rPr>
        <sz val="9"/>
        <color rgb="FF1F4E9A"/>
        <rFont val="Arial"/>
        <family val="0"/>
        <charset val="1"/>
      </rPr>
      <t xml:space="preserve">Valvula de controle de vazao – Metroval, VCDM-100, série 0310, 2024, DN 100 mm; T.max 70 C; PN 10 bar, Combustiveis.</t>
    </r>
  </si>
  <si>
    <t xml:space="preserve">0310</t>
  </si>
  <si>
    <t xml:space="preserve">Sem dado teórico individual. Só leitura de campo (sem 2ª fonte). placa e tag em fotos seguidas (nao na mesma foto). Vínculo a 14a/14b/14d não documentado.</t>
  </si>
  <si>
    <t xml:space="preserve">0612-0618</t>
  </si>
  <si>
    <t xml:space="preserve">FCV-3147</t>
  </si>
  <si>
    <r>
      <rPr>
        <b val="true"/>
        <sz val="9"/>
        <color rgb="FF1F4E9A"/>
        <rFont val="Arial"/>
        <family val="0"/>
        <charset val="1"/>
      </rPr>
      <t xml:space="preserve">Placa/campo: </t>
    </r>
    <r>
      <rPr>
        <sz val="9"/>
        <color rgb="FF1F4E9A"/>
        <rFont val="Arial"/>
        <family val="0"/>
        <charset val="1"/>
      </rPr>
      <t xml:space="preserve">Valvula de controle de vazao – Metroval, VCDM-80, série 0274, 2024, DN 80 mm; T.max 70 C; PN 10 bar, Combustiveis.</t>
    </r>
  </si>
  <si>
    <t xml:space="preserve">0274</t>
  </si>
  <si>
    <t xml:space="preserve">0630-0634</t>
  </si>
  <si>
    <t xml:space="preserve">FCV-3148</t>
  </si>
  <si>
    <r>
      <rPr>
        <b val="true"/>
        <sz val="9"/>
        <color rgb="FF1F4E9A"/>
        <rFont val="Arial"/>
        <family val="0"/>
        <charset val="1"/>
      </rPr>
      <t xml:space="preserve">Placa/campo: </t>
    </r>
    <r>
      <rPr>
        <sz val="9"/>
        <color rgb="FF1F4E9A"/>
        <rFont val="Arial"/>
        <family val="0"/>
        <charset val="1"/>
      </rPr>
      <t xml:space="preserve">Valvula de controle de vazao – Metroval, VCDM-100, série 0312, 2024, DN 100 mm; T.max 70 C; PN 10 bar, Combustiveis.</t>
    </r>
  </si>
  <si>
    <t xml:space="preserve">0312</t>
  </si>
  <si>
    <t xml:space="preserve">Sem dado teórico individual. Só leitura de campo (sem 2ª fonte). tag pouco legivel. Vínculo a 14a/14b/14d não documentado.</t>
  </si>
  <si>
    <t xml:space="preserve">0607-0609</t>
  </si>
  <si>
    <t xml:space="preserve">FCV-3149</t>
  </si>
  <si>
    <r>
      <rPr>
        <b val="true"/>
        <sz val="9"/>
        <color rgb="FF1F4E9A"/>
        <rFont val="Arial"/>
        <family val="0"/>
        <charset val="1"/>
      </rPr>
      <t xml:space="preserve">Placa/campo: </t>
    </r>
    <r>
      <rPr>
        <sz val="9"/>
        <color rgb="FF1F4E9A"/>
        <rFont val="Arial"/>
        <family val="0"/>
        <charset val="1"/>
      </rPr>
      <t xml:space="preserve">Valvula de controle de vazao – Metroval, VCDM-100, série 0290, DN 100 mm; T.max 70 C; PN 10 bar, Combustiveis.</t>
    </r>
  </si>
  <si>
    <t xml:space="preserve">0290</t>
  </si>
  <si>
    <t xml:space="preserve">Sem dado teórico individual. Só leitura de campo (sem 2ª fonte). sem mudanca. Pendente/ilegível: ano de fabricacao. Vínculo a 14a/14b/14d não documentado.</t>
  </si>
  <si>
    <t xml:space="preserve">0534-0537</t>
  </si>
  <si>
    <t xml:space="preserve">FCV-3150</t>
  </si>
  <si>
    <r>
      <rPr>
        <b val="true"/>
        <sz val="9"/>
        <color rgb="FF1F4E9A"/>
        <rFont val="Arial"/>
        <family val="0"/>
        <charset val="1"/>
      </rPr>
      <t xml:space="preserve">Placa/campo: </t>
    </r>
    <r>
      <rPr>
        <sz val="9"/>
        <color rgb="FF1F4E9A"/>
        <rFont val="Arial"/>
        <family val="0"/>
        <charset val="1"/>
      </rPr>
      <t xml:space="preserve">Valvula de controle de vazao – Metroval, VCDM-50, série 0317, 2024, DN 50 mm; T.max 70 C; PN 10 bar, Combustiveis.</t>
    </r>
  </si>
  <si>
    <t xml:space="preserve">0317</t>
  </si>
  <si>
    <t xml:space="preserve">Sem dado teórico individual. Só leitura de campo (sem 2ª fonte). antes "FCV-31?? 0317". Vínculo a 14a/14b/14d não documentado.</t>
  </si>
  <si>
    <t xml:space="preserve">0693-0696</t>
  </si>
  <si>
    <t xml:space="preserve">FCV-3151</t>
  </si>
  <si>
    <r>
      <rPr>
        <b val="true"/>
        <sz val="9"/>
        <color rgb="FF1F4E9A"/>
        <rFont val="Arial"/>
        <family val="0"/>
        <charset val="1"/>
      </rPr>
      <t xml:space="preserve">Placa/campo: </t>
    </r>
    <r>
      <rPr>
        <sz val="9"/>
        <color rgb="FF1F4E9A"/>
        <rFont val="Arial"/>
        <family val="0"/>
        <charset val="1"/>
      </rPr>
      <t xml:space="preserve">Valvula de controle de vazao – Metroval, VCDM-100, série 0291, 2024, DN 100 mm; T.max 70 C; PN 10 bar, Combustiveis.</t>
    </r>
  </si>
  <si>
    <t xml:space="preserve">0291</t>
  </si>
  <si>
    <t xml:space="preserve">Sem dado teórico individual. Só leitura de campo (sem 2ª fonte). ERA REGISTRADA COMO FCV-3161 (leitura errada do tag). Vínculo a 14a/14b/14d não documentado.</t>
  </si>
  <si>
    <t xml:space="preserve">0539-0540</t>
  </si>
  <si>
    <t xml:space="preserve">FCV-3152</t>
  </si>
  <si>
    <r>
      <rPr>
        <b val="true"/>
        <sz val="9"/>
        <color rgb="FF1F4E9A"/>
        <rFont val="Arial"/>
        <family val="0"/>
        <charset val="1"/>
      </rPr>
      <t xml:space="preserve">Placa/campo: </t>
    </r>
    <r>
      <rPr>
        <sz val="9"/>
        <color rgb="FF1F4E9A"/>
        <rFont val="Arial"/>
        <family val="0"/>
        <charset val="1"/>
      </rPr>
      <t xml:space="preserve">Valvula de controle de vazao – Metroval, VCDM-50, série 0318, 2024, DN 50 mm; T.max 70 C; PN 10 bar, Combustiveis.</t>
    </r>
  </si>
  <si>
    <t xml:space="preserve">0318</t>
  </si>
  <si>
    <t xml:space="preserve">Sem dado teórico individual. Terceiros (fotos 14/11/2025, WA0315): WA0315 "FCV-3152 (provavel)" Nr.S 0309 - DIVERGE – DIVERGE. antes lida "0316" - leitura errada; o Nr.S e 0318. Vínculo a 14a/14b/14d não documentado.</t>
  </si>
  <si>
    <t xml:space="preserve">0698-0700</t>
  </si>
  <si>
    <t xml:space="preserve">FCV-3155</t>
  </si>
  <si>
    <r>
      <rPr>
        <b val="true"/>
        <sz val="9"/>
        <color rgb="FF1F4E9A"/>
        <rFont val="Arial"/>
        <family val="0"/>
        <charset val="1"/>
      </rPr>
      <t xml:space="preserve">Placa/campo: </t>
    </r>
    <r>
      <rPr>
        <sz val="9"/>
        <color rgb="FF1F4E9A"/>
        <rFont val="Arial"/>
        <family val="0"/>
        <charset val="1"/>
      </rPr>
      <t xml:space="preserve">Valvula de controle de vazao – Metroval, VCDM-100, série 0293, DN 100 mm; T.max 70 C; PN 10 bar, Combustiveis.</t>
    </r>
  </si>
  <si>
    <t xml:space="preserve">0293</t>
  </si>
  <si>
    <t xml:space="preserve">Sem dado teórico individual. Terceiros (fotos 14/11/2025, WA0308): WA0308 0293 - confere – S. Vínculo a 14a/14b/14d não documentado.</t>
  </si>
  <si>
    <t xml:space="preserve">0387</t>
  </si>
  <si>
    <t xml:space="preserve">FCV-3156</t>
  </si>
  <si>
    <r>
      <rPr>
        <b val="true"/>
        <sz val="9"/>
        <color rgb="FF1F4E9A"/>
        <rFont val="Arial"/>
        <family val="0"/>
        <charset val="1"/>
      </rPr>
      <t xml:space="preserve">Placa/campo: </t>
    </r>
    <r>
      <rPr>
        <sz val="9"/>
        <color rgb="FF1F4E9A"/>
        <rFont val="Arial"/>
        <family val="0"/>
        <charset val="1"/>
      </rPr>
      <t xml:space="preserve">Valvula de controle de vazao – Metroval, VCDM-50, série 0321, DN 50 mm; T.max 70 C; PN 10 bar, Combustiveis.</t>
    </r>
  </si>
  <si>
    <t xml:space="preserve">0321</t>
  </si>
  <si>
    <t xml:space="preserve">Sem dado teórico individual. Só leitura de campo (sem 2ª fonte). ERA REGISTRADA COMO FCV-3168 sem Nr.S (tag lido errado). Pendente/ilegível: no de serie, PN, ano. Vínculo a 14a/14b/14d não documentado.</t>
  </si>
  <si>
    <t xml:space="preserve">0459-0465</t>
  </si>
  <si>
    <t xml:space="preserve">FCV-3157</t>
  </si>
  <si>
    <r>
      <rPr>
        <b val="true"/>
        <sz val="9"/>
        <color rgb="FF1F4E9A"/>
        <rFont val="Arial"/>
        <family val="0"/>
        <charset val="1"/>
      </rPr>
      <t xml:space="preserve">Placa/campo: </t>
    </r>
    <r>
      <rPr>
        <sz val="9"/>
        <color rgb="FF1F4E9A"/>
        <rFont val="Arial"/>
        <family val="0"/>
        <charset val="1"/>
      </rPr>
      <t xml:space="preserve">Valvula de controle de vazao – Metroval, VCDM-100, série 0294, DN 100 mm; T.max 70 C; PN 10 bar, Combustiveis.</t>
    </r>
  </si>
  <si>
    <t xml:space="preserve">0294</t>
  </si>
  <si>
    <t xml:space="preserve">Sem dado teórico individual. Terceiros (fotos 14/11/2025, WA0281): WA0281 0294 - confere – S. tag confirmado em campo (0336). Pendente/ilegível: TAG nao fotografado em campo. Vínculo a 14a/14b/14d não documentado.</t>
  </si>
  <si>
    <t xml:space="preserve">0335-0336</t>
  </si>
  <si>
    <t xml:space="preserve">FCV-3158</t>
  </si>
  <si>
    <r>
      <rPr>
        <b val="true"/>
        <sz val="9"/>
        <color rgb="FF1F4E9A"/>
        <rFont val="Arial"/>
        <family val="0"/>
        <charset val="1"/>
      </rPr>
      <t xml:space="preserve">Placa/campo: </t>
    </r>
    <r>
      <rPr>
        <sz val="9"/>
        <color rgb="FF1F4E9A"/>
        <rFont val="Arial"/>
        <family val="0"/>
        <charset val="1"/>
      </rPr>
      <t xml:space="preserve">Valvula de controle de vazao – Metroval, VCDM-80, série 0271, 2024, DN 80 mm; T.max 70 C; PN 10 bar, Combustiveis.</t>
    </r>
  </si>
  <si>
    <t xml:space="preserve">0271</t>
  </si>
  <si>
    <t xml:space="preserve">Sem dado teórico individual. Terceiros (fotos 14/11/2025, WA0283): WA0283 0271 - confere – S. antes "FCV-3149?" - leitura errada. Vínculo a 14a/14b/14d não documentado.</t>
  </si>
  <si>
    <t xml:space="preserve">0338-0340</t>
  </si>
  <si>
    <t xml:space="preserve">FCV-3159</t>
  </si>
  <si>
    <r>
      <rPr>
        <b val="true"/>
        <sz val="9"/>
        <color rgb="FF1F4E9A"/>
        <rFont val="Arial"/>
        <family val="0"/>
        <charset val="1"/>
      </rPr>
      <t xml:space="preserve">Placa/campo: </t>
    </r>
    <r>
      <rPr>
        <sz val="9"/>
        <color rgb="FF1F4E9A"/>
        <rFont val="Arial"/>
        <family val="0"/>
        <charset val="1"/>
      </rPr>
      <t xml:space="preserve">Valvula de controle de vazao – Metroval, VCDM-100, série 0295, 2024, DN 100 mm; T.max 70 C; PN 10 bar, Combustiveis.</t>
    </r>
  </si>
  <si>
    <t xml:space="preserve">0295</t>
  </si>
  <si>
    <t xml:space="preserve">Sem dado teórico individual. Terceiros (fotos 14/11/2025, WA0288): WA0288 0295 - confere – S. placa e tag em fotos seguidas. Vínculo a 14a/14b/14d não documentado.</t>
  </si>
  <si>
    <t xml:space="preserve">0330-0333</t>
  </si>
  <si>
    <t xml:space="preserve">FCV-3160</t>
  </si>
  <si>
    <r>
      <rPr>
        <b val="true"/>
        <sz val="9"/>
        <color rgb="FF1F4E9A"/>
        <rFont val="Arial"/>
        <family val="0"/>
        <charset val="1"/>
      </rPr>
      <t xml:space="preserve">Placa/campo: </t>
    </r>
    <r>
      <rPr>
        <sz val="9"/>
        <color rgb="FF1F4E9A"/>
        <rFont val="Arial"/>
        <family val="0"/>
        <charset val="1"/>
      </rPr>
      <t xml:space="preserve">Valvula de controle de vazao – Metroval, VCDM-80, série 0272, DN 80 mm; T.max 70 C; PN 10 bar, Combustiveis.</t>
    </r>
  </si>
  <si>
    <t xml:space="preserve">0272</t>
  </si>
  <si>
    <t xml:space="preserve">Sem dado teórico individual. Terceiros (fotos 14/11/2025, WA0290): WA0290 0272 - confere – S. era FCV-3130 (corrigido M12). Pendente/ilegível: ano de fabricacao. Vínculo a 14a/14b/14d não documentado.</t>
  </si>
  <si>
    <t xml:space="preserve">0341-0346</t>
  </si>
  <si>
    <t xml:space="preserve">FCV-3161</t>
  </si>
  <si>
    <r>
      <rPr>
        <b val="true"/>
        <sz val="9"/>
        <color rgb="FF1F4E9A"/>
        <rFont val="Arial"/>
        <family val="0"/>
        <charset val="1"/>
      </rPr>
      <t xml:space="preserve">Placa/campo: </t>
    </r>
    <r>
      <rPr>
        <sz val="9"/>
        <color rgb="FF1F4E9A"/>
        <rFont val="Arial"/>
        <family val="0"/>
        <charset val="1"/>
      </rPr>
      <t xml:space="preserve">Valvula de controle de vazao – Metroval, VCDM-100, série 0307, DN 100 mm; T.max 70 C; PN 10 bar, Combustiveis.</t>
    </r>
  </si>
  <si>
    <t xml:space="preserve">0307</t>
  </si>
  <si>
    <t xml:space="preserve">Sem dado teórico individual. Terceiros (fotos 14/11/2025, WA0291): WA0291 FCV-3161 - confere TAG – S. antes a FCV-3161 tinha o Nr.S 0291, que e da FCV-3151. Pendente/ilegível: ano de fabricacao. Vínculo a 14a/14b/14d não documentado.</t>
  </si>
  <si>
    <t xml:space="preserve">0327-0329</t>
  </si>
  <si>
    <t xml:space="preserve">FCV-3164</t>
  </si>
  <si>
    <r>
      <rPr>
        <b val="true"/>
        <sz val="9"/>
        <color rgb="FF1F4E9A"/>
        <rFont val="Arial"/>
        <family val="0"/>
        <charset val="1"/>
      </rPr>
      <t xml:space="preserve">Placa/campo: </t>
    </r>
    <r>
      <rPr>
        <sz val="9"/>
        <color rgb="FF1F4E9A"/>
        <rFont val="Arial"/>
        <family val="0"/>
        <charset val="1"/>
      </rPr>
      <t xml:space="preserve">Valvula de controle de vazao – Metroval, VCDM-100, série 0311, DN 100 mm; T.max 70 C; PN 10 bar, Combustiveis.</t>
    </r>
  </si>
  <si>
    <t xml:space="preserve">0311</t>
  </si>
  <si>
    <t xml:space="preserve">Sem dado teórico individual. Terceiros (fotos 14/11/2025, WA0316): WA0316 0311 - confere – S. era FCV-3154 (corrigido M12). Pendente/ilegível: ano de fabricacao. Vínculo a 14a/14b/14d não documentado.</t>
  </si>
  <si>
    <t xml:space="preserve">0389-0390</t>
  </si>
  <si>
    <t xml:space="preserve">FCV-3165</t>
  </si>
  <si>
    <r>
      <rPr>
        <b val="true"/>
        <sz val="9"/>
        <color rgb="FF1F4E9A"/>
        <rFont val="Arial"/>
        <family val="0"/>
        <charset val="1"/>
      </rPr>
      <t xml:space="preserve">Placa/campo: </t>
    </r>
    <r>
      <rPr>
        <sz val="9"/>
        <color rgb="FF1F4E9A"/>
        <rFont val="Arial"/>
        <family val="0"/>
        <charset val="1"/>
      </rPr>
      <t xml:space="preserve">Valvula de controle de vazao – Metroval, VCDM-50, série 0323, DN 50 mm; T.max 70 C; PN 10 bar, Combustiveis.</t>
    </r>
  </si>
  <si>
    <t xml:space="preserve">0323</t>
  </si>
  <si>
    <t xml:space="preserve">Sem dado teórico individual. Terceiros (fotos 14/11/2025, WA0313): WA0313 0323 - confere – S. tag confirmado em campo (0470). Pendente/ilegível: TAG nao fotografado em campo. Vínculo a 14a/14b/14d não documentado.</t>
  </si>
  <si>
    <t xml:space="preserve">0467-0470</t>
  </si>
  <si>
    <t xml:space="preserve">FT-3141</t>
  </si>
  <si>
    <r>
      <rPr>
        <b val="true"/>
        <sz val="9"/>
        <color rgb="FF1F4E9A"/>
        <rFont val="Arial"/>
        <family val="0"/>
        <charset val="1"/>
      </rPr>
      <t xml:space="preserve">Placa/campo: </t>
    </r>
    <r>
      <rPr>
        <sz val="9"/>
        <color rgb="FF1F4E9A"/>
        <rFont val="Arial"/>
        <family val="0"/>
        <charset val="1"/>
      </rPr>
      <t xml:space="preserve">Medidor de vazao tipo turbina – Metroval, MTF-80, série 01311123, DIMEL 365/2020, 2024, Classe exatidao 0,3; QMM 100; 60/-20 C; 19,58; vazao 150/15, Gasolina.</t>
    </r>
  </si>
  <si>
    <t xml:space="preserve">01311123</t>
  </si>
  <si>
    <t xml:space="preserve">Sem dado teórico individual. Só leitura de campo (sem 2ª fonte). Pendente/ilegível: TAG a confirmar (plaqueta desfocada). Vínculo a 14a/14b/14d não documentado.</t>
  </si>
  <si>
    <t xml:space="preserve">0662-0663, 0667, 0670</t>
  </si>
  <si>
    <t xml:space="preserve">FT-3142</t>
  </si>
  <si>
    <r>
      <rPr>
        <b val="true"/>
        <sz val="9"/>
        <color rgb="FF1F4E9A"/>
        <rFont val="Arial"/>
        <family val="0"/>
        <charset val="1"/>
      </rPr>
      <t xml:space="preserve">Placa/campo: </t>
    </r>
    <r>
      <rPr>
        <sz val="9"/>
        <color rgb="FF1F4E9A"/>
        <rFont val="Arial"/>
        <family val="0"/>
        <charset val="1"/>
      </rPr>
      <t xml:space="preserve">Medidor de vazao tipo turbina – Metroval, MTF-80, série 01?3?1123, DIMEL 365/2020, 2024, Classe exatidao 0,3; QMM 100; 60/-20 C; 19,58; vazao 150/15, Diesel S-500.</t>
    </r>
  </si>
  <si>
    <t xml:space="preserve">01?3?1123</t>
  </si>
  <si>
    <t xml:space="preserve">Sem dado teórico individual. Só leitura de campo (sem 2ª fonte). Pendente/ilegível: digitos do no de serie. Vínculo a 14a/14b/14d não documentado.</t>
  </si>
  <si>
    <t xml:space="preserve">0553, 0554</t>
  </si>
  <si>
    <t xml:space="preserve">FT-3143</t>
  </si>
  <si>
    <r>
      <rPr>
        <b val="true"/>
        <sz val="9"/>
        <color rgb="FF1F4E9A"/>
        <rFont val="Arial"/>
        <family val="0"/>
        <charset val="1"/>
      </rPr>
      <t xml:space="preserve">Placa/campo: </t>
    </r>
    <r>
      <rPr>
        <sz val="9"/>
        <color rgb="FF1F4E9A"/>
        <rFont val="Arial"/>
        <family val="0"/>
        <charset val="1"/>
      </rPr>
      <t xml:space="preserve">Medidor massico – Metroval, OI 50 SMPF/F2, série 12527, 2024, Vazao 30-300 L/min; 2" 150# RF; 20 bar; 60 C, Biodiesel B100.</t>
    </r>
  </si>
  <si>
    <t xml:space="preserve">OI 50 SMPF/F2</t>
  </si>
  <si>
    <t xml:space="preserve">Vazao 30-300 L/min; 2" 150# RF; 20 bar; 60 C</t>
  </si>
  <si>
    <t xml:space="preserve">12527</t>
  </si>
  <si>
    <t xml:space="preserve">Sem dado teórico individual. Só leitura de campo (sem 2ª fonte). Pendente/ilegível: no de serie. Vínculo a 14a/14b/14d não documentado.</t>
  </si>
  <si>
    <t xml:space="preserve">0711, 0712</t>
  </si>
  <si>
    <t xml:space="preserve">FT-3148</t>
  </si>
  <si>
    <r>
      <rPr>
        <b val="true"/>
        <sz val="9"/>
        <color rgb="FF1F4E9A"/>
        <rFont val="Arial"/>
        <family val="0"/>
        <charset val="1"/>
      </rPr>
      <t xml:space="preserve">Placa/campo: </t>
    </r>
    <r>
      <rPr>
        <sz val="9"/>
        <color rgb="FF1F4E9A"/>
        <rFont val="Arial"/>
        <family val="0"/>
        <charset val="1"/>
      </rPr>
      <t xml:space="preserve">Medidor de vazao tipo turbina – Metroval, MTF-80, série 01421123, DIMEL 365/2020, 2024, Classe exatidao 0,3; QMM 100; 60/-20 C; 19,58; vazao 150/15, Etanol hidratado.</t>
    </r>
  </si>
  <si>
    <t xml:space="preserve">01421123</t>
  </si>
  <si>
    <t xml:space="preserve">Sem dado teórico individual. Só leitura de campo (sem 2ª fonte). Vínculo a 14a/14b/14d não documentado.</t>
  </si>
  <si>
    <t xml:space="preserve">0649-0651</t>
  </si>
  <si>
    <t xml:space="preserve">FT-3151</t>
  </si>
  <si>
    <r>
      <rPr>
        <b val="true"/>
        <sz val="9"/>
        <color rgb="FF1F4E9A"/>
        <rFont val="Arial"/>
        <family val="0"/>
        <charset val="1"/>
      </rPr>
      <t xml:space="preserve">Placa/campo: </t>
    </r>
    <r>
      <rPr>
        <sz val="9"/>
        <color rgb="FF1F4E9A"/>
        <rFont val="Arial"/>
        <family val="0"/>
        <charset val="1"/>
      </rPr>
      <t xml:space="preserve">Medidor de vazao tipo turbina – Metroval, MTF-80, série 01341123, DIMEL 365/2020, 2024, Classe exatidao 0,3; QMM 100; 60/-20 C; 19,58; vazao 150/15, Diesel S-500.</t>
    </r>
  </si>
  <si>
    <t xml:space="preserve">01341123</t>
  </si>
  <si>
    <t xml:space="preserve">Sem dado teórico individual. Só leitura de campo (sem 2ª fonte). Pendente/ilegível: nenhum - divergencia D01 resolvida. Vínculo a 14a/14b/14d não documentado.</t>
  </si>
  <si>
    <t xml:space="preserve">0315-0317, 0567-0570</t>
  </si>
  <si>
    <t xml:space="preserve">FT-3154</t>
  </si>
  <si>
    <r>
      <rPr>
        <b val="true"/>
        <sz val="9"/>
        <color rgb="FF1F4E9A"/>
        <rFont val="Arial"/>
        <family val="0"/>
        <charset val="1"/>
      </rPr>
      <t xml:space="preserve">Placa/campo: </t>
    </r>
    <r>
      <rPr>
        <sz val="9"/>
        <color rgb="FF1F4E9A"/>
        <rFont val="Arial"/>
        <family val="0"/>
        <charset val="1"/>
      </rPr>
      <t xml:space="preserve">Medidor massico – Metroval, OI 50 SMPF/F2, série 12529, 2024, Vazao 30-300 L/min; 2" 150# RF; 20 bar; 60 C, Biodiesel B100.</t>
    </r>
  </si>
  <si>
    <t xml:space="preserve">12529</t>
  </si>
  <si>
    <t xml:space="preserve">Sem dado teórico individual. Terceiros (fotos 14/11/2025, WA0341): FT-3154 | OI 50 SMPF/F2 | 12529 – S. Vínculo a 14a/14b/14d não documentado.</t>
  </si>
  <si>
    <t xml:space="preserve">0439, 0440</t>
  </si>
  <si>
    <t xml:space="preserve">FT-3156</t>
  </si>
  <si>
    <r>
      <rPr>
        <b val="true"/>
        <sz val="9"/>
        <color rgb="FF1F4E9A"/>
        <rFont val="Arial"/>
        <family val="0"/>
        <charset val="1"/>
      </rPr>
      <t xml:space="preserve">Placa/campo: </t>
    </r>
    <r>
      <rPr>
        <sz val="9"/>
        <color rgb="FF1F4E9A"/>
        <rFont val="Arial"/>
        <family val="0"/>
        <charset val="1"/>
      </rPr>
      <t xml:space="preserve">Medidor massico – Metroval, OI 50 SMPF/F2, série 12531, 2024, Vazao 30-300 L/min; 2" 150# RF; 20 bar; 60 C, Biodiesel B100.</t>
    </r>
  </si>
  <si>
    <t xml:space="preserve">12531</t>
  </si>
  <si>
    <t xml:space="preserve">Sem dado teórico individual. Terceiros (fotos 14/11/2025, WA0332): FT-3156 | OI 50 SMPF/F2 | 12531 – S. Vínculo a 14a/14b/14d não documentado.</t>
  </si>
  <si>
    <t xml:space="preserve">0441, 0442</t>
  </si>
  <si>
    <t xml:space="preserve">FT-3159</t>
  </si>
  <si>
    <r>
      <rPr>
        <b val="true"/>
        <sz val="9"/>
        <color rgb="FF1F4E9A"/>
        <rFont val="Arial"/>
        <family val="0"/>
        <charset val="1"/>
      </rPr>
      <t xml:space="preserve">Placa/campo: </t>
    </r>
    <r>
      <rPr>
        <sz val="9"/>
        <color rgb="FF1F4E9A"/>
        <rFont val="Arial"/>
        <family val="0"/>
        <charset val="1"/>
      </rPr>
      <t xml:space="preserve">Medidor de vazao tipo turbina – Metroval, MTF-80, série 01451123, DIMEL 365/2020, 2024, Classe exatidao 0,3; QMM 100; 60/-20 C; 19,58; vazao 150/15, Gasolina.</t>
    </r>
  </si>
  <si>
    <t xml:space="preserve">01451123</t>
  </si>
  <si>
    <t xml:space="preserve">0308, 0311, 0312</t>
  </si>
  <si>
    <t xml:space="preserve">FT-3163</t>
  </si>
  <si>
    <r>
      <rPr>
        <b val="true"/>
        <sz val="9"/>
        <color rgb="FF1F4E9A"/>
        <rFont val="Arial"/>
        <family val="0"/>
        <charset val="1"/>
      </rPr>
      <t xml:space="preserve">Placa/campo: </t>
    </r>
    <r>
      <rPr>
        <sz val="9"/>
        <color rgb="FF1F4E9A"/>
        <rFont val="Arial"/>
        <family val="0"/>
        <charset val="1"/>
      </rPr>
      <t xml:space="preserve">Medidor massico – Metroval, OI 50 SMPF/F2, série 12528, 2024, Vazao 30-300 L/min; 2" 150# RF; 20 bar; 60 C, Biodiesel B100.</t>
    </r>
  </si>
  <si>
    <t xml:space="preserve">12528</t>
  </si>
  <si>
    <t xml:space="preserve">Sem dado teórico individual. Terceiros (fotos 14/11/2025, WA0326 / WA0343): FT-3163 | OI 50 SMPF/F2 | 12528 – S. Vínculo a 14a/14b/14d não documentado.</t>
  </si>
  <si>
    <t xml:space="preserve">0437, 0438</t>
  </si>
  <si>
    <t xml:space="preserve">SDV-3103</t>
  </si>
  <si>
    <r>
      <rPr>
        <b val="true"/>
        <sz val="9"/>
        <color rgb="FF1F4E9A"/>
        <rFont val="Arial"/>
        <family val="0"/>
        <charset val="1"/>
      </rPr>
      <t xml:space="preserve">Placa/campo: </t>
    </r>
    <r>
      <rPr>
        <sz val="9"/>
        <color rgb="FF1F4E9A"/>
        <rFont val="Arial"/>
        <family val="0"/>
        <charset val="1"/>
      </rPr>
      <t xml:space="preserve">Valvula ON-OFF – Metroval, VOOM-100, série 0331, DN 100 mm; T.max 70 C; PN 10 bar, Combustiveis.</t>
    </r>
  </si>
  <si>
    <t xml:space="preserve">VOOM-100</t>
  </si>
  <si>
    <t xml:space="preserve">0331</t>
  </si>
  <si>
    <t xml:space="preserve">Sem dado teórico individual. Só leitura de campo (sem 2ª fonte). ERA REGISTRADA COMO SDV-3109 (tag lido errado); 0490 lida antes como SDV-3105. Pendente/ilegível: ano de fabricacao. Vínculo a 14a/14b/14d não documentado.</t>
  </si>
  <si>
    <t xml:space="preserve">0489-0490</t>
  </si>
  <si>
    <t xml:space="preserve">SDV-3111</t>
  </si>
  <si>
    <r>
      <rPr>
        <b val="true"/>
        <sz val="9"/>
        <color rgb="FF1F4E9A"/>
        <rFont val="Arial"/>
        <family val="0"/>
        <charset val="1"/>
      </rPr>
      <t xml:space="preserve">Placa/campo: </t>
    </r>
    <r>
      <rPr>
        <sz val="9"/>
        <color rgb="FF1F4E9A"/>
        <rFont val="Arial"/>
        <family val="0"/>
        <charset val="1"/>
      </rPr>
      <t xml:space="preserve">Valvula ON-OFF – Metroval, VOOM-100, série 0336, 2024, DN 100 mm; T.max 70 C; PN 10 bar, Combustiveis.</t>
    </r>
  </si>
  <si>
    <t xml:space="preserve">0336</t>
  </si>
  <si>
    <t xml:space="preserve">0492-0494</t>
  </si>
  <si>
    <t xml:space="preserve">SDV-3112</t>
  </si>
  <si>
    <r>
      <rPr>
        <b val="true"/>
        <sz val="9"/>
        <color rgb="FF1F4E9A"/>
        <rFont val="Arial"/>
        <family val="0"/>
        <charset val="1"/>
      </rPr>
      <t xml:space="preserve">Placa/campo: </t>
    </r>
    <r>
      <rPr>
        <sz val="9"/>
        <color rgb="FF1F4E9A"/>
        <rFont val="Arial"/>
        <family val="0"/>
        <charset val="1"/>
      </rPr>
      <t xml:space="preserve">Valvula ON-OFF – Metroval, VOOM-100, série 0338, DN 100 mm; T.max 70 C; PN 10 bar, Combustiveis.</t>
    </r>
  </si>
  <si>
    <t xml:space="preserve">0338</t>
  </si>
  <si>
    <t xml:space="preserve">Sem dado teórico individual. Só leitura de campo (sem 2ª fonte). antes "0338 ou 0339" - fechado 0338. Pendente/ilegível: ver DIVERGENCIAS (duas series). Vínculo a 14a/14b/14d não documentado.</t>
  </si>
  <si>
    <t xml:space="preserve">0496-0499</t>
  </si>
  <si>
    <t xml:space="preserve">SDV-3113</t>
  </si>
  <si>
    <r>
      <rPr>
        <b val="true"/>
        <sz val="9"/>
        <color rgb="FF1F4E9A"/>
        <rFont val="Arial"/>
        <family val="0"/>
        <charset val="1"/>
      </rPr>
      <t xml:space="preserve">Placa/campo: </t>
    </r>
    <r>
      <rPr>
        <sz val="9"/>
        <color rgb="FF1F4E9A"/>
        <rFont val="Arial"/>
        <family val="0"/>
        <charset val="1"/>
      </rPr>
      <t xml:space="preserve">Valvula ON-OFF – Metroval, VOOM-100, série 0339, DN 100 mm; T.max 70 C; PN 10 bar, Combustiveis.</t>
    </r>
  </si>
  <si>
    <t xml:space="preserve">0339</t>
  </si>
  <si>
    <t xml:space="preserve">Sem dado teórico individual. Terceiros (fotos 14/11/2025, WA0311): WA0311 SDV-3113 - confere TAG – S. Nr.S antes nao lido. Pendente/ilegível: no de serie, ano. Vínculo a 14a/14b/14d não documentado.</t>
  </si>
  <si>
    <t xml:space="preserve">0485-0487</t>
  </si>
  <si>
    <t xml:space="preserve">TE-3101A</t>
  </si>
  <si>
    <r>
      <rPr>
        <b val="true"/>
        <sz val="9"/>
        <color rgb="FF1F4E9A"/>
        <rFont val="Arial"/>
        <family val="0"/>
        <charset val="1"/>
      </rPr>
      <t xml:space="preserve">Placa/campo: </t>
    </r>
    <r>
      <rPr>
        <sz val="9"/>
        <color rgb="FF1F4E9A"/>
        <rFont val="Arial"/>
        <family val="0"/>
        <charset val="1"/>
      </rPr>
      <t xml:space="preserve">Transmissor de temperatura – ALUTAL, CEX-A-00015, série 377041, Ex ia IIC T6..T1 Ga; Ex ic IIC T6..T4 Ga; IP66W/IP66X; INMETRO, Instrumentacao.</t>
    </r>
  </si>
  <si>
    <t xml:space="preserve">Ex ia IIC T6..T1 Ga; Ex ic IIC T6..T4 Ga; IP66W/IP66X; INMETRO</t>
  </si>
  <si>
    <t xml:space="preserve">377041</t>
  </si>
  <si>
    <t xml:space="preserve">Sem dado teórico individual. Só leitura de campo (sem 2ª fonte). Pendente/ilegível: ano de fabricacao. Vínculo a 14a/14b/14d não documentado.</t>
  </si>
  <si>
    <t xml:space="preserve">0548</t>
  </si>
  <si>
    <t xml:space="preserve">TE-3141A</t>
  </si>
  <si>
    <r>
      <rPr>
        <b val="true"/>
        <sz val="9"/>
        <color rgb="FF1F4E9A"/>
        <rFont val="Arial"/>
        <family val="0"/>
        <charset val="1"/>
      </rPr>
      <t xml:space="preserve">Placa/campo: </t>
    </r>
    <r>
      <rPr>
        <sz val="9"/>
        <color rgb="FF1F4E9A"/>
        <rFont val="Arial"/>
        <family val="0"/>
        <charset val="1"/>
      </rPr>
      <t xml:space="preserve">Transmissor de temperatura – ALUTAL, CEX-A-00015, série 377041, Ex ia IIC T6..T1 Ga; IP66W/IP66X; INMETRO, Instrumentacao.</t>
    </r>
  </si>
  <si>
    <t xml:space="preserve">Ex ia IIC T6..T1 Ga; IP66W/IP66X; INMETRO</t>
  </si>
  <si>
    <t xml:space="preserve">0703, 0704</t>
  </si>
  <si>
    <t xml:space="preserve">TE-3147A</t>
  </si>
  <si>
    <t xml:space="preserve">0643</t>
  </si>
  <si>
    <t xml:space="preserve">TE-3149A</t>
  </si>
  <si>
    <r>
      <rPr>
        <b val="true"/>
        <sz val="9"/>
        <color rgb="FF1F4E9A"/>
        <rFont val="Arial"/>
        <family val="0"/>
        <charset val="1"/>
      </rPr>
      <t xml:space="preserve">Placa/campo: </t>
    </r>
    <r>
      <rPr>
        <sz val="9"/>
        <color rgb="FF1F4E9A"/>
        <rFont val="Arial"/>
        <family val="0"/>
        <charset val="1"/>
      </rPr>
      <t xml:space="preserve">Transmissor de temperatura – ALUTAL, CEX-A-00015, série 377041, Ex ia IIC T6..T1 Ga; INMETRO, Instrumentacao.</t>
    </r>
  </si>
  <si>
    <t xml:space="preserve">Ex ia IIC T6..T1 Ga; INMETRO</t>
  </si>
  <si>
    <t xml:space="preserve">0546</t>
  </si>
  <si>
    <t xml:space="preserve">TE-3152A</t>
  </si>
  <si>
    <t xml:space="preserve">0708, 0709</t>
  </si>
  <si>
    <t xml:space="preserve">XS-3103A</t>
  </si>
  <si>
    <r>
      <rPr>
        <b val="true"/>
        <sz val="9"/>
        <color rgb="FF1F4E9A"/>
        <rFont val="Arial"/>
        <family val="0"/>
        <charset val="1"/>
      </rPr>
      <t xml:space="preserve">Placa/campo: </t>
    </r>
    <r>
      <rPr>
        <sz val="9"/>
        <color rgb="FF1F4E9A"/>
        <rFont val="Arial"/>
        <family val="0"/>
        <charset val="1"/>
      </rPr>
      <t xml:space="preserve">Protecao de transbordamento e aterramento – KFW (Qingdao Aiptec), SLA-S-Y, Cert. DNV 18.0113 X, 85-250 Vca; Ex db ia [ia Ga] IIB T5 Gb; -20 a +55 C, Carregamento rodoviario.</t>
    </r>
  </si>
  <si>
    <t xml:space="preserve">KFW (Qingdao Aiptec)</t>
  </si>
  <si>
    <t xml:space="preserve">SLA-S-Y</t>
  </si>
  <si>
    <t xml:space="preserve">85-250 Vca; Ex db ia [ia Ga] IIB T5 Gb; -20 a +55 C</t>
  </si>
  <si>
    <t xml:space="preserve">Cert. DNV 18.0113 X</t>
  </si>
  <si>
    <t xml:space="preserve">0571, 0572</t>
  </si>
  <si>
    <t xml:space="preserve">ECOSERV 036/24 (09/02/2024): "Monitor de Aterramento Completo / cabo espiralado e garra de aterramento", 32 un. × R$ 12.090,00 = R$ 386.880,00 (= NF 110 Ecoserv). Provável origem deste equipamento (Ecoserv = faturamento direto do pacote Metroval).</t>
  </si>
  <si>
    <t xml:space="preserve">XS-3104</t>
  </si>
  <si>
    <r>
      <rPr>
        <b val="true"/>
        <sz val="9"/>
        <color rgb="FF1F4E9A"/>
        <rFont val="Arial"/>
        <family val="0"/>
        <charset val="1"/>
      </rPr>
      <t xml:space="preserve">Placa/campo: </t>
    </r>
    <r>
      <rPr>
        <sz val="9"/>
        <color rgb="FF1F4E9A"/>
        <rFont val="Arial"/>
        <family val="0"/>
        <charset val="1"/>
      </rPr>
      <t xml:space="preserve">Protecao de transbordamento e aterramento – KFW (Qingdao Aiptec), SLA-S-Y, série 2011011, Cert. DNV 18.0113 X, 85-250 Vca; Ex db ia [ia Ga] IIB T5 Gb; -20 a +55 C, Carregamento rodoviario.</t>
    </r>
  </si>
  <si>
    <t xml:space="preserve">2011011</t>
  </si>
  <si>
    <t xml:space="preserve">0624, 0722, 0723</t>
  </si>
  <si>
    <t xml:space="preserve">XS-3104B</t>
  </si>
  <si>
    <r>
      <rPr>
        <b val="true"/>
        <sz val="9"/>
        <color rgb="FF1F4E9A"/>
        <rFont val="Arial"/>
        <family val="0"/>
        <charset val="1"/>
      </rPr>
      <t xml:space="preserve">Placa/campo: </t>
    </r>
    <r>
      <rPr>
        <sz val="9"/>
        <color rgb="FF1F4E9A"/>
        <rFont val="Arial"/>
        <family val="0"/>
        <charset val="1"/>
      </rPr>
      <t xml:space="preserve">Protecao de transbordamento e aterramento – KFW (Qingdao Aiptec), SLA-S-Y, Cert. DNV 18.0113 X, 85-250 Vca; Ex db ia [ia Ga] IIB T5 Gb, Carregamento rodoviario.</t>
    </r>
  </si>
  <si>
    <t xml:space="preserve">85-250 Vca; Ex db ia [ia Ga] IIB T5 Gb</t>
  </si>
  <si>
    <t xml:space="preserve">0594, 0595, 0724, 0725</t>
  </si>
  <si>
    <t xml:space="preserve">XS-3107A</t>
  </si>
  <si>
    <t xml:space="preserve">0472, 0473</t>
  </si>
  <si>
    <t xml:space="preserve">XS-3107B</t>
  </si>
  <si>
    <t xml:space="preserve">0430, 0431</t>
  </si>
  <si>
    <t xml:space="preserve">XS-3108A</t>
  </si>
  <si>
    <r>
      <rPr>
        <b val="true"/>
        <sz val="9"/>
        <color rgb="FF1F4E9A"/>
        <rFont val="Arial"/>
        <family val="0"/>
        <charset val="1"/>
      </rPr>
      <t xml:space="preserve">Placa/campo: </t>
    </r>
    <r>
      <rPr>
        <sz val="9"/>
        <color rgb="FF1F4E9A"/>
        <rFont val="Arial"/>
        <family val="0"/>
        <charset val="1"/>
      </rPr>
      <t xml:space="preserve">Protecao de transbordamento e aterramento – KFW (Qingdao Aiptec), SLA-S-Y, série 21022?42, Cert. DNV 18.0113 X, 85-250 Vca; Ex db ia [ia Ga] IIB T5 Gb, Carregamento rodoviario.</t>
    </r>
  </si>
  <si>
    <t xml:space="preserve">21022?42</t>
  </si>
  <si>
    <t xml:space="preserve">0477, 0478</t>
  </si>
  <si>
    <t xml:space="preserve">XS-31209</t>
  </si>
  <si>
    <r>
      <rPr>
        <b val="true"/>
        <sz val="9"/>
        <color rgb="FF1F4E9A"/>
        <rFont val="Arial"/>
        <family val="0"/>
        <charset val="1"/>
      </rPr>
      <t xml:space="preserve">Placa/campo: </t>
    </r>
    <r>
      <rPr>
        <sz val="9"/>
        <color rgb="FF1F4E9A"/>
        <rFont val="Arial"/>
        <family val="0"/>
        <charset val="1"/>
      </rPr>
      <t xml:space="preserve">Protecao de transbordamento e aterramento – KFW (Qingdao Aiptec), SLA-S-Y, série 911?03?, Cert. DNV 18.0113 X, 85-250 Vca; Ex db ia [ia Ga] IIB T5 Gb, Carregamento.</t>
    </r>
  </si>
  <si>
    <t xml:space="preserve">911?03?</t>
  </si>
  <si>
    <t xml:space="preserve">0279, 0280</t>
  </si>
  <si>
    <t xml:space="preserve">XS-31211</t>
  </si>
  <si>
    <r>
      <rPr>
        <b val="true"/>
        <sz val="9"/>
        <color rgb="FF1F4E9A"/>
        <rFont val="Arial"/>
        <family val="0"/>
        <charset val="1"/>
      </rPr>
      <t xml:space="preserve">Placa/campo: </t>
    </r>
    <r>
      <rPr>
        <sz val="9"/>
        <color rgb="FF1F4E9A"/>
        <rFont val="Arial"/>
        <family val="0"/>
        <charset val="1"/>
      </rPr>
      <t xml:space="preserve">Protecao de transbordamento e aterramento – KFW (Qingdao Aiptec), SLA-S-Y, Cert. DNV 18.0113 X, 85-250 Vca; Ex db ia [ia Ga] IIB T5 Gb; Uo 21,42Vcc/Io 149mA (transbord.); Uo 14,28Vcc/Io 86,2mA (aterr.), Carregamento.</t>
    </r>
  </si>
  <si>
    <t xml:space="preserve">85-250 Vca; Ex db ia [ia Ga] IIB T5 Gb; Uo 21,42Vcc/Io 149mA (transbord.); Uo 14,28Vcc/Io 86,2mA (aterr.)</t>
  </si>
  <si>
    <t xml:space="preserve">0268, 0269</t>
  </si>
  <si>
    <t xml:space="preserve">XS-31212</t>
  </si>
  <si>
    <r>
      <rPr>
        <b val="true"/>
        <sz val="9"/>
        <color rgb="FF1F4E9A"/>
        <rFont val="Arial"/>
        <family val="0"/>
        <charset val="1"/>
      </rPr>
      <t xml:space="preserve">Placa/campo: </t>
    </r>
    <r>
      <rPr>
        <sz val="9"/>
        <color rgb="FF1F4E9A"/>
        <rFont val="Arial"/>
        <family val="0"/>
        <charset val="1"/>
      </rPr>
      <t xml:space="preserve">Protecao de transbordamento e aterramento – KFW (Qingdao Aiptec), SLA-S-Y, série 2011002 (?), Cert. DNV 18.0113 X, 85-250 Vca; Ex db ia [ia Ga] IIB T5 Gb, Carregamento.</t>
    </r>
  </si>
  <si>
    <t xml:space="preserve">2011002 (?)</t>
  </si>
  <si>
    <t xml:space="preserve">0285, 0286</t>
  </si>
  <si>
    <t xml:space="preserve">15-17</t>
  </si>
  <si>
    <t xml:space="preserve">Selos flutuantes Romão E037 (linhas 15 + 16 + 17 = 6 un.)</t>
  </si>
  <si>
    <r>
      <rPr>
        <b val="true"/>
        <sz val="9"/>
        <color rgb="FF000000"/>
        <rFont val="Arial"/>
        <family val="0"/>
        <charset val="1"/>
      </rPr>
      <t xml:space="preserve">Crítica: </t>
    </r>
    <r>
      <rPr>
        <sz val="9"/>
        <color rgb="FF000000"/>
        <rFont val="Arial"/>
        <family val="0"/>
        <charset val="1"/>
      </rPr>
      <t xml:space="preserve">linhas 15 a 17 somam R$ 546.941,16.NF: NF 2739 de 29/05/2024 – Romão Tecnologias Industriais Ltda (CNPJ 02.807.845/0001-19): "Selo película vedação simples", R$ 601.341,12 – cobre as três linhas; excede-as em R$ 54.399,96.SAP: selos não constam na base SAP (seleção).Projeto: não há lista de selos no dossiê (há catálogo Romão).</t>
    </r>
  </si>
  <si>
    <t xml:space="preserve">Romão</t>
  </si>
  <si>
    <t xml:space="preserve">E037</t>
  </si>
  <si>
    <t xml:space="preserve">2739</t>
  </si>
  <si>
    <t xml:space="preserve">29/05/2024</t>
  </si>
  <si>
    <t xml:space="preserve">Romão Tecnologias Industriais Ltda (02.807.845/0001-19)</t>
  </si>
  <si>
    <t xml:space="preserve">NF única das 3 linhas</t>
  </si>
  <si>
    <t xml:space="preserve">Selos internos aos tanques: não verificáveis em vistoria externa (categoria C). O RT0538 os declara encontrados. Pedir certificado/data-book Romão por tanque.</t>
  </si>
  <si>
    <t xml:space="preserve">Cotação ROMÃO Tecnologias Industriais nº 00638 (identidade 0171-23 Rev 04), 17/01/2024: selo flutuante tanque arm. E037 em alumínio – 2 un. 14,4 × 13,33 m a R$ 124.911,76 = R$ 249.823,52; 2 un. 9,60 × 11,45 m a R$ 88.529,41 = R$ 177.058,82; 2 un. 9,6 × 7,63 m a R$ 60.029,41 = R$ 120.058,82 (subtotal selos R$ 546.941,16 = linhas 15 + 16 + 17); + supervisão de montagem de selo R$ 109.200,00 + serviço de frete R$ 101.183,92 = total R$ 757.325,08; IPI 0 %, ICMS 5,14 % incluso (TO, Convênio 52/91); Finame selo 03967780; prazo 60 dias; CIF; garantia 5 anos após a NF com montagem feita pela Romão (12/18 meses se a montagem for de terceiros); montagem de 6 selos estimada em 60 dias com equipe de 5. Correlato: cotação SOLO Engenharia 158.2023 Rev.07 (02/02/2024) – montagem de tanques e selo flutuante, R$ 17.561.000,00, 240 dias (serviço; itens 2.3.6 "selo flutuante").</t>
  </si>
  <si>
    <t xml:space="preserve">A cotação Romão fecha exatamente com as três linhas (R$ 546.941,16) e com o Finame 03967780; a NF 2739 (R$ 601.341,12) excede os selos em R$ 54.399,96, valor que NÃO corresponde ao frete (R$ 101.183,92) nem à supervisão (R$ 109.200,00) da proposta – pedir a NF 2739 detalhada. A montagem dos selos foi cotada também pela Solo Engenharia (serviço de montagem de tanques e selo flutuante, R$ 17.561.000,00): se a montagem foi da Solo e não da Romão, a garantia do selo cai de 5 anos para 12/18 meses. Contexto: selo flutuante interno tipo película em alumínio (modelo E037 = projeto Romão) para tanques de teto fixo, reduz perdas por evaporação; não verificável em vistoria externa. Para o relatório fotográfico: usar as placas SOLO dos tanques (dimensões = selo) e pedir à Romão/Ultracargo fotos internas ou data-book.</t>
  </si>
  <si>
    <r>
      <rPr>
        <b val="true"/>
        <sz val="9"/>
        <color rgb="FF000000"/>
        <rFont val="Arial"/>
        <family val="0"/>
        <charset val="1"/>
      </rPr>
      <t xml:space="preserve">LINHA 15-17 – Selos flutuantes Romão E037 (linhas 15 + 16 + 17 = 6 un.) [GRUPO]
Crítica: </t>
    </r>
    <r>
      <rPr>
        <sz val="9"/>
        <color rgb="FF000000"/>
        <rFont val="Arial"/>
        <family val="0"/>
        <charset val="1"/>
      </rPr>
      <t xml:space="preserve">linhas 15 a 17 somam R$ 546.941,16. </t>
    </r>
    <r>
      <rPr>
        <b val="true"/>
        <sz val="9"/>
        <color rgb="FFC00000"/>
        <rFont val="Arial"/>
        <family val="0"/>
        <charset val="1"/>
      </rPr>
      <t xml:space="preserve">NF: </t>
    </r>
    <r>
      <rPr>
        <sz val="9"/>
        <color rgb="FFC00000"/>
        <rFont val="Arial"/>
        <family val="0"/>
        <charset val="1"/>
      </rPr>
      <t xml:space="preserve">NF 2739 de 29/05/2024 – Romão Tecnologias Industriais Ltda (CNPJ 02.807.845/0001-19): "Selo película vedação simples", R$ 601.341,12 – cobre as três linhas; excede-as em R$ 54.399,96. </t>
    </r>
    <r>
      <rPr>
        <b val="true"/>
        <sz val="9"/>
        <color rgb="FF00703C"/>
        <rFont val="Arial"/>
        <family val="0"/>
        <charset val="1"/>
      </rPr>
      <t xml:space="preserve">SAP: </t>
    </r>
    <r>
      <rPr>
        <sz val="9"/>
        <color rgb="FF00703C"/>
        <rFont val="Arial"/>
        <family val="0"/>
        <charset val="1"/>
      </rPr>
      <t xml:space="preserve">selos não constam na base SAP (seleção). </t>
    </r>
    <r>
      <rPr>
        <b val="true"/>
        <sz val="9"/>
        <color rgb="FFB38600"/>
        <rFont val="Arial"/>
        <family val="0"/>
        <charset val="1"/>
      </rPr>
      <t xml:space="preserve">Projeto: </t>
    </r>
    <r>
      <rPr>
        <sz val="9"/>
        <color rgb="FFB38600"/>
        <rFont val="Arial"/>
        <family val="0"/>
        <charset val="1"/>
      </rPr>
      <t xml:space="preserve">não há lista de selos no dossiê (há catálogo Romão). 
</t>
    </r>
    <r>
      <rPr>
        <b val="true"/>
        <sz val="9"/>
        <color rgb="FFC00000"/>
        <rFont val="Arial"/>
        <family val="0"/>
        <charset val="1"/>
      </rPr>
      <t xml:space="preserve">NF (colunas K-Q): </t>
    </r>
    <r>
      <rPr>
        <sz val="9"/>
        <color rgb="FFC00000"/>
        <rFont val="Arial"/>
        <family val="0"/>
        <charset val="1"/>
      </rPr>
      <t xml:space="preserve">NF nº 2739 de 29/05/2024 – </t>
    </r>
    <r>
      <rPr>
        <strike val="true"/>
        <sz val="9"/>
        <color rgb="FFC00000"/>
        <rFont val="Arial"/>
        <family val="0"/>
        <charset val="1"/>
      </rPr>
      <t xml:space="preserve">Romão Tecnologias Industriais Ltda</t>
    </r>
    <r>
      <rPr>
        <sz val="9"/>
        <color rgb="FFC00000"/>
        <rFont val="Arial"/>
        <family val="0"/>
        <charset val="1"/>
      </rPr>
      <t xml:space="preserve"> (</t>
    </r>
    <r>
      <rPr>
        <strike val="true"/>
        <sz val="9"/>
        <color rgb="FFC00000"/>
        <rFont val="Arial"/>
        <family val="0"/>
        <charset val="1"/>
      </rPr>
      <t xml:space="preserve">02.807.845/0001-19</t>
    </r>
    <r>
      <rPr>
        <sz val="9"/>
        <color rgb="FFC00000"/>
        <rFont val="Arial"/>
        <family val="0"/>
        <charset val="1"/>
      </rPr>
      <t xml:space="preserve">) – valor comprovado R$ 601.341,12. </t>
    </r>
    <r>
      <rPr>
        <b val="true"/>
        <sz val="9"/>
        <color rgb="FF000000"/>
        <rFont val="Arial"/>
        <family val="0"/>
        <charset val="1"/>
      </rPr>
      <t xml:space="preserve">Atribuição: </t>
    </r>
    <r>
      <rPr>
        <sz val="9"/>
        <color rgb="FF000000"/>
        <rFont val="Arial"/>
        <family val="0"/>
        <charset val="1"/>
      </rPr>
      <t xml:space="preserve">NF única das 3 linhas. 
</t>
    </r>
    <r>
      <rPr>
        <b val="true"/>
        <sz val="9"/>
        <color rgb="FF000000"/>
        <rFont val="Arial"/>
        <family val="0"/>
        <charset val="1"/>
      </rPr>
      <t xml:space="preserve">Ficha (colunas E-J): Marca: </t>
    </r>
    <r>
      <rPr>
        <sz val="9"/>
        <color rgb="FF000000"/>
        <rFont val="Arial"/>
        <family val="0"/>
        <charset val="1"/>
      </rPr>
      <t xml:space="preserve">Romão. </t>
    </r>
    <r>
      <rPr>
        <b val="true"/>
        <sz val="9"/>
        <color rgb="FF000000"/>
        <rFont val="Arial"/>
        <family val="0"/>
        <charset val="1"/>
      </rPr>
      <t xml:space="preserve">Modelo: </t>
    </r>
    <r>
      <rPr>
        <sz val="9"/>
        <color rgb="FF000000"/>
        <rFont val="Arial"/>
        <family val="0"/>
        <charset val="1"/>
      </rPr>
      <t xml:space="preserve">E037. </t>
    </r>
    <r>
      <rPr>
        <b val="true"/>
        <sz val="9"/>
        <color rgb="FF00703C"/>
        <rFont val="Arial"/>
        <family val="0"/>
        <charset val="1"/>
      </rPr>
      <t xml:space="preserve">TAG/SAP: </t>
    </r>
    <r>
      <rPr>
        <sz val="9"/>
        <color rgb="FF00703C"/>
        <rFont val="Arial"/>
        <family val="0"/>
        <charset val="1"/>
      </rPr>
      <t xml:space="preserve">não consta na base SAP (seleção). 
</t>
    </r>
    <r>
      <rPr>
        <b val="true"/>
        <sz val="9"/>
        <color rgb="FF000000"/>
        <rFont val="Arial"/>
        <family val="0"/>
        <charset val="1"/>
      </rPr>
      <t xml:space="preserve">Obs. (coluna T): </t>
    </r>
    <r>
      <rPr>
        <sz val="9"/>
        <color rgb="FF000000"/>
        <rFont val="Arial"/>
        <family val="0"/>
        <charset val="1"/>
      </rPr>
      <t xml:space="preserve">Selos internos aos tanques: não verificáveis em vistoria externa (categoria C). O RT0538 os declara encontrados. Pedir certificado/data-book Romão por tanque. 
</t>
    </r>
    <r>
      <rPr>
        <b val="true"/>
        <sz val="9"/>
        <color rgb="FF002060"/>
        <rFont val="Arial"/>
        <family val="0"/>
        <charset val="1"/>
      </rPr>
      <t xml:space="preserve">Cotação OPE154: </t>
    </r>
    <r>
      <rPr>
        <sz val="9"/>
        <color rgb="FF002060"/>
        <rFont val="Arial"/>
        <family val="0"/>
        <charset val="1"/>
      </rPr>
      <t xml:space="preserve">Cotação ROMÃO Tecnologias Industriais nº 00638 (identidade 0171-23 Rev 04), 17/01/2024: selo flutuante tanque arm. E037 em alumínio – 2 un. 14,4 × 13,33 m a R$ 124.911,76 = R$ 249.823,52; 2 un. 9,60 × 11,45 m a R$ 88.529,41 = R$ 177.058,82; 2 un. 9,6 × 7,63 m a R$ 60.029,41 = R$ 120.058,82 (subtotal selos R$ 546.941,16 = linhas 15 + 16 + 17); + supervisão de montagem de selo R$ 109.200,00 + serviço de frete R$ 101.183,92 = total R$ 757.325,08; IPI 0 %, ICMS 5,14 % incluso (TO, Convênio 52/91); Finame selo 03967780; prazo 60 dias; CIF; garantia 5 anos após a NF com montagem feita pela Romão (12/18 meses se a montagem for de terceiros); montagem de 6 selos estimada em 60 dias com equipe de 5. Correlato: cotação SOLO Engenharia 158.2023 Rev.07 (02/02/2024) – montagem de tanques e selo flutuante, R$ 17.561.000,00, 240 dias (serviço; itens 2.3.6 "selo flutuante"). 
</t>
    </r>
    <r>
      <rPr>
        <b val="true"/>
        <sz val="9"/>
        <color rgb="FF7030A0"/>
        <rFont val="Arial"/>
        <family val="0"/>
        <charset val="1"/>
      </rPr>
      <t xml:space="preserve">Novo v2 (achados / correções / proposições): </t>
    </r>
    <r>
      <rPr>
        <sz val="9"/>
        <color rgb="FF7030A0"/>
        <rFont val="Arial"/>
        <family val="0"/>
        <charset val="1"/>
      </rPr>
      <t xml:space="preserve">A cotação Romão fecha exatamente com as três linhas (R$ 546.941,16) e com o Finame 03967780; a NF 2739 (R$ 601.341,12) excede os selos em R$ 54.399,96, valor que NÃO corresponde ao frete (R$ 101.183,92) nem à supervisão (R$ 109.200,00) da proposta – pedir a NF 2739 detalhada. A montagem dos selos foi cotada também pela Solo Engenharia (serviço de montagem de tanques e selo flutuante, R$ 17.561.000,00): se a montagem foi da Solo e não da Romão, a garantia do selo cai de 5 anos para 12/18 meses. Contexto: selo flutuante interno tipo película em alumínio (modelo E037 = projeto Romão) para tanques de teto fixo, reduz perdas por evaporação; não verificável em vistoria externa. Para o relatório fotográfico: usar as placas SOLO dos tanques (dimensões = selo) e pedir à Romão/Ultracargo fotos internas ou data-book. 
Subconjuntos: 15, 16 e 17 – ver as células únicas próprias. </t>
    </r>
  </si>
  <si>
    <t xml:space="preserve">15</t>
  </si>
  <si>
    <t xml:space="preserve">Selos flutuantes – TQ-3103 e TQ-3104 (gasolina A, 1.700 m³)</t>
  </si>
  <si>
    <r>
      <rPr>
        <b val="true"/>
        <sz val="9"/>
        <color rgb="FF000000"/>
        <rFont val="Arial"/>
        <family val="0"/>
        <charset val="1"/>
      </rPr>
      <t xml:space="preserve">Crítica: </t>
    </r>
    <r>
      <rPr>
        <sz val="9"/>
        <color rgb="FF000000"/>
        <rFont val="Arial"/>
        <family val="0"/>
        <charset val="1"/>
      </rPr>
      <t xml:space="preserve">Selo flutuante tanque arm. E037 – aplicação tanque de armazenamento, material alumínio, projeto/modelo E037, altura 14,4 m, diâmetro 13,33 m – 2 un. × R$ 124.911,76 = R$ 249.823,52; fornecedor Romão Tecnologias Industriais Ltda.; Finame 03967780.NF: NF 2739 (Romão, 29/05/2024) – ver grupo 15-17.SAP: não consta na base SAP (seleção).</t>
    </r>
  </si>
  <si>
    <t xml:space="preserve">E037, alumínio</t>
  </si>
  <si>
    <t xml:space="preserve">altura 14,4 m, diâmetro 13,33 m</t>
  </si>
  <si>
    <t xml:space="preserve">sem placa (interno ao tanque)</t>
  </si>
  <si>
    <t xml:space="preserve">não verificável</t>
  </si>
  <si>
    <t xml:space="preserve">ver grupo 15-17</t>
  </si>
  <si>
    <t xml:space="preserve">Não verificável em campo. Coerência dimensional com as placas dos tanques: As placas SOLO de TQ-3103 e TQ-3104 trazem altura 14.400 mm e diâmetro 13.330 mm = dimensões do selo (14,4 × 13,33 m). Correspondência exata para 2 tanques.</t>
  </si>
  <si>
    <t xml:space="preserve">placas dos tanques (CARACTERIZAÇÃO v4)</t>
  </si>
  <si>
    <t xml:space="preserve">Cotação ROMÃO 00638 Rev 04 (17/01/2024): selo E037 alumínio, altura 14,4 m, diâmetro 13,33 m, 2 un. × R$ 124.911,76 = R$ 249.823,52 (= linha 15); Finame 03967780.</t>
  </si>
  <si>
    <t xml:space="preserve">Cotação = crítica. Correspondência dimensional já comprovada com as placas dos tanques TQ-3103/3104 (14.400 × 13.330 mm).</t>
  </si>
  <si>
    <r>
      <rPr>
        <b val="true"/>
        <sz val="9"/>
        <color rgb="FF000000"/>
        <rFont val="Arial"/>
        <family val="0"/>
        <charset val="1"/>
      </rPr>
      <t xml:space="preserve">LINHA 15 – Selos flutuantes – TQ-3103 e TQ-3104 (gasolina A, 1.700 m³) [CONJUNTO]
Crítica: </t>
    </r>
    <r>
      <rPr>
        <sz val="9"/>
        <color rgb="FF000000"/>
        <rFont val="Arial"/>
        <family val="0"/>
        <charset val="1"/>
      </rPr>
      <t xml:space="preserve">Selo flutuante tanque arm. E037 – aplicação tanque de armazenamento, material alumínio, projeto/modelo E037, altura 14,4 m, diâmetro 13,33 m – 2 un. × R$ 124.911,76 = R$ 249.823,52; fornecedor Romão Tecnologias Industriais Ltda.; Finame 03967780. </t>
    </r>
    <r>
      <rPr>
        <b val="true"/>
        <sz val="9"/>
        <color rgb="FFC00000"/>
        <rFont val="Arial"/>
        <family val="0"/>
        <charset val="1"/>
      </rPr>
      <t xml:space="preserve">NF: </t>
    </r>
    <r>
      <rPr>
        <sz val="9"/>
        <color rgb="FFC00000"/>
        <rFont val="Arial"/>
        <family val="0"/>
        <charset val="1"/>
      </rPr>
      <t xml:space="preserve">NF 2739 (Romão, 29/05/2024) – ver grupo 15-17. </t>
    </r>
    <r>
      <rPr>
        <b val="true"/>
        <sz val="9"/>
        <color rgb="FF00703C"/>
        <rFont val="Arial"/>
        <family val="0"/>
        <charset val="1"/>
      </rPr>
      <t xml:space="preserve">SAP: </t>
    </r>
    <r>
      <rPr>
        <sz val="9"/>
        <color rgb="FF00703C"/>
        <rFont val="Arial"/>
        <family val="0"/>
        <charset val="1"/>
      </rPr>
      <t xml:space="preserve">não consta na base SAP (seleção). 
</t>
    </r>
    <r>
      <rPr>
        <b val="true"/>
        <sz val="9"/>
        <color rgb="FFC00000"/>
        <rFont val="Arial"/>
        <family val="0"/>
        <charset val="1"/>
      </rPr>
      <t xml:space="preserve">NF (colunas K-Q): </t>
    </r>
    <r>
      <rPr>
        <sz val="9"/>
        <color rgb="FFC00000"/>
        <rFont val="Arial"/>
        <family val="0"/>
        <charset val="1"/>
      </rPr>
      <t xml:space="preserve">NF nº 2739 de 29/05/2024 – </t>
    </r>
    <r>
      <rPr>
        <strike val="true"/>
        <sz val="9"/>
        <color rgb="FFC00000"/>
        <rFont val="Arial"/>
        <family val="0"/>
        <charset val="1"/>
      </rPr>
      <t xml:space="preserve">Romão Tecnologias Industriais Ltda</t>
    </r>
    <r>
      <rPr>
        <sz val="9"/>
        <color rgb="FFC00000"/>
        <rFont val="Arial"/>
        <family val="0"/>
        <charset val="1"/>
      </rPr>
      <t xml:space="preserve"> (02.807.845/0001-19). </t>
    </r>
    <r>
      <rPr>
        <b val="true"/>
        <sz val="9"/>
        <color rgb="FF000000"/>
        <rFont val="Arial"/>
        <family val="0"/>
        <charset val="1"/>
      </rPr>
      <t xml:space="preserve">Atribuição: </t>
    </r>
    <r>
      <rPr>
        <strike val="true"/>
        <sz val="9"/>
        <color rgb="FF000000"/>
        <rFont val="Arial"/>
        <family val="0"/>
        <charset val="1"/>
      </rPr>
      <t xml:space="preserve">ver grupo 15-17</t>
    </r>
    <r>
      <rPr>
        <sz val="9"/>
        <color rgb="FF000000"/>
        <rFont val="Arial"/>
        <family val="0"/>
        <charset val="1"/>
      </rPr>
      <t xml:space="preserve">. </t>
    </r>
    <r>
      <rPr>
        <b val="true"/>
        <sz val="9"/>
        <color rgb="FF000000"/>
        <rFont val="Arial"/>
        <family val="0"/>
        <charset val="1"/>
      </rPr>
      <t xml:space="preserve">Crítica (colunas N-P): </t>
    </r>
    <r>
      <rPr>
        <sz val="9"/>
        <color rgb="FF000000"/>
        <rFont val="Arial"/>
        <family val="0"/>
        <charset val="1"/>
      </rPr>
      <t xml:space="preserve">qtd 2, unitário R$ 124.911,76, total R$ 249.823,52. 
</t>
    </r>
    <r>
      <rPr>
        <b val="true"/>
        <sz val="9"/>
        <color rgb="FF000000"/>
        <rFont val="Arial"/>
        <family val="0"/>
        <charset val="1"/>
      </rPr>
      <t xml:space="preserve">Ficha (colunas E-J): Marca: </t>
    </r>
    <r>
      <rPr>
        <sz val="9"/>
        <color rgb="FF000000"/>
        <rFont val="Arial"/>
        <family val="0"/>
        <charset val="1"/>
      </rPr>
      <t xml:space="preserve">Romão. </t>
    </r>
    <r>
      <rPr>
        <b val="true"/>
        <sz val="9"/>
        <color rgb="FF000000"/>
        <rFont val="Arial"/>
        <family val="0"/>
        <charset val="1"/>
      </rPr>
      <t xml:space="preserve">Modelo: </t>
    </r>
    <r>
      <rPr>
        <sz val="9"/>
        <color rgb="FF000000"/>
        <rFont val="Arial"/>
        <family val="0"/>
        <charset val="1"/>
      </rPr>
      <t xml:space="preserve">E037, alumínio. </t>
    </r>
    <r>
      <rPr>
        <b val="true"/>
        <sz val="9"/>
        <color rgb="FF000000"/>
        <rFont val="Arial"/>
        <family val="0"/>
        <charset val="1"/>
      </rPr>
      <t xml:space="preserve">Capacidade: </t>
    </r>
    <r>
      <rPr>
        <sz val="9"/>
        <color rgb="FF000000"/>
        <rFont val="Arial"/>
        <family val="0"/>
        <charset val="1"/>
      </rPr>
      <t xml:space="preserve">altura 14,4 m, diâmetro 13,33 m. </t>
    </r>
    <r>
      <rPr>
        <b val="true"/>
        <sz val="9"/>
        <color rgb="FF1F4E9A"/>
        <rFont val="Arial"/>
        <family val="0"/>
        <charset val="1"/>
      </rPr>
      <t xml:space="preserve">Série/OP: </t>
    </r>
    <r>
      <rPr>
        <sz val="9"/>
        <color rgb="FF1F4E9A"/>
        <rFont val="Arial"/>
        <family val="0"/>
        <charset val="1"/>
      </rPr>
      <t xml:space="preserve">sem placa (interno ao tanque). </t>
    </r>
    <r>
      <rPr>
        <b val="true"/>
        <sz val="9"/>
        <color rgb="FF00703C"/>
        <rFont val="Arial"/>
        <family val="0"/>
        <charset val="1"/>
      </rPr>
      <t xml:space="preserve">TAG/SAP: </t>
    </r>
    <r>
      <rPr>
        <strike val="true"/>
        <sz val="9"/>
        <color rgb="FF00703C"/>
        <rFont val="Arial"/>
        <family val="0"/>
        <charset val="1"/>
      </rPr>
      <t xml:space="preserve">não consta na base SAP (seleção)</t>
    </r>
    <r>
      <rPr>
        <sz val="9"/>
        <color rgb="FF00703C"/>
        <rFont val="Arial"/>
        <family val="0"/>
        <charset val="1"/>
      </rPr>
      <t xml:space="preserve">. </t>
    </r>
    <r>
      <rPr>
        <b val="true"/>
        <sz val="9"/>
        <color rgb="FF1F4E9A"/>
        <rFont val="Arial"/>
        <family val="0"/>
        <charset val="1"/>
      </rPr>
      <t xml:space="preserve">Fabricação: </t>
    </r>
    <r>
      <rPr>
        <sz val="9"/>
        <color rgb="FF1F4E9A"/>
        <rFont val="Arial"/>
        <family val="0"/>
        <charset val="1"/>
      </rPr>
      <t xml:space="preserve">não verificável. 
</t>
    </r>
    <r>
      <rPr>
        <b val="true"/>
        <sz val="9"/>
        <color rgb="FF000000"/>
        <rFont val="Arial"/>
        <family val="0"/>
        <charset val="1"/>
      </rPr>
      <t xml:space="preserve">Obs. (coluna T): </t>
    </r>
    <r>
      <rPr>
        <sz val="9"/>
        <color rgb="FF000000"/>
        <rFont val="Arial"/>
        <family val="0"/>
        <charset val="1"/>
      </rPr>
      <t xml:space="preserve">Não verificável em campo. Coerência dimensional com as placas dos tanques: As placas SOLO de </t>
    </r>
    <r>
      <rPr>
        <strike val="true"/>
        <sz val="9"/>
        <color rgb="FF000000"/>
        <rFont val="Arial"/>
        <family val="0"/>
        <charset val="1"/>
      </rPr>
      <t xml:space="preserve">TQ-3103</t>
    </r>
    <r>
      <rPr>
        <sz val="9"/>
        <color rgb="FF000000"/>
        <rFont val="Arial"/>
        <family val="0"/>
        <charset val="1"/>
      </rPr>
      <t xml:space="preserve"> e </t>
    </r>
    <r>
      <rPr>
        <strike val="true"/>
        <sz val="9"/>
        <color rgb="FF000000"/>
        <rFont val="Arial"/>
        <family val="0"/>
        <charset val="1"/>
      </rPr>
      <t xml:space="preserve">TQ-3104</t>
    </r>
    <r>
      <rPr>
        <sz val="9"/>
        <color rgb="FF000000"/>
        <rFont val="Arial"/>
        <family val="0"/>
        <charset val="1"/>
      </rPr>
      <t xml:space="preserve"> trazem altura 14.400 mm e diâmetro 13.330 mm = dimensões do selo (14,4 × 13,33 m). Correspondência exata para 2 tanques. </t>
    </r>
    <r>
      <rPr>
        <b val="true"/>
        <sz val="9"/>
        <color rgb="FF000000"/>
        <rFont val="Arial"/>
        <family val="0"/>
        <charset val="1"/>
      </rPr>
      <t xml:space="preserve">Fotos (coluna U): </t>
    </r>
    <r>
      <rPr>
        <sz val="9"/>
        <color rgb="FF000000"/>
        <rFont val="Arial"/>
        <family val="0"/>
        <charset val="1"/>
      </rPr>
      <t xml:space="preserve">placas dos tanques (CARACTERIZAÇÃO v4). 
</t>
    </r>
    <r>
      <rPr>
        <b val="true"/>
        <sz val="9"/>
        <color rgb="FF002060"/>
        <rFont val="Arial"/>
        <family val="0"/>
        <charset val="1"/>
      </rPr>
      <t xml:space="preserve">Cotação OPE154: </t>
    </r>
    <r>
      <rPr>
        <sz val="9"/>
        <color rgb="FF002060"/>
        <rFont val="Arial"/>
        <family val="0"/>
        <charset val="1"/>
      </rPr>
      <t xml:space="preserve">Cotação ROMÃO 00638 Rev 04 (17/01/2024): selo E037 alumínio, altura 14,4 m, diâmetro 13,33 m, 2 un. × R$ 124.911,76 = R$ 249.823,52 (= linha 15); Finame 03967780. 
</t>
    </r>
    <r>
      <rPr>
        <b val="true"/>
        <sz val="9"/>
        <color rgb="FF7030A0"/>
        <rFont val="Arial"/>
        <family val="0"/>
        <charset val="1"/>
      </rPr>
      <t xml:space="preserve">Novo v2 (achados / correções / proposições): </t>
    </r>
    <r>
      <rPr>
        <sz val="9"/>
        <color rgb="FF7030A0"/>
        <rFont val="Arial"/>
        <family val="0"/>
        <charset val="1"/>
      </rPr>
      <t xml:space="preserve">Cotação = crítica. Correspondência dimensional já comprovada com as placas dos tanques TQ-3103/3104 (14.400 × 13.330 mm). </t>
    </r>
  </si>
  <si>
    <t xml:space="preserve">16</t>
  </si>
  <si>
    <t xml:space="preserve">Selos flutuantes – TQ-3109 e TQ-3110 (etanol anidro, 800 m³)</t>
  </si>
  <si>
    <r>
      <rPr>
        <b val="true"/>
        <sz val="9"/>
        <color rgb="FF000000"/>
        <rFont val="Arial"/>
        <family val="0"/>
        <charset val="1"/>
      </rPr>
      <t xml:space="preserve">Crítica: </t>
    </r>
    <r>
      <rPr>
        <sz val="9"/>
        <color rgb="FF000000"/>
        <rFont val="Arial"/>
        <family val="0"/>
        <charset val="1"/>
      </rPr>
      <t xml:space="preserve">Selo flutuante tanque arm. E037 – aplicação tanque de armazenamento, material alumínio, projeto/modelo E037, altura 9,60 m, diâmetro 11,45 m – 2 un. × R$ 88.529,41 = R$ 177.058,82; fornecedor Romão Tecnologias Industriais Ltda.; Finame 03967780.NF: NF 2739 (Romão, 29/05/2024) – ver grupo 15-17.SAP: não consta na base SAP (seleção).</t>
    </r>
  </si>
  <si>
    <t xml:space="preserve">altura 9,60 m, diâmetro 11,45 m</t>
  </si>
  <si>
    <t xml:space="preserve">Não verificável em campo. Coerência dimensional com as placas dos tanques: Placas: TQ-3109 H 9.600 / D 11.450 mm e TQ-3110 H 9.600 / D 11.430 mm = selo 9,60 × 11,45 m (2 tanques; 20 mm de diferença entre as placas).</t>
  </si>
  <si>
    <t xml:space="preserve">Cotação ROMÃO 00638 Rev 04 (17/01/2024): selo E037 alumínio, altura 9,60 m, diâmetro 11,45 m, 2 un. × R$ 88.529,41 = R$ 177.058,82 (= linha 16); Finame 03967780.</t>
  </si>
  <si>
    <t xml:space="preserve">Cotação = crítica. TQ-3109 (D 11.450) e TQ-3110 (D 11.430): 20 mm de diferença entre placas, selo único de 11,45 m.</t>
  </si>
  <si>
    <r>
      <rPr>
        <b val="true"/>
        <sz val="9"/>
        <color rgb="FF000000"/>
        <rFont val="Arial"/>
        <family val="0"/>
        <charset val="1"/>
      </rPr>
      <t xml:space="preserve">LINHA 16 – Selos flutuantes – TQ-3109 e TQ-3110 (etanol anidro, 800 m³) [CONJUNTO]
Crítica: </t>
    </r>
    <r>
      <rPr>
        <sz val="9"/>
        <color rgb="FF000000"/>
        <rFont val="Arial"/>
        <family val="0"/>
        <charset val="1"/>
      </rPr>
      <t xml:space="preserve">Selo flutuante tanque arm. E037 – aplicação tanque de armazenamento, material alumínio, projeto/modelo E037, altura 9,60 m, diâmetro 11,45 m – 2 un. × R$ 88.529,41 = R$ 177.058,82; fornecedor Romão Tecnologias Industriais Ltda.; Finame 03967780. </t>
    </r>
    <r>
      <rPr>
        <b val="true"/>
        <sz val="9"/>
        <color rgb="FFC00000"/>
        <rFont val="Arial"/>
        <family val="0"/>
        <charset val="1"/>
      </rPr>
      <t xml:space="preserve">NF: </t>
    </r>
    <r>
      <rPr>
        <sz val="9"/>
        <color rgb="FFC00000"/>
        <rFont val="Arial"/>
        <family val="0"/>
        <charset val="1"/>
      </rPr>
      <t xml:space="preserve">NF 2739 (Romão, 29/05/2024) – ver grupo 15-17. </t>
    </r>
    <r>
      <rPr>
        <b val="true"/>
        <sz val="9"/>
        <color rgb="FF00703C"/>
        <rFont val="Arial"/>
        <family val="0"/>
        <charset val="1"/>
      </rPr>
      <t xml:space="preserve">SAP: </t>
    </r>
    <r>
      <rPr>
        <sz val="9"/>
        <color rgb="FF00703C"/>
        <rFont val="Arial"/>
        <family val="0"/>
        <charset val="1"/>
      </rPr>
      <t xml:space="preserve">não consta na base SAP (seleção). 
</t>
    </r>
    <r>
      <rPr>
        <b val="true"/>
        <sz val="9"/>
        <color rgb="FFC00000"/>
        <rFont val="Arial"/>
        <family val="0"/>
        <charset val="1"/>
      </rPr>
      <t xml:space="preserve">NF (colunas K-Q): </t>
    </r>
    <r>
      <rPr>
        <sz val="9"/>
        <color rgb="FFC00000"/>
        <rFont val="Arial"/>
        <family val="0"/>
        <charset val="1"/>
      </rPr>
      <t xml:space="preserve">NF nº 2739 de 29/05/2024 – </t>
    </r>
    <r>
      <rPr>
        <strike val="true"/>
        <sz val="9"/>
        <color rgb="FFC00000"/>
        <rFont val="Arial"/>
        <family val="0"/>
        <charset val="1"/>
      </rPr>
      <t xml:space="preserve">Romão Tecnologias Industriais Ltda</t>
    </r>
    <r>
      <rPr>
        <sz val="9"/>
        <color rgb="FFC00000"/>
        <rFont val="Arial"/>
        <family val="0"/>
        <charset val="1"/>
      </rPr>
      <t xml:space="preserve"> (02.807.845/0001-19). </t>
    </r>
    <r>
      <rPr>
        <b val="true"/>
        <sz val="9"/>
        <color rgb="FF000000"/>
        <rFont val="Arial"/>
        <family val="0"/>
        <charset val="1"/>
      </rPr>
      <t xml:space="preserve">Atribuição: </t>
    </r>
    <r>
      <rPr>
        <strike val="true"/>
        <sz val="9"/>
        <color rgb="FF000000"/>
        <rFont val="Arial"/>
        <family val="0"/>
        <charset val="1"/>
      </rPr>
      <t xml:space="preserve">ver grupo 15-17</t>
    </r>
    <r>
      <rPr>
        <sz val="9"/>
        <color rgb="FF000000"/>
        <rFont val="Arial"/>
        <family val="0"/>
        <charset val="1"/>
      </rPr>
      <t xml:space="preserve">. </t>
    </r>
    <r>
      <rPr>
        <b val="true"/>
        <sz val="9"/>
        <color rgb="FF000000"/>
        <rFont val="Arial"/>
        <family val="0"/>
        <charset val="1"/>
      </rPr>
      <t xml:space="preserve">Crítica (colunas N-P): </t>
    </r>
    <r>
      <rPr>
        <sz val="9"/>
        <color rgb="FF000000"/>
        <rFont val="Arial"/>
        <family val="0"/>
        <charset val="1"/>
      </rPr>
      <t xml:space="preserve">qtd 2, unitário R$ 88.529,41, total R$ 177.058,82. 
</t>
    </r>
    <r>
      <rPr>
        <b val="true"/>
        <sz val="9"/>
        <color rgb="FF000000"/>
        <rFont val="Arial"/>
        <family val="0"/>
        <charset val="1"/>
      </rPr>
      <t xml:space="preserve">Ficha (colunas E-J): Marca: </t>
    </r>
    <r>
      <rPr>
        <sz val="9"/>
        <color rgb="FF000000"/>
        <rFont val="Arial"/>
        <family val="0"/>
        <charset val="1"/>
      </rPr>
      <t xml:space="preserve">Romão. </t>
    </r>
    <r>
      <rPr>
        <b val="true"/>
        <sz val="9"/>
        <color rgb="FF000000"/>
        <rFont val="Arial"/>
        <family val="0"/>
        <charset val="1"/>
      </rPr>
      <t xml:space="preserve">Modelo: </t>
    </r>
    <r>
      <rPr>
        <sz val="9"/>
        <color rgb="FF000000"/>
        <rFont val="Arial"/>
        <family val="0"/>
        <charset val="1"/>
      </rPr>
      <t xml:space="preserve">E037, alumínio. </t>
    </r>
    <r>
      <rPr>
        <b val="true"/>
        <sz val="9"/>
        <color rgb="FF000000"/>
        <rFont val="Arial"/>
        <family val="0"/>
        <charset val="1"/>
      </rPr>
      <t xml:space="preserve">Capacidade: </t>
    </r>
    <r>
      <rPr>
        <sz val="9"/>
        <color rgb="FF000000"/>
        <rFont val="Arial"/>
        <family val="0"/>
        <charset val="1"/>
      </rPr>
      <t xml:space="preserve">altura 9,60 m, diâmetro 11,45 m. </t>
    </r>
    <r>
      <rPr>
        <b val="true"/>
        <sz val="9"/>
        <color rgb="FF1F4E9A"/>
        <rFont val="Arial"/>
        <family val="0"/>
        <charset val="1"/>
      </rPr>
      <t xml:space="preserve">Série/OP: </t>
    </r>
    <r>
      <rPr>
        <sz val="9"/>
        <color rgb="FF1F4E9A"/>
        <rFont val="Arial"/>
        <family val="0"/>
        <charset val="1"/>
      </rPr>
      <t xml:space="preserve">sem placa (interno ao tanque). </t>
    </r>
    <r>
      <rPr>
        <b val="true"/>
        <sz val="9"/>
        <color rgb="FF00703C"/>
        <rFont val="Arial"/>
        <family val="0"/>
        <charset val="1"/>
      </rPr>
      <t xml:space="preserve">TAG/SAP: </t>
    </r>
    <r>
      <rPr>
        <strike val="true"/>
        <sz val="9"/>
        <color rgb="FF00703C"/>
        <rFont val="Arial"/>
        <family val="0"/>
        <charset val="1"/>
      </rPr>
      <t xml:space="preserve">não consta na base SAP (seleção)</t>
    </r>
    <r>
      <rPr>
        <sz val="9"/>
        <color rgb="FF00703C"/>
        <rFont val="Arial"/>
        <family val="0"/>
        <charset val="1"/>
      </rPr>
      <t xml:space="preserve">. </t>
    </r>
    <r>
      <rPr>
        <b val="true"/>
        <sz val="9"/>
        <color rgb="FF1F4E9A"/>
        <rFont val="Arial"/>
        <family val="0"/>
        <charset val="1"/>
      </rPr>
      <t xml:space="preserve">Fabricação: </t>
    </r>
    <r>
      <rPr>
        <sz val="9"/>
        <color rgb="FF1F4E9A"/>
        <rFont val="Arial"/>
        <family val="0"/>
        <charset val="1"/>
      </rPr>
      <t xml:space="preserve">não verificável. 
</t>
    </r>
    <r>
      <rPr>
        <b val="true"/>
        <sz val="9"/>
        <color rgb="FF000000"/>
        <rFont val="Arial"/>
        <family val="0"/>
        <charset val="1"/>
      </rPr>
      <t xml:space="preserve">Obs. (coluna T): </t>
    </r>
    <r>
      <rPr>
        <sz val="9"/>
        <color rgb="FF000000"/>
        <rFont val="Arial"/>
        <family val="0"/>
        <charset val="1"/>
      </rPr>
      <t xml:space="preserve">Não verificável em campo. Coerência dimensional com as placas dos tanques: Placas: </t>
    </r>
    <r>
      <rPr>
        <strike val="true"/>
        <sz val="9"/>
        <color rgb="FF000000"/>
        <rFont val="Arial"/>
        <family val="0"/>
        <charset val="1"/>
      </rPr>
      <t xml:space="preserve">TQ-3109</t>
    </r>
    <r>
      <rPr>
        <sz val="9"/>
        <color rgb="FF000000"/>
        <rFont val="Arial"/>
        <family val="0"/>
        <charset val="1"/>
      </rPr>
      <t xml:space="preserve"> H 9.600 / D 11.450 mm e </t>
    </r>
    <r>
      <rPr>
        <strike val="true"/>
        <sz val="9"/>
        <color rgb="FF000000"/>
        <rFont val="Arial"/>
        <family val="0"/>
        <charset val="1"/>
      </rPr>
      <t xml:space="preserve">TQ-3110</t>
    </r>
    <r>
      <rPr>
        <sz val="9"/>
        <color rgb="FF000000"/>
        <rFont val="Arial"/>
        <family val="0"/>
        <charset val="1"/>
      </rPr>
      <t xml:space="preserve"> H 9.600 / D 11.430 mm = selo 9,60 × 11,45 m (2 tanques; 20 mm de diferença entre as placas). </t>
    </r>
    <r>
      <rPr>
        <b val="true"/>
        <sz val="9"/>
        <color rgb="FF000000"/>
        <rFont val="Arial"/>
        <family val="0"/>
        <charset val="1"/>
      </rPr>
      <t xml:space="preserve">Fotos (coluna U): </t>
    </r>
    <r>
      <rPr>
        <sz val="9"/>
        <color rgb="FF000000"/>
        <rFont val="Arial"/>
        <family val="0"/>
        <charset val="1"/>
      </rPr>
      <t xml:space="preserve">placas dos tanques (CARACTERIZAÇÃO v4). 
</t>
    </r>
    <r>
      <rPr>
        <b val="true"/>
        <sz val="9"/>
        <color rgb="FF002060"/>
        <rFont val="Arial"/>
        <family val="0"/>
        <charset val="1"/>
      </rPr>
      <t xml:space="preserve">Cotação OPE154: </t>
    </r>
    <r>
      <rPr>
        <sz val="9"/>
        <color rgb="FF002060"/>
        <rFont val="Arial"/>
        <family val="0"/>
        <charset val="1"/>
      </rPr>
      <t xml:space="preserve">Cotação ROMÃO 00638 Rev 04 (17/01/2024): selo E037 alumínio, altura 9,60 m, diâmetro 11,45 m, 2 un. × R$ 88.529,41 = R$ 177.058,82 (= linha 16); Finame 03967780. 
</t>
    </r>
    <r>
      <rPr>
        <b val="true"/>
        <sz val="9"/>
        <color rgb="FF7030A0"/>
        <rFont val="Arial"/>
        <family val="0"/>
        <charset val="1"/>
      </rPr>
      <t xml:space="preserve">Novo v2 (achados / correções / proposições): </t>
    </r>
    <r>
      <rPr>
        <sz val="9"/>
        <color rgb="FF7030A0"/>
        <rFont val="Arial"/>
        <family val="0"/>
        <charset val="1"/>
      </rPr>
      <t xml:space="preserve">Cotação = crítica. TQ-3109 (D 11.450) e TQ-3110 (D 11.430): 20 mm de diferença entre placas, selo único de 11,45 m. </t>
    </r>
  </si>
  <si>
    <t xml:space="preserve">17</t>
  </si>
  <si>
    <t xml:space="preserve">Selos flutuantes – 2 dos 3 tanques TQ-3111/3112/3113 (etanol hidratado, 300 m³)</t>
  </si>
  <si>
    <r>
      <rPr>
        <b val="true"/>
        <sz val="9"/>
        <color rgb="FF000000"/>
        <rFont val="Arial"/>
        <family val="0"/>
        <charset val="1"/>
      </rPr>
      <t xml:space="preserve">Crítica: </t>
    </r>
    <r>
      <rPr>
        <sz val="9"/>
        <color rgb="FF000000"/>
        <rFont val="Arial"/>
        <family val="0"/>
        <charset val="1"/>
      </rPr>
      <t xml:space="preserve">Selo flutuante tanque arm. E037 – aplicação tanque de armazenamento, material alumínio, projeto/modelo E037, altura 9,6 m, diâmetro 7,63 m – 2 un. × R$ 60.029,41 = R$ 120.058,82; fornecedor Romão Tecnologias Industriais Ltda.; Finame 03967780.NF: NF 2739 (Romão, 29/05/2024) – ver grupo 15-17.SAP: não consta na base SAP (seleção).</t>
    </r>
  </si>
  <si>
    <t xml:space="preserve">altura 9,6 m, diâmetro 7,63 m</t>
  </si>
  <si>
    <t xml:space="preserve">Não verificável em campo. Coerência dimensional com as placas dos tanques: Placas: TQ-3111 e TQ-3113 H 9.600 / D 7.630 mm = selo 9,6 × 7,63 m; TQ-3112 tem H 8.600 mm. São 3 tanques com D 7,63 m para 2 selos – qual tanque ficou sem selo não está documentado.</t>
  </si>
  <si>
    <t xml:space="preserve">Cotação ROMÃO 00638 Rev 04 (17/01/2024): selo E037 alumínio, altura 9,6 m, diâmetro 7,63 m, 2 un. × R$ 60.029,41 = R$ 120.058,82 (= linha 17); Finame 03967780.</t>
  </si>
  <si>
    <t xml:space="preserve">Cotação = crítica. Permanece indeterminado qual dos 3 tanques de D 7,63 m (TQ-3111/3112/3113) ficou sem selo; TQ-3112 tem altura diferente (8.600 mm) – indício de que os 2 selos de 9,6 m são de TQ-3111 e TQ-3113.</t>
  </si>
  <si>
    <r>
      <rPr>
        <b val="true"/>
        <sz val="9"/>
        <color rgb="FF000000"/>
        <rFont val="Arial"/>
        <family val="0"/>
        <charset val="1"/>
      </rPr>
      <t xml:space="preserve">LINHA 17 – Selos flutuantes – 2 dos 3 tanques TQ-3111/3112/3113 (etanol hidratado, 300 m³) [CONJUNTO]
Crítica: </t>
    </r>
    <r>
      <rPr>
        <sz val="9"/>
        <color rgb="FF000000"/>
        <rFont val="Arial"/>
        <family val="0"/>
        <charset val="1"/>
      </rPr>
      <t xml:space="preserve">Selo flutuante tanque arm. E037 – aplicação tanque de armazenamento, material alumínio, projeto/modelo E037, altura 9,6 m, diâmetro 7,63 m – 2 un. × R$ 60.029,41 = R$ 120.058,82; fornecedor Romão Tecnologias Industriais Ltda.; Finame 03967780. </t>
    </r>
    <r>
      <rPr>
        <b val="true"/>
        <sz val="9"/>
        <color rgb="FFC00000"/>
        <rFont val="Arial"/>
        <family val="0"/>
        <charset val="1"/>
      </rPr>
      <t xml:space="preserve">NF: </t>
    </r>
    <r>
      <rPr>
        <sz val="9"/>
        <color rgb="FFC00000"/>
        <rFont val="Arial"/>
        <family val="0"/>
        <charset val="1"/>
      </rPr>
      <t xml:space="preserve">NF 2739 (Romão, 29/05/2024) – ver grupo 15-17. </t>
    </r>
    <r>
      <rPr>
        <b val="true"/>
        <sz val="9"/>
        <color rgb="FF00703C"/>
        <rFont val="Arial"/>
        <family val="0"/>
        <charset val="1"/>
      </rPr>
      <t xml:space="preserve">SAP: </t>
    </r>
    <r>
      <rPr>
        <sz val="9"/>
        <color rgb="FF00703C"/>
        <rFont val="Arial"/>
        <family val="0"/>
        <charset val="1"/>
      </rPr>
      <t xml:space="preserve">não consta na base SAP (seleção). 
</t>
    </r>
    <r>
      <rPr>
        <b val="true"/>
        <sz val="9"/>
        <color rgb="FFC00000"/>
        <rFont val="Arial"/>
        <family val="0"/>
        <charset val="1"/>
      </rPr>
      <t xml:space="preserve">NF (colunas K-Q): </t>
    </r>
    <r>
      <rPr>
        <sz val="9"/>
        <color rgb="FFC00000"/>
        <rFont val="Arial"/>
        <family val="0"/>
        <charset val="1"/>
      </rPr>
      <t xml:space="preserve">NF nº 2739 de 29/05/2024 – </t>
    </r>
    <r>
      <rPr>
        <strike val="true"/>
        <sz val="9"/>
        <color rgb="FFC00000"/>
        <rFont val="Arial"/>
        <family val="0"/>
        <charset val="1"/>
      </rPr>
      <t xml:space="preserve">Romão Tecnologias Industriais Ltda</t>
    </r>
    <r>
      <rPr>
        <sz val="9"/>
        <color rgb="FFC00000"/>
        <rFont val="Arial"/>
        <family val="0"/>
        <charset val="1"/>
      </rPr>
      <t xml:space="preserve"> (02.807.845/0001-19). </t>
    </r>
    <r>
      <rPr>
        <b val="true"/>
        <sz val="9"/>
        <color rgb="FF000000"/>
        <rFont val="Arial"/>
        <family val="0"/>
        <charset val="1"/>
      </rPr>
      <t xml:space="preserve">Atribuição: </t>
    </r>
    <r>
      <rPr>
        <strike val="true"/>
        <sz val="9"/>
        <color rgb="FF000000"/>
        <rFont val="Arial"/>
        <family val="0"/>
        <charset val="1"/>
      </rPr>
      <t xml:space="preserve">ver grupo 15-17</t>
    </r>
    <r>
      <rPr>
        <sz val="9"/>
        <color rgb="FF000000"/>
        <rFont val="Arial"/>
        <family val="0"/>
        <charset val="1"/>
      </rPr>
      <t xml:space="preserve">. </t>
    </r>
    <r>
      <rPr>
        <b val="true"/>
        <sz val="9"/>
        <color rgb="FF000000"/>
        <rFont val="Arial"/>
        <family val="0"/>
        <charset val="1"/>
      </rPr>
      <t xml:space="preserve">Crítica (colunas N-P): </t>
    </r>
    <r>
      <rPr>
        <sz val="9"/>
        <color rgb="FF000000"/>
        <rFont val="Arial"/>
        <family val="0"/>
        <charset val="1"/>
      </rPr>
      <t xml:space="preserve">qtd 2, unitário R$ 60.029,41, total R$ 120.058,82. 
</t>
    </r>
    <r>
      <rPr>
        <b val="true"/>
        <sz val="9"/>
        <color rgb="FF000000"/>
        <rFont val="Arial"/>
        <family val="0"/>
        <charset val="1"/>
      </rPr>
      <t xml:space="preserve">Ficha (colunas E-J): Marca: </t>
    </r>
    <r>
      <rPr>
        <sz val="9"/>
        <color rgb="FF000000"/>
        <rFont val="Arial"/>
        <family val="0"/>
        <charset val="1"/>
      </rPr>
      <t xml:space="preserve">Romão. </t>
    </r>
    <r>
      <rPr>
        <b val="true"/>
        <sz val="9"/>
        <color rgb="FF000000"/>
        <rFont val="Arial"/>
        <family val="0"/>
        <charset val="1"/>
      </rPr>
      <t xml:space="preserve">Modelo: </t>
    </r>
    <r>
      <rPr>
        <sz val="9"/>
        <color rgb="FF000000"/>
        <rFont val="Arial"/>
        <family val="0"/>
        <charset val="1"/>
      </rPr>
      <t xml:space="preserve">E037, alumínio. </t>
    </r>
    <r>
      <rPr>
        <b val="true"/>
        <sz val="9"/>
        <color rgb="FF000000"/>
        <rFont val="Arial"/>
        <family val="0"/>
        <charset val="1"/>
      </rPr>
      <t xml:space="preserve">Capacidade: </t>
    </r>
    <r>
      <rPr>
        <sz val="9"/>
        <color rgb="FF000000"/>
        <rFont val="Arial"/>
        <family val="0"/>
        <charset val="1"/>
      </rPr>
      <t xml:space="preserve">altura 9,6 m, diâmetro 7,63 m. </t>
    </r>
    <r>
      <rPr>
        <b val="true"/>
        <sz val="9"/>
        <color rgb="FF1F4E9A"/>
        <rFont val="Arial"/>
        <family val="0"/>
        <charset val="1"/>
      </rPr>
      <t xml:space="preserve">Série/OP: </t>
    </r>
    <r>
      <rPr>
        <sz val="9"/>
        <color rgb="FF1F4E9A"/>
        <rFont val="Arial"/>
        <family val="0"/>
        <charset val="1"/>
      </rPr>
      <t xml:space="preserve">sem placa (interno ao tanque). </t>
    </r>
    <r>
      <rPr>
        <b val="true"/>
        <sz val="9"/>
        <color rgb="FF00703C"/>
        <rFont val="Arial"/>
        <family val="0"/>
        <charset val="1"/>
      </rPr>
      <t xml:space="preserve">TAG/SAP: </t>
    </r>
    <r>
      <rPr>
        <strike val="true"/>
        <sz val="9"/>
        <color rgb="FF00703C"/>
        <rFont val="Arial"/>
        <family val="0"/>
        <charset val="1"/>
      </rPr>
      <t xml:space="preserve">não consta na base SAP (seleção)</t>
    </r>
    <r>
      <rPr>
        <sz val="9"/>
        <color rgb="FF00703C"/>
        <rFont val="Arial"/>
        <family val="0"/>
        <charset val="1"/>
      </rPr>
      <t xml:space="preserve">. </t>
    </r>
    <r>
      <rPr>
        <b val="true"/>
        <sz val="9"/>
        <color rgb="FF1F4E9A"/>
        <rFont val="Arial"/>
        <family val="0"/>
        <charset val="1"/>
      </rPr>
      <t xml:space="preserve">Fabricação: </t>
    </r>
    <r>
      <rPr>
        <sz val="9"/>
        <color rgb="FF1F4E9A"/>
        <rFont val="Arial"/>
        <family val="0"/>
        <charset val="1"/>
      </rPr>
      <t xml:space="preserve">não verificável. 
</t>
    </r>
    <r>
      <rPr>
        <b val="true"/>
        <sz val="9"/>
        <color rgb="FF000000"/>
        <rFont val="Arial"/>
        <family val="0"/>
        <charset val="1"/>
      </rPr>
      <t xml:space="preserve">Obs. (coluna T): </t>
    </r>
    <r>
      <rPr>
        <sz val="9"/>
        <color rgb="FF000000"/>
        <rFont val="Arial"/>
        <family val="0"/>
        <charset val="1"/>
      </rPr>
      <t xml:space="preserve">Não verificável em campo. Coerência dimensional com as placas dos tanques: Placas: </t>
    </r>
    <r>
      <rPr>
        <strike val="true"/>
        <sz val="9"/>
        <color rgb="FF000000"/>
        <rFont val="Arial"/>
        <family val="0"/>
        <charset val="1"/>
      </rPr>
      <t xml:space="preserve">TQ-3111</t>
    </r>
    <r>
      <rPr>
        <sz val="9"/>
        <color rgb="FF000000"/>
        <rFont val="Arial"/>
        <family val="0"/>
        <charset val="1"/>
      </rPr>
      <t xml:space="preserve"> e TQ-3113 H 9.600 / D 7.630 mm = selo 9,6 × 7,63 m; TQ-3112 tem H 8.600 mm. São 3 tanques com D 7,63 m para 2 selos – qual tanque ficou sem selo não está documentado. </t>
    </r>
    <r>
      <rPr>
        <b val="true"/>
        <sz val="9"/>
        <color rgb="FF000000"/>
        <rFont val="Arial"/>
        <family val="0"/>
        <charset val="1"/>
      </rPr>
      <t xml:space="preserve">Fotos (coluna U): </t>
    </r>
    <r>
      <rPr>
        <sz val="9"/>
        <color rgb="FF000000"/>
        <rFont val="Arial"/>
        <family val="0"/>
        <charset val="1"/>
      </rPr>
      <t xml:space="preserve">placas dos tanques (CARACTERIZAÇÃO v4). 
</t>
    </r>
    <r>
      <rPr>
        <b val="true"/>
        <sz val="9"/>
        <color rgb="FF002060"/>
        <rFont val="Arial"/>
        <family val="0"/>
        <charset val="1"/>
      </rPr>
      <t xml:space="preserve">Cotação OPE154: </t>
    </r>
    <r>
      <rPr>
        <sz val="9"/>
        <color rgb="FF002060"/>
        <rFont val="Arial"/>
        <family val="0"/>
        <charset val="1"/>
      </rPr>
      <t xml:space="preserve">Cotação ROMÃO 00638 Rev 04 (17/01/2024): selo E037 alumínio, altura 9,6 m, diâmetro 7,63 m, 2 un. × R$ 60.029,41 = R$ 120.058,82 (= linha 17); Finame 03967780. 
</t>
    </r>
    <r>
      <rPr>
        <b val="true"/>
        <sz val="9"/>
        <color rgb="FF7030A0"/>
        <rFont val="Arial"/>
        <family val="0"/>
        <charset val="1"/>
      </rPr>
      <t xml:space="preserve">Novo v2 (achados / correções / proposições): </t>
    </r>
    <r>
      <rPr>
        <sz val="9"/>
        <color rgb="FF7030A0"/>
        <rFont val="Arial"/>
        <family val="0"/>
        <charset val="1"/>
      </rPr>
      <t xml:space="preserve">Cotação = crítica. Permanece indeterminado qual dos 3 tanques de D 7,63 m (TQ-3111/3112/3113) ficou sem selo; TQ-3112 tem altura diferente (8.600 mm) – indício de que os 2 selos de 9,6 m são de TQ-3111 e TQ-3113. </t>
    </r>
  </si>
  <si>
    <t xml:space="preserve">18</t>
  </si>
  <si>
    <t xml:space="preserve">Subestação tipo eletrocentro VOLGA</t>
  </si>
  <si>
    <r>
      <rPr>
        <b val="true"/>
        <sz val="9"/>
        <color rgb="FF000000"/>
        <rFont val="Arial"/>
        <family val="0"/>
        <charset val="1"/>
      </rPr>
      <t xml:space="preserve">Crítica: </t>
    </r>
    <r>
      <rPr>
        <sz val="9"/>
        <color rgb="FF000000"/>
        <rFont val="Arial"/>
        <family val="0"/>
        <charset val="1"/>
      </rPr>
      <t xml:space="preserve">Subestação do tipo eletrocentro: 01 QGMT-3101; 01 TR-3101; 01 TL-3101; 01 PN-3101; 01 QGBT-3101; 01 BC-3101 (banco capacitor 170 kVAR); 01 sistema de energia ininterrupta CA NB-3101; 01 QD-UPS-3101; 01 QL-3102; 01 PN-3105; 01 PN-3106; 02 barramentos blindados IP-55 (PN-3101 e TR-3101/PN-3101); 01 painel SMF; cubículos PMT SM6 36 kV (entrada GAM-2, medição concessionária GBC-B, TP CM, 03 TP fusível, saída DM1-A com BA BF MT-I, medidor PM5340 CL05 c/ ethernet, comando básico MT – coluna disjuntora, relé Easergy P3U30-6CAA1BCAA, TC toroidal CSH120 c/ CCA630, 03 TP BDE-FT26C 36/√3-0,115/√3 V, 03 TC BDE-4000A 150/5-5 A 0,3C12,5-10B100 36 kV); 01 transformador auxiliar trifásico a seco 112,5 kVA 440-380/220 V IP-23 – 1 un. × R$ 3.163.087,46 = R$ 3.163.087,46; fornecedor Volga Engenharia Indústria e Comércio Ltda.; Finame 04037708.NF: NF 22 de 30/04/2024 – Volga Engenharia Ind. e Com. Ltda (CNPJ 03.347.463/0006-27): "Eletrocentro - subestação de energia", R$ 249.883,91; NF 33 de 22/05/2024 – Volga Engenharia Ind. e Com. Ltda (CNPJ 03.347.463/0006-27): "Eletrocentro - subestação de energia", R$ 2.154.062,56; NF 34 de 22/05/2024 – Volga Engenharia Ind. e Com. Ltda (CNPJ 03.347.463/0006-27): "Eletrocentro - subestação de energia", R$ 759.140,99 = R$ 3.163.087,46 (exato).SAP: SISTEMA DISTRIBUICAO ELETRICA – local BPAM-SELE, equip. 000000123508, ABC C.Projeto: Proposta VOLGA nº 20230138 rev. 6A de 06/10/2023 (R$ 3.163.087,46, Finame 04037708); as-built DE-3100-4300-014 rev. 04 (lista de 26 itens com nº VOLGA).</t>
    </r>
  </si>
  <si>
    <t xml:space="preserve">VOLGA</t>
  </si>
  <si>
    <t xml:space="preserve">eletrocentro (proposta 20230138 rev. 6A)</t>
  </si>
  <si>
    <t xml:space="preserve">34,5 kV / 440-380/220 V; TR 750 kVA; TL 112,5 kVA; BC 170 kVAr; nobreak 20 kVA</t>
  </si>
  <si>
    <t xml:space="preserve">sem placa geral</t>
  </si>
  <si>
    <t xml:space="preserve">SISTEMA / 000000123508</t>
  </si>
  <si>
    <t xml:space="preserve">2024 (placas dos painéis)</t>
  </si>
  <si>
    <t xml:space="preserve">22; 33; 34</t>
  </si>
  <si>
    <t xml:space="preserve">30/04/2024; 22/05/2024; 22/05/2024</t>
  </si>
  <si>
    <t xml:space="preserve">Volga Engenharia Ind. e Com. Ltda (03.347.463/0006-27)</t>
  </si>
  <si>
    <t xml:space="preserve">exata (22 + 33 + 34)</t>
  </si>
  <si>
    <t xml:space="preserve">Valor, proposta e 3 NFs fecham exatamente. A crítica usa TAGs "-3101" (QGMT-3101, TR-3101, TL-3101, PN-3101...) e o as-built e as placas usam "-3100"; o SAP mistura os dois (TR-3101, QGMT-3101 e QGMT-3100-01). 11 de 13 equipamentos principais do as-built têm placa fotografada (terceiros, 23/09/2026); faltam a placa do TR-3100 (750 kVA, maior componente), do TR.NB-3100 e a placa geral do eletrocentro. Nomes do cliente nas placas variam (Ultracargo Terminais / Soluções Logística).</t>
  </si>
  <si>
    <t xml:space="preserve">0782-0784, 0992-0995, terceiros 21 e 23/09/2026</t>
  </si>
  <si>
    <t xml:space="preserve">Cotação VOLGA nº 20230138 REV 6A, 06/10/2023, obra DOC 1310418934 – ID10365_PALMEIRANTE_ELETROCENTRO: "41.1 subestações do tipo Eletrocentro" R$ 3.163.087,46 (ICMS 12 %, PIS/COFINS 9,25 %, IPI 0 % inclusos; DIFAL de ICMS não incluso); Finame 04037708; proposta técnica PT20230138-REV6; prazo 170 dias após o pedido; CIF sem descarga; pagamento 20 % na aprovação do projeto + 80 % a 30 DDL; garantia 12 meses do faturamento (equipamentos) e 3 meses (serviços); quadros entregues desacoplados; fora do escopo: instalação, comissionamento e start-up em campo; emitente Volga Engenharia Ind. e Com. Ltda, matriz Aparecida de Goiânia/GO, CNPJ 03.347.463/0001-12; documentos-base DE-1460-ELF-001-03, EP-0001-A4-4100-xx, FD-E037-BPA-EL-001 a 006, MD-E037-BPA-001, DE-3100-4300-014_00A03 e DE-3100-5100-001_00A03. Correlato: cotação CHRONUS Automação (27/02/2024, Rev. 03) – 5 painéis de automação PNA-3104 (CLP S7-1500 CPU 1513-1 PN) R$ 120.000, PNA-3106 (CLP de segurança CPU 1512SP F-1) R$ 55.000, PNA-3103 switch rodoviário R$ 45.000, PNA-3102 switch ferroviário R$ 45.000, PNA-3101 switch portaria R$ 35.000 = R$ 300.000,00, CNPJ 37.151.496/0001-04.</t>
  </si>
  <si>
    <t xml:space="preserve">A cotação VOLGA (R$ 3.163.087,46, Finame 04037708) = crítica = NFs 22 + 33 + 34. A proposta é da matriz de Aparecida de Goiânia (CNPJ 03.347.463/0001-12) e as NFs são da filial 0006-27 – coerente (fábrica Sudeste). A proposta não traz preço por painel; o rateio do valor entre QGMT, TR 750 kVA, PN, QGBT, BC, NB etc. depende da PT20230138-REV6 (não está no OPE154) – pedir. A crítica usa TAGs "-3101" e a cotação/as-built/placas usam "-3100" (mesmo equipamento). O painel Chronus PNA-3105 (campo) não é VOLGA nem está na proposta Chronus de 02/2024; os painéis Chronus cotados (PNA-3101/3102/3103/3104/3106 = R$ 300.000,00) e os radares Endress (R$ 896.452,70) são automação/instrumentação fora da linha 18 – "Outros Fixos". Pendências de placa: TR-3100 (750 kVA, maior componente), TR.NB-3100, busways, placa geral do eletrocentro. Contexto: eletrocentro = subestação abrigada em contêiner metálico com cubículos SM6 36 kV (Schneider), transformador 750 kVA 34,5 kV/440 V, CCM, QGBT, banco de capacitores 170 kVAr e nobreak Schneider 20 kVA – tratar como conjunto único no laudo, com os 11 painéis fotografados como componentes.</t>
  </si>
  <si>
    <r>
      <rPr>
        <b val="true"/>
        <sz val="9"/>
        <color rgb="FF000000"/>
        <rFont val="Arial"/>
        <family val="0"/>
        <charset val="1"/>
      </rPr>
      <t xml:space="preserve">LINHA 18 – Subestação tipo eletrocentro VOLGA [CONJUNTO]
Crítica: </t>
    </r>
    <r>
      <rPr>
        <sz val="9"/>
        <color rgb="FF000000"/>
        <rFont val="Arial"/>
        <family val="0"/>
        <charset val="1"/>
      </rPr>
      <t xml:space="preserve">Subestação do tipo eletrocentro: 01 QGMT-3101; 01 TR-3101; 01 TL-3101; 01 PN-3101; 01 QGBT-3101; 01 BC-3101 (banco capacitor 170 kVAR); 01 sistema de energia ininterrupta CA NB-3101; 01 QD-UPS-3101; 01 QL-3102; 01 PN-3105; 01 PN-3106; 02 barramentos blindados IP-55 (</t>
    </r>
    <r>
      <rPr>
        <strike val="true"/>
        <sz val="9"/>
        <color rgb="FF000000"/>
        <rFont val="Arial"/>
        <family val="0"/>
        <charset val="1"/>
      </rPr>
      <t xml:space="preserve">PN-3101</t>
    </r>
    <r>
      <rPr>
        <sz val="9"/>
        <color rgb="FF000000"/>
        <rFont val="Arial"/>
        <family val="0"/>
        <charset val="1"/>
      </rPr>
      <t xml:space="preserve"> e </t>
    </r>
    <r>
      <rPr>
        <strike val="true"/>
        <sz val="9"/>
        <color rgb="FF000000"/>
        <rFont val="Arial"/>
        <family val="0"/>
        <charset val="1"/>
      </rPr>
      <t xml:space="preserve">TR-3101</t>
    </r>
    <r>
      <rPr>
        <sz val="9"/>
        <color rgb="FF000000"/>
        <rFont val="Arial"/>
        <family val="0"/>
        <charset val="1"/>
      </rPr>
      <t xml:space="preserve">/</t>
    </r>
    <r>
      <rPr>
        <strike val="true"/>
        <sz val="9"/>
        <color rgb="FF000000"/>
        <rFont val="Arial"/>
        <family val="0"/>
        <charset val="1"/>
      </rPr>
      <t xml:space="preserve">PN-3101</t>
    </r>
    <r>
      <rPr>
        <sz val="9"/>
        <color rgb="FF000000"/>
        <rFont val="Arial"/>
        <family val="0"/>
        <charset val="1"/>
      </rPr>
      <t xml:space="preserve">); 01 painel SMF; cubículos PMT SM6 36 kV (entrada GAM-2, medição concessionária GBC-B, TP CM, 03 TP fusível, saída DM1-A com BA BF MT-I, medidor PM5340 CL05 c/ ethernet, comando básico MT – coluna disjuntora, relé Easergy P3U30-6CAA1BCAA, TC toroidal CSH120 c/ CCA630, 03 TP BDE-FT26C 36/√3-0,115/√3 V, 03 TC BDE-4000A 150/5-5 A 0,3C12,5-10B100 36 kV); 01 transformador auxiliar trifásico a seco 112,5 kVA 440-380/220 V IP-23 – 1 un. × R$ 3.163.087,46 = R$ 3.163.087,46; fornecedor Volga Engenharia Indústria e Comércio Ltda.; Finame 04037708. </t>
    </r>
    <r>
      <rPr>
        <b val="true"/>
        <sz val="9"/>
        <color rgb="FFC00000"/>
        <rFont val="Arial"/>
        <family val="0"/>
        <charset val="1"/>
      </rPr>
      <t xml:space="preserve">NF: </t>
    </r>
    <r>
      <rPr>
        <sz val="9"/>
        <color rgb="FFC00000"/>
        <rFont val="Arial"/>
        <family val="0"/>
        <charset val="1"/>
      </rPr>
      <t xml:space="preserve">NF 22 de 30/04/2024 – Volga Engenharia Ind. e Com. Ltda (CNPJ 03.347.463/0006-27): "Eletrocentro - subestação de energia", R$ 249.883,91; NF 33 de 22/05/2024 – </t>
    </r>
    <r>
      <rPr>
        <strike val="true"/>
        <sz val="9"/>
        <color rgb="FFC00000"/>
        <rFont val="Arial"/>
        <family val="0"/>
        <charset val="1"/>
      </rPr>
      <t xml:space="preserve">Volga Engenharia Ind. e Com. Ltda</t>
    </r>
    <r>
      <rPr>
        <sz val="9"/>
        <color rgb="FFC00000"/>
        <rFont val="Arial"/>
        <family val="0"/>
        <charset val="1"/>
      </rPr>
      <t xml:space="preserve"> (CNPJ </t>
    </r>
    <r>
      <rPr>
        <strike val="true"/>
        <sz val="9"/>
        <color rgb="FFC00000"/>
        <rFont val="Arial"/>
        <family val="0"/>
        <charset val="1"/>
      </rPr>
      <t xml:space="preserve">03.347.463/0006-27</t>
    </r>
    <r>
      <rPr>
        <sz val="9"/>
        <color rgb="FFC00000"/>
        <rFont val="Arial"/>
        <family val="0"/>
        <charset val="1"/>
      </rPr>
      <t xml:space="preserve">): "Eletrocentro - subestação de energia", R$ 2.154.062,56; NF 34 de 22/05/2024 – </t>
    </r>
    <r>
      <rPr>
        <strike val="true"/>
        <sz val="9"/>
        <color rgb="FFC00000"/>
        <rFont val="Arial"/>
        <family val="0"/>
        <charset val="1"/>
      </rPr>
      <t xml:space="preserve">Volga Engenharia Ind. e Com. Ltda</t>
    </r>
    <r>
      <rPr>
        <sz val="9"/>
        <color rgb="FFC00000"/>
        <rFont val="Arial"/>
        <family val="0"/>
        <charset val="1"/>
      </rPr>
      <t xml:space="preserve"> (CNPJ </t>
    </r>
    <r>
      <rPr>
        <strike val="true"/>
        <sz val="9"/>
        <color rgb="FFC00000"/>
        <rFont val="Arial"/>
        <family val="0"/>
        <charset val="1"/>
      </rPr>
      <t xml:space="preserve">03.347.463/0006-27</t>
    </r>
    <r>
      <rPr>
        <sz val="9"/>
        <color rgb="FFC00000"/>
        <rFont val="Arial"/>
        <family val="0"/>
        <charset val="1"/>
      </rPr>
      <t xml:space="preserve">): "Eletrocentro - subestação de energia", R$ 759.140,99 = R$ 3.163.087,46 (exato). </t>
    </r>
    <r>
      <rPr>
        <b val="true"/>
        <sz val="9"/>
        <color rgb="FF00703C"/>
        <rFont val="Arial"/>
        <family val="0"/>
        <charset val="1"/>
      </rPr>
      <t xml:space="preserve">SAP: </t>
    </r>
    <r>
      <rPr>
        <sz val="9"/>
        <color rgb="FF00703C"/>
        <rFont val="Arial"/>
        <family val="0"/>
        <charset val="1"/>
      </rPr>
      <t xml:space="preserve">SISTEMA DISTRIBUICAO ELETRICA – local BPAM-SELE, equip. 000000123508, ABC C. </t>
    </r>
    <r>
      <rPr>
        <b val="true"/>
        <sz val="9"/>
        <color rgb="FFB38600"/>
        <rFont val="Arial"/>
        <family val="0"/>
        <charset val="1"/>
      </rPr>
      <t xml:space="preserve">Projeto: </t>
    </r>
    <r>
      <rPr>
        <sz val="9"/>
        <color rgb="FFB38600"/>
        <rFont val="Arial"/>
        <family val="0"/>
        <charset val="1"/>
      </rPr>
      <t xml:space="preserve">Proposta VOLGA nº 20230138 rev. 6A de 06/10/2023 (R$ 3.163.087,46, </t>
    </r>
    <r>
      <rPr>
        <strike val="true"/>
        <sz val="9"/>
        <color rgb="FFB38600"/>
        <rFont val="Arial"/>
        <family val="0"/>
        <charset val="1"/>
      </rPr>
      <t xml:space="preserve">Finame 04037708</t>
    </r>
    <r>
      <rPr>
        <sz val="9"/>
        <color rgb="FFB38600"/>
        <rFont val="Arial"/>
        <family val="0"/>
        <charset val="1"/>
      </rPr>
      <t xml:space="preserve">); as-built DE-3100-4300-014 rev. 04 (lista de 26 itens com nº VOLGA). 
</t>
    </r>
    <r>
      <rPr>
        <b val="true"/>
        <sz val="9"/>
        <color rgb="FFC00000"/>
        <rFont val="Arial"/>
        <family val="0"/>
        <charset val="1"/>
      </rPr>
      <t xml:space="preserve">NF (colunas K-Q): </t>
    </r>
    <r>
      <rPr>
        <sz val="9"/>
        <color rgb="FFC00000"/>
        <rFont val="Arial"/>
        <family val="0"/>
        <charset val="1"/>
      </rPr>
      <t xml:space="preserve">NF nº 22; 33; 34 de 30/04/2024; 22/05/2024; 22/05/2024 – </t>
    </r>
    <r>
      <rPr>
        <strike val="true"/>
        <sz val="9"/>
        <color rgb="FFC00000"/>
        <rFont val="Arial"/>
        <family val="0"/>
        <charset val="1"/>
      </rPr>
      <t xml:space="preserve">Volga Engenharia Ind. e Com. Ltda</t>
    </r>
    <r>
      <rPr>
        <sz val="9"/>
        <color rgb="FFC00000"/>
        <rFont val="Arial"/>
        <family val="0"/>
        <charset val="1"/>
      </rPr>
      <t xml:space="preserve"> (</t>
    </r>
    <r>
      <rPr>
        <strike val="true"/>
        <sz val="9"/>
        <color rgb="FFC00000"/>
        <rFont val="Arial"/>
        <family val="0"/>
        <charset val="1"/>
      </rPr>
      <t xml:space="preserve">03.347.463/0006-27</t>
    </r>
    <r>
      <rPr>
        <sz val="9"/>
        <color rgb="FFC00000"/>
        <rFont val="Arial"/>
        <family val="0"/>
        <charset val="1"/>
      </rPr>
      <t xml:space="preserve">) – valor comprovado R$ 3.163.087,46. </t>
    </r>
    <r>
      <rPr>
        <b val="true"/>
        <sz val="9"/>
        <color rgb="FF000000"/>
        <rFont val="Arial"/>
        <family val="0"/>
        <charset val="1"/>
      </rPr>
      <t xml:space="preserve">Atribuição: </t>
    </r>
    <r>
      <rPr>
        <sz val="9"/>
        <color rgb="FF000000"/>
        <rFont val="Arial"/>
        <family val="0"/>
        <charset val="1"/>
      </rPr>
      <t xml:space="preserve">exata (22 + 33 + 34). </t>
    </r>
    <r>
      <rPr>
        <b val="true"/>
        <sz val="9"/>
        <color rgb="FF000000"/>
        <rFont val="Arial"/>
        <family val="0"/>
        <charset val="1"/>
      </rPr>
      <t xml:space="preserve">Crítica (colunas N-P): </t>
    </r>
    <r>
      <rPr>
        <sz val="9"/>
        <color rgb="FF000000"/>
        <rFont val="Arial"/>
        <family val="0"/>
        <charset val="1"/>
      </rPr>
      <t xml:space="preserve">qtd 1, unitário R$ 3.163.087,46, total R$ 3.163.087,46. 
</t>
    </r>
    <r>
      <rPr>
        <b val="true"/>
        <sz val="9"/>
        <color rgb="FF000000"/>
        <rFont val="Arial"/>
        <family val="0"/>
        <charset val="1"/>
      </rPr>
      <t xml:space="preserve">Ficha (colunas E-J): </t>
    </r>
    <r>
      <rPr>
        <b val="true"/>
        <sz val="9"/>
        <color rgb="FF1F4E9A"/>
        <rFont val="Arial"/>
        <family val="0"/>
        <charset val="1"/>
      </rPr>
      <t xml:space="preserve">Marca: </t>
    </r>
    <r>
      <rPr>
        <sz val="9"/>
        <color rgb="FF1F4E9A"/>
        <rFont val="Arial"/>
        <family val="0"/>
        <charset val="1"/>
      </rPr>
      <t xml:space="preserve">VOLGA. </t>
    </r>
    <r>
      <rPr>
        <b val="true"/>
        <sz val="9"/>
        <color rgb="FFB38600"/>
        <rFont val="Arial"/>
        <family val="0"/>
        <charset val="1"/>
      </rPr>
      <t xml:space="preserve">Modelo: </t>
    </r>
    <r>
      <rPr>
        <sz val="9"/>
        <color rgb="FFB38600"/>
        <rFont val="Arial"/>
        <family val="0"/>
        <charset val="1"/>
      </rPr>
      <t xml:space="preserve">eletrocentro (proposta 20230138 rev. 6A). </t>
    </r>
    <r>
      <rPr>
        <b val="true"/>
        <sz val="9"/>
        <color rgb="FFB38600"/>
        <rFont val="Arial"/>
        <family val="0"/>
        <charset val="1"/>
      </rPr>
      <t xml:space="preserve">Capacidade: </t>
    </r>
    <r>
      <rPr>
        <sz val="9"/>
        <color rgb="FFB38600"/>
        <rFont val="Arial"/>
        <family val="0"/>
        <charset val="1"/>
      </rPr>
      <t xml:space="preserve">34,5 kV / 440-380/220 V; TR 750 kVA; TL 112,5 kVA; BC 170 kVAr; nobreak 20 kVA. </t>
    </r>
    <r>
      <rPr>
        <b val="true"/>
        <sz val="9"/>
        <color rgb="FF1F4E9A"/>
        <rFont val="Arial"/>
        <family val="0"/>
        <charset val="1"/>
      </rPr>
      <t xml:space="preserve">Série/OP: </t>
    </r>
    <r>
      <rPr>
        <sz val="9"/>
        <color rgb="FF1F4E9A"/>
        <rFont val="Arial"/>
        <family val="0"/>
        <charset val="1"/>
      </rPr>
      <t xml:space="preserve">sem placa geral. </t>
    </r>
    <r>
      <rPr>
        <b val="true"/>
        <sz val="9"/>
        <color rgb="FF00703C"/>
        <rFont val="Arial"/>
        <family val="0"/>
        <charset val="1"/>
      </rPr>
      <t xml:space="preserve">TAG/SAP: </t>
    </r>
    <r>
      <rPr>
        <sz val="9"/>
        <color rgb="FF00703C"/>
        <rFont val="Arial"/>
        <family val="0"/>
        <charset val="1"/>
      </rPr>
      <t xml:space="preserve">SISTEMA / 000000123508. </t>
    </r>
    <r>
      <rPr>
        <b val="true"/>
        <sz val="9"/>
        <color rgb="FF1F4E9A"/>
        <rFont val="Arial"/>
        <family val="0"/>
        <charset val="1"/>
      </rPr>
      <t xml:space="preserve">Fabricação: </t>
    </r>
    <r>
      <rPr>
        <sz val="9"/>
        <color rgb="FF1F4E9A"/>
        <rFont val="Arial"/>
        <family val="0"/>
        <charset val="1"/>
      </rPr>
      <t xml:space="preserve">2024 (placas dos painéis). 
</t>
    </r>
    <r>
      <rPr>
        <b val="true"/>
        <sz val="9"/>
        <color rgb="FF000000"/>
        <rFont val="Arial"/>
        <family val="0"/>
        <charset val="1"/>
      </rPr>
      <t xml:space="preserve">Obs. (coluna T): </t>
    </r>
    <r>
      <rPr>
        <sz val="9"/>
        <color rgb="FF000000"/>
        <rFont val="Arial"/>
        <family val="0"/>
        <charset val="1"/>
      </rPr>
      <t xml:space="preserve">Valor, proposta e 3 NFs fecham exatamente. A crítica usa TAGs "-3101" (</t>
    </r>
    <r>
      <rPr>
        <strike val="true"/>
        <sz val="9"/>
        <color rgb="FF000000"/>
        <rFont val="Arial"/>
        <family val="0"/>
        <charset val="1"/>
      </rPr>
      <t xml:space="preserve">QGMT-3101</t>
    </r>
    <r>
      <rPr>
        <sz val="9"/>
        <color rgb="FF000000"/>
        <rFont val="Arial"/>
        <family val="0"/>
        <charset val="1"/>
      </rPr>
      <t xml:space="preserve">, </t>
    </r>
    <r>
      <rPr>
        <strike val="true"/>
        <sz val="9"/>
        <color rgb="FF000000"/>
        <rFont val="Arial"/>
        <family val="0"/>
        <charset val="1"/>
      </rPr>
      <t xml:space="preserve">TR-3101</t>
    </r>
    <r>
      <rPr>
        <sz val="9"/>
        <color rgb="FF000000"/>
        <rFont val="Arial"/>
        <family val="0"/>
        <charset val="1"/>
      </rPr>
      <t xml:space="preserve">, </t>
    </r>
    <r>
      <rPr>
        <strike val="true"/>
        <sz val="9"/>
        <color rgb="FF000000"/>
        <rFont val="Arial"/>
        <family val="0"/>
        <charset val="1"/>
      </rPr>
      <t xml:space="preserve">TL-3101</t>
    </r>
    <r>
      <rPr>
        <sz val="9"/>
        <color rgb="FF000000"/>
        <rFont val="Arial"/>
        <family val="0"/>
        <charset val="1"/>
      </rPr>
      <t xml:space="preserve">, </t>
    </r>
    <r>
      <rPr>
        <strike val="true"/>
        <sz val="9"/>
        <color rgb="FF000000"/>
        <rFont val="Arial"/>
        <family val="0"/>
        <charset val="1"/>
      </rPr>
      <t xml:space="preserve">PN-3101</t>
    </r>
    <r>
      <rPr>
        <sz val="9"/>
        <color rgb="FF000000"/>
        <rFont val="Arial"/>
        <family val="0"/>
        <charset val="1"/>
      </rPr>
      <t xml:space="preserve">...) e o as-built e as placas usam "-3100"; o SAP mistura os dois (</t>
    </r>
    <r>
      <rPr>
        <strike val="true"/>
        <sz val="9"/>
        <color rgb="FF000000"/>
        <rFont val="Arial"/>
        <family val="0"/>
        <charset val="1"/>
      </rPr>
      <t xml:space="preserve">TR-3101</t>
    </r>
    <r>
      <rPr>
        <sz val="9"/>
        <color rgb="FF000000"/>
        <rFont val="Arial"/>
        <family val="0"/>
        <charset val="1"/>
      </rPr>
      <t xml:space="preserve">, </t>
    </r>
    <r>
      <rPr>
        <strike val="true"/>
        <sz val="9"/>
        <color rgb="FF000000"/>
        <rFont val="Arial"/>
        <family val="0"/>
        <charset val="1"/>
      </rPr>
      <t xml:space="preserve">QGMT-3101</t>
    </r>
    <r>
      <rPr>
        <sz val="9"/>
        <color rgb="FF000000"/>
        <rFont val="Arial"/>
        <family val="0"/>
        <charset val="1"/>
      </rPr>
      <t xml:space="preserve"> e QGMT-3100-01). 11 de 13 equipamentos principais do as-built têm placa fotografada (terceiros, 23/09/2026); faltam a placa do TR-3100 (750 kVA, maior componente), do TR.NB-3100 e a placa geral do eletrocentro. Nomes do cliente nas placas variam (Ultracargo Terminais / Soluções Logística). </t>
    </r>
    <r>
      <rPr>
        <b val="true"/>
        <sz val="9"/>
        <color rgb="FF000000"/>
        <rFont val="Arial"/>
        <family val="0"/>
        <charset val="1"/>
      </rPr>
      <t xml:space="preserve">Fotos (coluna U): </t>
    </r>
    <r>
      <rPr>
        <sz val="9"/>
        <color rgb="FF000000"/>
        <rFont val="Arial"/>
        <family val="0"/>
        <charset val="1"/>
      </rPr>
      <t xml:space="preserve">0782-0784, 0992-0995, terceiros 21 e 23/09/2026. 
</t>
    </r>
    <r>
      <rPr>
        <b val="true"/>
        <sz val="9"/>
        <color rgb="FF002060"/>
        <rFont val="Arial"/>
        <family val="0"/>
        <charset val="1"/>
      </rPr>
      <t xml:space="preserve">Cotação OPE154: </t>
    </r>
    <r>
      <rPr>
        <sz val="9"/>
        <color rgb="FF002060"/>
        <rFont val="Arial"/>
        <family val="0"/>
        <charset val="1"/>
      </rPr>
      <t xml:space="preserve">Cotação VOLGA nº 20230138 REV 6A, 06/10/2023, obra DOC 1310418934 – ID10365_PALMEIRANTE_ELETROCENTRO: "41.1 subestações do tipo Eletrocentro" R$ 3.163.087,46 (ICMS 12 %, PIS/COFINS 9,25 %, IPI 0 % inclusos; DIFAL de ICMS não incluso); Finame 04037708; proposta técnica PT20230138-REV6; prazo 170 dias após o pedido; CIF sem descarga; pagamento 20 % na aprovação do projeto + 80 % a 30 DDL; garantia 12 meses do faturamento (equipamentos) e 3 meses (serviços); quadros entregues desacoplados; fora do escopo: instalação, comissionamento e start-up em campo; emitente Volga Engenharia Ind. e Com. Ltda, matriz Aparecida de Goiânia/GO, CNPJ 03.347.463/0001-12; documentos-base DE-1460-ELF-001-03, EP-0001-A4-4100-xx, FD-E037-BPA-EL-001 a 006, MD-E037-BPA-001, DE-3100-4300-014_00A03 e DE-3100-5100-001_00A03. Correlato: cotação CHRONUS Automação (27/02/2024, Rev. 03) – 5 painéis de automação PNA-3104 (CLP S7-1500 CPU 1513-1 PN) R$ 120.000, PNA-3106 (CLP de segurança CPU 1512SP F-1) R$ 55.000, PNA-3103 switch rodoviário R$ 45.000, PNA-3102 switch ferroviário R$ 45.000, PNA-3101 switch portaria R$ 35.000 = R$ 300.000,00, CNPJ 37.151.496/0001-04. 
</t>
    </r>
    <r>
      <rPr>
        <b val="true"/>
        <sz val="9"/>
        <color rgb="FF7030A0"/>
        <rFont val="Arial"/>
        <family val="0"/>
        <charset val="1"/>
      </rPr>
      <t xml:space="preserve">Novo v2 (achados / correções / proposições): </t>
    </r>
    <r>
      <rPr>
        <sz val="9"/>
        <color rgb="FF7030A0"/>
        <rFont val="Arial"/>
        <family val="0"/>
        <charset val="1"/>
      </rPr>
      <t xml:space="preserve">A cotação VOLGA (R$ 3.163.087,46, Finame 04037708) = crítica = NFs 22 + 33 + 34. A proposta é da matriz de Aparecida de Goiânia (CNPJ 03.347.463/0001-12) e as NFs são da filial 0006-27 – coerente (fábrica Sudeste). A proposta não traz preço por painel; o rateio do valor entre QGMT, TR 750 kVA, PN, QGBT, BC, NB etc. depende da PT20230138-REV6 (não está no OPE154) – pedir. A crítica usa TAGs "-3101" e a cotação/as-built/placas usam "-3100" (mesmo equipamento). O painel Chronus PNA-3105 (campo) não é VOLGA nem está na proposta Chronus de 02/2024; os painéis Chronus cotados (PNA-3101/3102/3103/3104/3106 = R$ 300.000,00) e os radares Endress (R$ 896.452,70) são automação/instrumentação fora da linha 18 – "Outros Fixos". Pendências de placa: TR-3100 (750 kVA, maior componente), TR.NB-3100, busways, placa geral do eletrocentro. Contexto: eletrocentro = subestação abrigada em contêiner metálico com cubículos SM6 36 kV (Schneider), transformador 750 kVA 34,5 kV/440 V, CCM, QGBT, banco de capacitores 170 kVAr e nobreak Schneider 20 kVA – tratar como conjunto único no laudo, com os 11 painéis fotografados como componentes. 
</t>
    </r>
    <r>
      <rPr>
        <b val="true"/>
        <sz val="9"/>
        <color rgb="FF000000"/>
        <rFont val="Arial"/>
        <family val="0"/>
        <charset val="1"/>
      </rPr>
      <t xml:space="preserve">COMPONENTES (22):
• QGMT-3100-01: Crítica: </t>
    </r>
    <r>
      <rPr>
        <sz val="9"/>
        <color rgb="FF000000"/>
        <rFont val="Arial"/>
        <family val="0"/>
        <charset val="1"/>
      </rPr>
      <t xml:space="preserve">01 </t>
    </r>
    <r>
      <rPr>
        <strike val="true"/>
        <sz val="9"/>
        <color rgb="FF000000"/>
        <rFont val="Arial"/>
        <family val="0"/>
        <charset val="1"/>
      </rPr>
      <t xml:space="preserve">QGMT-3101</t>
    </r>
    <r>
      <rPr>
        <sz val="9"/>
        <color rgb="FF000000"/>
        <rFont val="Arial"/>
        <family val="0"/>
        <charset val="1"/>
      </rPr>
      <t xml:space="preserve"> + cubículos PMT SM6 36 kV (GAM-2, GBC-B, CM, DM1-A, relé P3U30, TP BDE-FT26C, TC BDE-4000A, PM5340). </t>
    </r>
    <r>
      <rPr>
        <b val="true"/>
        <sz val="9"/>
        <color rgb="FFB38600"/>
        <rFont val="Arial"/>
        <family val="0"/>
        <charset val="1"/>
      </rPr>
      <t xml:space="preserve">Projeto: </t>
    </r>
    <r>
      <rPr>
        <sz val="9"/>
        <color rgb="FFB38600"/>
        <rFont val="Arial"/>
        <family val="0"/>
        <charset val="1"/>
      </rPr>
      <t xml:space="preserve">as-built item 1: Painel de distribuição média tensão, nº VOLGA BR15-2023-44-0129. </t>
    </r>
    <r>
      <rPr>
        <b val="true"/>
        <sz val="9"/>
        <color rgb="FF00703C"/>
        <rFont val="Arial"/>
        <family val="0"/>
        <charset val="1"/>
      </rPr>
      <t xml:space="preserve">SAP: </t>
    </r>
    <r>
      <rPr>
        <strike val="true"/>
        <sz val="9"/>
        <color rgb="FF00703C"/>
        <rFont val="Arial"/>
        <family val="0"/>
        <charset val="1"/>
      </rPr>
      <t xml:space="preserve">QGMT-3100</t>
    </r>
    <r>
      <rPr>
        <sz val="9"/>
        <color rgb="FF00703C"/>
        <rFont val="Arial"/>
        <family val="0"/>
        <charset val="1"/>
      </rPr>
      <t xml:space="preserve">-01 QUADRO GERAL MEDIA TENSAO (+ SUB-04 Q1 chave seccionadora, SUB-10 relé P3U30, SUB-13..19 TP1-TP3, SUB-22..28 TC1-TC3) – local BPAM-SELE-SUB-07, equip. 000000123625, </t>
    </r>
    <r>
      <rPr>
        <strike val="true"/>
        <sz val="9"/>
        <color rgb="FF00703C"/>
        <rFont val="Arial"/>
        <family val="0"/>
        <charset val="1"/>
      </rPr>
      <t xml:space="preserve">ABC C</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VOLGA Cliente ULTRACARGO SOLUÇÕES LOGÍSTICA SA; ano 2024; classe 36 kV; operação 34,5 kV; 630 A; 60 Hz; 16 kA/1 s; isolação 36 kV; comando 220 Vca/Vcc; 1.730 kg; dissip. 1.300 W; NBR IEC 62271-200. </t>
    </r>
    <r>
      <rPr>
        <b val="true"/>
        <sz val="9"/>
        <color rgb="FF000000"/>
        <rFont val="Arial"/>
        <family val="0"/>
        <charset val="1"/>
      </rPr>
      <t xml:space="preserve">Obs.: </t>
    </r>
    <r>
      <rPr>
        <sz val="9"/>
        <color rgb="FF000000"/>
        <rFont val="Arial"/>
        <family val="0"/>
        <charset val="1"/>
      </rPr>
      <t xml:space="preserve">Placa fotografada (terceiros, 23/09/2026). Nome do cliente diverge das demais placas (A36). </t>
    </r>
    <r>
      <rPr>
        <b val="true"/>
        <sz val="9"/>
        <color rgb="FF000000"/>
        <rFont val="Arial"/>
        <family val="0"/>
        <charset val="1"/>
      </rPr>
      <t xml:space="preserve">Fotos: </t>
    </r>
    <r>
      <rPr>
        <sz val="9"/>
        <color rgb="FF000000"/>
        <rFont val="Arial"/>
        <family val="0"/>
        <charset val="1"/>
      </rPr>
      <t xml:space="preserve">114620; 0929 (vista). 
</t>
    </r>
    <r>
      <rPr>
        <b val="true"/>
        <sz val="9"/>
        <color rgb="FF000000"/>
        <rFont val="Arial"/>
        <family val="0"/>
        <charset val="1"/>
      </rPr>
      <t xml:space="preserve">• SMF: Crítica: </t>
    </r>
    <r>
      <rPr>
        <sz val="9"/>
        <color rgb="FF000000"/>
        <rFont val="Arial"/>
        <family val="0"/>
        <charset val="1"/>
      </rPr>
      <t xml:space="preserve">01 painel SMF. </t>
    </r>
    <r>
      <rPr>
        <b val="true"/>
        <sz val="9"/>
        <color rgb="FFB38600"/>
        <rFont val="Arial"/>
        <family val="0"/>
        <charset val="1"/>
      </rPr>
      <t xml:space="preserve">Projeto: </t>
    </r>
    <r>
      <rPr>
        <sz val="9"/>
        <color rgb="FFB38600"/>
        <rFont val="Arial"/>
        <family val="0"/>
        <charset val="1"/>
      </rPr>
      <t xml:space="preserve">as-built item 2: Sistema de medição para faturamento, nº VOLGA V2023-1543. </t>
    </r>
    <r>
      <rPr>
        <b val="true"/>
        <sz val="9"/>
        <color rgb="FF1F4E9A"/>
        <rFont val="Arial"/>
        <family val="0"/>
        <charset val="1"/>
      </rPr>
      <t xml:space="preserve">Placa/campo: </t>
    </r>
    <r>
      <rPr>
        <sz val="9"/>
        <color rgb="FF1F4E9A"/>
        <rFont val="Arial"/>
        <family val="0"/>
        <charset val="1"/>
      </rPr>
      <t xml:space="preserve">VOLGA Cliente ULTRACARGO TERMINAIS LTDA.; doc. DE-3100-4300-014_00A04; 2024; 0,6/1 kV; 125 Vcc/220 Vca; 60 Hz; 16 A; 10 kA; isolação 1,0 kV; proteção '3L' (prov. IP31); etiqueta UF2_1. </t>
    </r>
    <r>
      <rPr>
        <b val="true"/>
        <sz val="9"/>
        <color rgb="FF000000"/>
        <rFont val="Arial"/>
        <family val="0"/>
        <charset val="1"/>
      </rPr>
      <t xml:space="preserve">Obs.: </t>
    </r>
    <r>
      <rPr>
        <strike val="true"/>
        <sz val="9"/>
        <color rgb="FF000000"/>
        <rFont val="Arial"/>
        <family val="0"/>
        <charset val="1"/>
      </rPr>
      <t xml:space="preserve">Placa fotografada (terceiros, 23/09/2026).</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114630. 
</t>
    </r>
    <r>
      <rPr>
        <b val="true"/>
        <sz val="9"/>
        <color rgb="FF000000"/>
        <rFont val="Arial"/>
        <family val="0"/>
        <charset val="1"/>
      </rPr>
      <t xml:space="preserve">• TR-3100: Crítica: </t>
    </r>
    <r>
      <rPr>
        <sz val="9"/>
        <color rgb="FF000000"/>
        <rFont val="Arial"/>
        <family val="0"/>
        <charset val="1"/>
      </rPr>
      <t xml:space="preserve">01 </t>
    </r>
    <r>
      <rPr>
        <strike val="true"/>
        <sz val="9"/>
        <color rgb="FF000000"/>
        <rFont val="Arial"/>
        <family val="0"/>
        <charset val="1"/>
      </rPr>
      <t xml:space="preserve">TR-3101</t>
    </r>
    <r>
      <rPr>
        <sz val="9"/>
        <color rgb="FF000000"/>
        <rFont val="Arial"/>
        <family val="0"/>
        <charset val="1"/>
      </rPr>
      <t xml:space="preserve"> (potência não informada na crítica). </t>
    </r>
    <r>
      <rPr>
        <b val="true"/>
        <sz val="9"/>
        <color rgb="FFB38600"/>
        <rFont val="Arial"/>
        <family val="0"/>
        <charset val="1"/>
      </rPr>
      <t xml:space="preserve">Projeto: </t>
    </r>
    <r>
      <rPr>
        <sz val="9"/>
        <color rgb="FFB38600"/>
        <rFont val="Arial"/>
        <family val="0"/>
        <charset val="1"/>
      </rPr>
      <t xml:space="preserve">as-built item 3: Transformador de força 750 kVA – IP-00, nº VOLGA V2023-1531. </t>
    </r>
    <r>
      <rPr>
        <b val="true"/>
        <sz val="9"/>
        <color rgb="FF00703C"/>
        <rFont val="Arial"/>
        <family val="0"/>
        <charset val="1"/>
      </rPr>
      <t xml:space="preserve">SAP: </t>
    </r>
    <r>
      <rPr>
        <strike val="true"/>
        <sz val="9"/>
        <color rgb="FF00703C"/>
        <rFont val="Arial"/>
        <family val="0"/>
        <charset val="1"/>
      </rPr>
      <t xml:space="preserve">TR-3101</t>
    </r>
    <r>
      <rPr>
        <sz val="9"/>
        <color rgb="FF00703C"/>
        <rFont val="Arial"/>
        <family val="0"/>
        <charset val="1"/>
      </rPr>
      <t xml:space="preserve"> TRANSFORMADOR 750kVA – local BPAM-SELE-SUB-01, equip. 000000123623, ABC A. </t>
    </r>
    <r>
      <rPr>
        <b val="true"/>
        <sz val="9"/>
        <color rgb="FF000000"/>
        <rFont val="Arial"/>
        <family val="0"/>
        <charset val="1"/>
      </rPr>
      <t xml:space="preserve">Obs.: </t>
    </r>
    <r>
      <rPr>
        <sz val="9"/>
        <color rgb="FF000000"/>
        <rFont val="Arial"/>
        <family val="0"/>
        <charset val="1"/>
      </rPr>
      <t xml:space="preserve">SEM placa fotografada. MAIOR componente do eletrocentro sem placa. A lista cita também '</t>
    </r>
    <r>
      <rPr>
        <strike val="true"/>
        <sz val="9"/>
        <color rgb="FF000000"/>
        <rFont val="Arial"/>
        <family val="0"/>
        <charset val="1"/>
      </rPr>
      <t xml:space="preserve">TR-3101</t>
    </r>
    <r>
      <rPr>
        <sz val="9"/>
        <color rgb="FF000000"/>
        <rFont val="Arial"/>
        <family val="0"/>
        <charset val="1"/>
      </rPr>
      <t xml:space="preserve">' no busway BW.01. Potência 750 kVA só no as-built e no SAP (</t>
    </r>
    <r>
      <rPr>
        <strike val="true"/>
        <sz val="9"/>
        <color rgb="FF000000"/>
        <rFont val="Arial"/>
        <family val="0"/>
        <charset val="1"/>
      </rPr>
      <t xml:space="preserve">TR-3101</t>
    </r>
    <r>
      <rPr>
        <sz val="9"/>
        <color rgb="FF000000"/>
        <rFont val="Arial"/>
        <family val="0"/>
        <charset val="1"/>
      </rPr>
      <t xml:space="preserve">); a crítica não informa potência. Pedir placa/data-book. </t>
    </r>
    <r>
      <rPr>
        <b val="true"/>
        <sz val="9"/>
        <color rgb="FF7030A0"/>
        <rFont val="Arial"/>
        <family val="0"/>
        <charset val="1"/>
      </rPr>
      <t xml:space="preserve">Novo v2: </t>
    </r>
    <r>
      <rPr>
        <sz val="9"/>
        <color rgb="FF7030A0"/>
        <rFont val="Arial"/>
        <family val="0"/>
        <charset val="1"/>
      </rPr>
      <t xml:space="preserve">Maior componente do eletrocentro (750 kVA) sem placa fotografada – prioridade na próxima visita; pedir à VOLGA o rateio do preço (PT20230138-REV6). 
</t>
    </r>
    <r>
      <rPr>
        <b val="true"/>
        <sz val="9"/>
        <color rgb="FF000000"/>
        <rFont val="Arial"/>
        <family val="0"/>
        <charset val="1"/>
      </rPr>
      <t xml:space="preserve">• PN-3100 (lado A): Crítica: </t>
    </r>
    <r>
      <rPr>
        <sz val="9"/>
        <color rgb="FF000000"/>
        <rFont val="Arial"/>
        <family val="0"/>
        <charset val="1"/>
      </rPr>
      <t xml:space="preserve">01 </t>
    </r>
    <r>
      <rPr>
        <strike val="true"/>
        <sz val="9"/>
        <color rgb="FF000000"/>
        <rFont val="Arial"/>
        <family val="0"/>
        <charset val="1"/>
      </rPr>
      <t xml:space="preserve">PN-3101</t>
    </r>
    <r>
      <rPr>
        <sz val="9"/>
        <color rgb="FF000000"/>
        <rFont val="Arial"/>
        <family val="0"/>
        <charset val="1"/>
      </rPr>
      <t xml:space="preserve">. </t>
    </r>
    <r>
      <rPr>
        <b val="true"/>
        <sz val="9"/>
        <color rgb="FFB38600"/>
        <rFont val="Arial"/>
        <family val="0"/>
        <charset val="1"/>
      </rPr>
      <t xml:space="preserve">Projeto: </t>
    </r>
    <r>
      <rPr>
        <sz val="9"/>
        <color rgb="FFB38600"/>
        <rFont val="Arial"/>
        <family val="0"/>
        <charset val="1"/>
      </rPr>
      <t xml:space="preserve">as-built item 4: Centro de controle de motores – lado A, nº VOLGA V2023-1533. </t>
    </r>
    <r>
      <rPr>
        <b val="true"/>
        <sz val="9"/>
        <color rgb="FF00703C"/>
        <rFont val="Arial"/>
        <family val="0"/>
        <charset val="1"/>
      </rPr>
      <t xml:space="preserve">SAP: </t>
    </r>
    <r>
      <rPr>
        <strike val="true"/>
        <sz val="9"/>
        <color rgb="FF00703C"/>
        <rFont val="Arial"/>
        <family val="0"/>
        <charset val="1"/>
      </rPr>
      <t xml:space="preserve">PN-3100</t>
    </r>
    <r>
      <rPr>
        <sz val="9"/>
        <color rgb="FF00703C"/>
        <rFont val="Arial"/>
        <family val="0"/>
        <charset val="1"/>
      </rPr>
      <t xml:space="preserve"> CENTRO DE CONTROLE DE MOTORES (13 colunas, gavetas MB-3102..3126, PN-3104 lava-olhos, </t>
    </r>
    <r>
      <rPr>
        <strike val="true"/>
        <sz val="9"/>
        <color rgb="FF00703C"/>
        <rFont val="Arial"/>
        <family val="0"/>
        <charset val="1"/>
      </rPr>
      <t xml:space="preserve">PN-3105</t>
    </r>
    <r>
      <rPr>
        <sz val="9"/>
        <color rgb="FF00703C"/>
        <rFont val="Arial"/>
        <family val="0"/>
        <charset val="1"/>
      </rPr>
      <t xml:space="preserve">/3106 elevatórias, HVAC, TL, BC) – local BPAM-SELE-PNN-01, equip. 000000123513, </t>
    </r>
    <r>
      <rPr>
        <strike val="true"/>
        <sz val="9"/>
        <color rgb="FF00703C"/>
        <rFont val="Arial"/>
        <family val="0"/>
        <charset val="1"/>
      </rPr>
      <t xml:space="preserve">ABC A</t>
    </r>
    <r>
      <rPr>
        <sz val="9"/>
        <color rgb="FF00703C"/>
        <rFont val="Arial"/>
        <family val="0"/>
        <charset val="1"/>
      </rPr>
      <t xml:space="preserve">. </t>
    </r>
    <r>
      <rPr>
        <b val="true"/>
        <sz val="9"/>
        <color rgb="FF1F4E9A"/>
        <rFont val="Arial"/>
        <family val="0"/>
        <charset val="1"/>
      </rPr>
      <t xml:space="preserve">Placa/campo: </t>
    </r>
    <r>
      <rPr>
        <strike val="true"/>
        <sz val="9"/>
        <color rgb="FF1F4E9A"/>
        <rFont val="Arial"/>
        <family val="0"/>
        <charset val="1"/>
      </rPr>
      <t xml:space="preserve">VOLGA Cliente ULTRACARGO TERMINAIS LTDA.</t>
    </r>
    <r>
      <rPr>
        <sz val="9"/>
        <color rgb="FF1F4E9A"/>
        <rFont val="Arial"/>
        <family val="0"/>
        <charset val="1"/>
      </rPr>
      <t xml:space="preserve">; 2024; </t>
    </r>
    <r>
      <rPr>
        <strike val="true"/>
        <sz val="9"/>
        <color rgb="FF1F4E9A"/>
        <rFont val="Arial"/>
        <family val="0"/>
        <charset val="1"/>
      </rPr>
      <t xml:space="preserve">0,6/1 kV</t>
    </r>
    <r>
      <rPr>
        <sz val="9"/>
        <color rgb="FF1F4E9A"/>
        <rFont val="Arial"/>
        <family val="0"/>
        <charset val="1"/>
      </rPr>
      <t xml:space="preserve">; operação 440 Vca (leitura incerta); corrente 1000 A (leitura incerta); 20 kA; comando 127/220 Vca (incerto); </t>
    </r>
    <r>
      <rPr>
        <strike val="true"/>
        <sz val="9"/>
        <color rgb="FF1F4E9A"/>
        <rFont val="Arial"/>
        <family val="0"/>
        <charset val="1"/>
      </rPr>
      <t xml:space="preserve">isolação 1,0 kV</t>
    </r>
    <r>
      <rPr>
        <sz val="9"/>
        <color rgb="FF1F4E9A"/>
        <rFont val="Arial"/>
        <family val="0"/>
        <charset val="1"/>
      </rPr>
      <t xml:space="preserve">; proteção 31; NBR IEC 61439-1 &amp; 2. </t>
    </r>
    <r>
      <rPr>
        <b val="true"/>
        <sz val="9"/>
        <color rgb="FF000000"/>
        <rFont val="Arial"/>
        <family val="0"/>
        <charset val="1"/>
      </rPr>
      <t xml:space="preserve">Obs.: </t>
    </r>
    <r>
      <rPr>
        <strike val="true"/>
        <sz val="9"/>
        <color rgb="FF000000"/>
        <rFont val="Arial"/>
        <family val="0"/>
        <charset val="1"/>
      </rPr>
      <t xml:space="preserve">Placa fotografada (terceiros, 23/09/2026).</t>
    </r>
    <r>
      <rPr>
        <sz val="9"/>
        <color rgb="FF000000"/>
        <rFont val="Arial"/>
        <family val="0"/>
        <charset val="1"/>
      </rPr>
      <t xml:space="preserve"> As-built: o mesmo nº V2023-1533 para lado A e lado B. </t>
    </r>
    <r>
      <rPr>
        <b val="true"/>
        <sz val="9"/>
        <color rgb="FF000000"/>
        <rFont val="Arial"/>
        <family val="0"/>
        <charset val="1"/>
      </rPr>
      <t xml:space="preserve">Fotos: </t>
    </r>
    <r>
      <rPr>
        <sz val="9"/>
        <color rgb="FF000000"/>
        <rFont val="Arial"/>
        <family val="0"/>
        <charset val="1"/>
      </rPr>
      <t xml:space="preserve">114639; 0933b (vista). 
</t>
    </r>
    <r>
      <rPr>
        <b val="true"/>
        <sz val="9"/>
        <color rgb="FF000000"/>
        <rFont val="Arial"/>
        <family val="0"/>
        <charset val="1"/>
      </rPr>
      <t xml:space="preserve">• PN-3100 (lado B): Crítica: </t>
    </r>
    <r>
      <rPr>
        <sz val="9"/>
        <color rgb="FF000000"/>
        <rFont val="Arial"/>
        <family val="0"/>
        <charset val="1"/>
      </rPr>
      <t xml:space="preserve">01 </t>
    </r>
    <r>
      <rPr>
        <strike val="true"/>
        <sz val="9"/>
        <color rgb="FF000000"/>
        <rFont val="Arial"/>
        <family val="0"/>
        <charset val="1"/>
      </rPr>
      <t xml:space="preserve">PN-3101</t>
    </r>
    <r>
      <rPr>
        <sz val="9"/>
        <color rgb="FF000000"/>
        <rFont val="Arial"/>
        <family val="0"/>
        <charset val="1"/>
      </rPr>
      <t xml:space="preserve">. </t>
    </r>
    <r>
      <rPr>
        <b val="true"/>
        <sz val="9"/>
        <color rgb="FFB38600"/>
        <rFont val="Arial"/>
        <family val="0"/>
        <charset val="1"/>
      </rPr>
      <t xml:space="preserve">Projeto: </t>
    </r>
    <r>
      <rPr>
        <sz val="9"/>
        <color rgb="FFB38600"/>
        <rFont val="Arial"/>
        <family val="0"/>
        <charset val="1"/>
      </rPr>
      <t xml:space="preserve">as-built item 5: Centro de controle de motores – lado B, nº VOLGA V2023-1533. </t>
    </r>
    <r>
      <rPr>
        <b val="true"/>
        <sz val="9"/>
        <color rgb="FF00703C"/>
        <rFont val="Arial"/>
        <family val="0"/>
        <charset val="1"/>
      </rPr>
      <t xml:space="preserve">SAP: </t>
    </r>
    <r>
      <rPr>
        <strike val="true"/>
        <sz val="9"/>
        <color rgb="FF00703C"/>
        <rFont val="Arial"/>
        <family val="0"/>
        <charset val="1"/>
      </rPr>
      <t xml:space="preserve">PN-3100</t>
    </r>
    <r>
      <rPr>
        <sz val="9"/>
        <color rgb="FF00703C"/>
        <rFont val="Arial"/>
        <family val="0"/>
        <charset val="1"/>
      </rPr>
      <t xml:space="preserve"> CENTRO DE CONTROLE DE MOTORES (13 colunas, gavetas MB-3102..3126, </t>
    </r>
    <r>
      <rPr>
        <strike val="true"/>
        <sz val="9"/>
        <color rgb="FF00703C"/>
        <rFont val="Arial"/>
        <family val="0"/>
        <charset val="1"/>
      </rPr>
      <t xml:space="preserve">PN-3104</t>
    </r>
    <r>
      <rPr>
        <sz val="9"/>
        <color rgb="FF00703C"/>
        <rFont val="Arial"/>
        <family val="0"/>
        <charset val="1"/>
      </rPr>
      <t xml:space="preserve"> lava-olhos, </t>
    </r>
    <r>
      <rPr>
        <strike val="true"/>
        <sz val="9"/>
        <color rgb="FF00703C"/>
        <rFont val="Arial"/>
        <family val="0"/>
        <charset val="1"/>
      </rPr>
      <t xml:space="preserve">PN-3105</t>
    </r>
    <r>
      <rPr>
        <sz val="9"/>
        <color rgb="FF00703C"/>
        <rFont val="Arial"/>
        <family val="0"/>
        <charset val="1"/>
      </rPr>
      <t xml:space="preserve">/3106 elevatórias, HVAC, TL, BC) – local BPAM-SELE-PNN-01, equip. 000000123513, </t>
    </r>
    <r>
      <rPr>
        <strike val="true"/>
        <sz val="9"/>
        <color rgb="FF00703C"/>
        <rFont val="Arial"/>
        <family val="0"/>
        <charset val="1"/>
      </rPr>
      <t xml:space="preserve">ABC A</t>
    </r>
    <r>
      <rPr>
        <sz val="9"/>
        <color rgb="FF00703C"/>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Placa fotografada (terceiros, 23/09/2026).</t>
    </r>
    <r>
      <rPr>
        <sz val="9"/>
        <color rgb="FF000000"/>
        <rFont val="Arial"/>
        <family val="0"/>
        <charset val="1"/>
      </rPr>
      <t xml:space="preserve"> 
</t>
    </r>
    <r>
      <rPr>
        <b val="true"/>
        <sz val="9"/>
        <color rgb="FF000000"/>
        <rFont val="Arial"/>
        <family val="0"/>
        <charset val="1"/>
      </rPr>
      <t xml:space="preserve">• BC-3100: Crítica: </t>
    </r>
    <r>
      <rPr>
        <sz val="9"/>
        <color rgb="FF000000"/>
        <rFont val="Arial"/>
        <family val="0"/>
        <charset val="1"/>
      </rPr>
      <t xml:space="preserve">01 </t>
    </r>
    <r>
      <rPr>
        <strike val="true"/>
        <sz val="9"/>
        <color rgb="FF000000"/>
        <rFont val="Arial"/>
        <family val="0"/>
        <charset val="1"/>
      </rPr>
      <t xml:space="preserve">BC-3101</t>
    </r>
    <r>
      <rPr>
        <sz val="9"/>
        <color rgb="FF000000"/>
        <rFont val="Arial"/>
        <family val="0"/>
        <charset val="1"/>
      </rPr>
      <t xml:space="preserve"> (banco capacitor 170 kVAR). </t>
    </r>
    <r>
      <rPr>
        <b val="true"/>
        <sz val="9"/>
        <color rgb="FFB38600"/>
        <rFont val="Arial"/>
        <family val="0"/>
        <charset val="1"/>
      </rPr>
      <t xml:space="preserve">Projeto: </t>
    </r>
    <r>
      <rPr>
        <sz val="9"/>
        <color rgb="FFB38600"/>
        <rFont val="Arial"/>
        <family val="0"/>
        <charset val="1"/>
      </rPr>
      <t xml:space="preserve">as-built item 6: Banco de capacitores 170 kVAr, nº VOLGA V2023-1535. </t>
    </r>
    <r>
      <rPr>
        <b val="true"/>
        <sz val="9"/>
        <color rgb="FF00703C"/>
        <rFont val="Arial"/>
        <family val="0"/>
        <charset val="1"/>
      </rPr>
      <t xml:space="preserve">SAP: </t>
    </r>
    <r>
      <rPr>
        <strike val="true"/>
        <sz val="9"/>
        <color rgb="FF00703C"/>
        <rFont val="Arial"/>
        <family val="0"/>
        <charset val="1"/>
      </rPr>
      <t xml:space="preserve">BC-3100</t>
    </r>
    <r>
      <rPr>
        <sz val="9"/>
        <color rgb="FF00703C"/>
        <rFont val="Arial"/>
        <family val="0"/>
        <charset val="1"/>
      </rPr>
      <t xml:space="preserve"> BANCO CAPACITOR 170kVAR – local BPAM-SELE-PNN-04, equip. 000000123606, </t>
    </r>
    <r>
      <rPr>
        <strike val="true"/>
        <sz val="9"/>
        <color rgb="FF00703C"/>
        <rFont val="Arial"/>
        <family val="0"/>
        <charset val="1"/>
      </rPr>
      <t xml:space="preserve">ABC A</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VOLGA ELETROCENTRO-</t>
    </r>
    <r>
      <rPr>
        <strike val="true"/>
        <sz val="9"/>
        <color rgb="FF1F4E9A"/>
        <rFont val="Arial"/>
        <family val="0"/>
        <charset val="1"/>
      </rPr>
      <t xml:space="preserve">BC-3100</t>
    </r>
    <r>
      <rPr>
        <sz val="9"/>
        <color rgb="FF1F4E9A"/>
        <rFont val="Arial"/>
        <family val="0"/>
        <charset val="1"/>
      </rPr>
      <t xml:space="preserve"> (BANCO CAPACITOR 170KVAR); </t>
    </r>
    <r>
      <rPr>
        <strike val="true"/>
        <sz val="9"/>
        <color rgb="FF1F4E9A"/>
        <rFont val="Arial"/>
        <family val="0"/>
        <charset val="1"/>
      </rPr>
      <t xml:space="preserve">doc. DE-3100-4300-014_00A04</t>
    </r>
    <r>
      <rPr>
        <sz val="9"/>
        <color rgb="FF1F4E9A"/>
        <rFont val="Arial"/>
        <family val="0"/>
        <charset val="1"/>
      </rPr>
      <t xml:space="preserve">; 2024; </t>
    </r>
    <r>
      <rPr>
        <strike val="true"/>
        <sz val="9"/>
        <color rgb="FF1F4E9A"/>
        <rFont val="Arial"/>
        <family val="0"/>
        <charset val="1"/>
      </rPr>
      <t xml:space="preserve">0,6/1 kV</t>
    </r>
    <r>
      <rPr>
        <sz val="9"/>
        <color rgb="FF1F4E9A"/>
        <rFont val="Arial"/>
        <family val="0"/>
        <charset val="1"/>
      </rPr>
      <t xml:space="preserve">; 440 Vca; 400 A; 25 kA (incerto); comando 220 Vca; </t>
    </r>
    <r>
      <rPr>
        <strike val="true"/>
        <sz val="9"/>
        <color rgb="FF1F4E9A"/>
        <rFont val="Arial"/>
        <family val="0"/>
        <charset val="1"/>
      </rPr>
      <t xml:space="preserve">isolação 1,0 kV</t>
    </r>
    <r>
      <rPr>
        <sz val="9"/>
        <color rgb="FF1F4E9A"/>
        <rFont val="Arial"/>
        <family val="0"/>
        <charset val="1"/>
      </rPr>
      <t xml:space="preserve">; IP-31. </t>
    </r>
    <r>
      <rPr>
        <b val="true"/>
        <sz val="9"/>
        <color rgb="FF000000"/>
        <rFont val="Arial"/>
        <family val="0"/>
        <charset val="1"/>
      </rPr>
      <t xml:space="preserve">Obs.: </t>
    </r>
    <r>
      <rPr>
        <strike val="true"/>
        <sz val="9"/>
        <color rgb="FF000000"/>
        <rFont val="Arial"/>
        <family val="0"/>
        <charset val="1"/>
      </rPr>
      <t xml:space="preserve">Placa fotografada (terceiros, 23/09/2026).</t>
    </r>
    <r>
      <rPr>
        <sz val="9"/>
        <color rgb="FF000000"/>
        <rFont val="Arial"/>
        <family val="0"/>
        <charset val="1"/>
      </rPr>
      <t xml:space="preserve"> 170 kVAr na placa = crítica e as-built. </t>
    </r>
    <r>
      <rPr>
        <b val="true"/>
        <sz val="9"/>
        <color rgb="FF000000"/>
        <rFont val="Arial"/>
        <family val="0"/>
        <charset val="1"/>
      </rPr>
      <t xml:space="preserve">Fotos: </t>
    </r>
    <r>
      <rPr>
        <sz val="9"/>
        <color rgb="FF000000"/>
        <rFont val="Arial"/>
        <family val="0"/>
        <charset val="1"/>
      </rPr>
      <t xml:space="preserve">114709. 
</t>
    </r>
    <r>
      <rPr>
        <b val="true"/>
        <sz val="9"/>
        <color rgb="FF000000"/>
        <rFont val="Arial"/>
        <family val="0"/>
        <charset val="1"/>
      </rPr>
      <t xml:space="preserve">• TL-3100: Crítica: </t>
    </r>
    <r>
      <rPr>
        <sz val="9"/>
        <color rgb="FF000000"/>
        <rFont val="Arial"/>
        <family val="0"/>
        <charset val="1"/>
      </rPr>
      <t xml:space="preserve">01 </t>
    </r>
    <r>
      <rPr>
        <strike val="true"/>
        <sz val="9"/>
        <color rgb="FF000000"/>
        <rFont val="Arial"/>
        <family val="0"/>
        <charset val="1"/>
      </rPr>
      <t xml:space="preserve">TL-3101</t>
    </r>
    <r>
      <rPr>
        <sz val="9"/>
        <color rgb="FF000000"/>
        <rFont val="Arial"/>
        <family val="0"/>
        <charset val="1"/>
      </rPr>
      <t xml:space="preserve">; transformador auxiliar trifásico a seco 112,5 kVA 440-380/220 V IP-23. </t>
    </r>
    <r>
      <rPr>
        <b val="true"/>
        <sz val="9"/>
        <color rgb="FFB38600"/>
        <rFont val="Arial"/>
        <family val="0"/>
        <charset val="1"/>
      </rPr>
      <t xml:space="preserve">Projeto: </t>
    </r>
    <r>
      <rPr>
        <sz val="9"/>
        <color rgb="FFB38600"/>
        <rFont val="Arial"/>
        <family val="0"/>
        <charset val="1"/>
      </rPr>
      <t xml:space="preserve">as-built item 7: Transformador auxiliar 112,5 kVA – IP23, nº VOLGA V2023-1532. </t>
    </r>
    <r>
      <rPr>
        <b val="true"/>
        <sz val="9"/>
        <color rgb="FF00703C"/>
        <rFont val="Arial"/>
        <family val="0"/>
        <charset val="1"/>
      </rPr>
      <t xml:space="preserve">SAP: </t>
    </r>
    <r>
      <rPr>
        <strike val="true"/>
        <sz val="9"/>
        <color rgb="FF00703C"/>
        <rFont val="Arial"/>
        <family val="0"/>
        <charset val="1"/>
      </rPr>
      <t xml:space="preserve">TL-3100</t>
    </r>
    <r>
      <rPr>
        <sz val="9"/>
        <color rgb="FF00703C"/>
        <rFont val="Arial"/>
        <family val="0"/>
        <charset val="1"/>
      </rPr>
      <t xml:space="preserve"> TRANSFORMADOR SECO – local BPAM-SELE-TRF-01, equip. 000000123634, </t>
    </r>
    <r>
      <rPr>
        <strike val="true"/>
        <sz val="9"/>
        <color rgb="FF00703C"/>
        <rFont val="Arial"/>
        <family val="0"/>
        <charset val="1"/>
      </rPr>
      <t xml:space="preserve">ABC A</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PÓLUX Transformador a seco nº 1124063/001; 03/2024; ref. 2.03.02.5769; 60 Hz; ANAN; TTP; 3 fases; 112,5 kVA; Z 6,0 %; 120 °C em 440 V; fator K 1; 570 kg; IP-23; NBR 5356-11; Dyn1; AT 418–462 V (taps 1-2 a 1-6); BT 380 V 170,9 A; TAG </t>
    </r>
    <r>
      <rPr>
        <strike val="true"/>
        <sz val="9"/>
        <color rgb="FF1F4E9A"/>
        <rFont val="Arial"/>
        <family val="0"/>
        <charset val="1"/>
      </rPr>
      <t xml:space="preserve">TL-3100</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Placa fotografada (terceiros, 23/09/2026).</t>
    </r>
    <r>
      <rPr>
        <sz val="9"/>
        <color rgb="FF000000"/>
        <rFont val="Arial"/>
        <family val="0"/>
        <charset val="1"/>
      </rPr>
      <t xml:space="preserve"> Nº VOLGA V2023-1532 não aparece (placa é da Pólux). Placa Pólux 112,5 kVA, Dyn1, BT 380 V = crítica (112,5 kVA 440-380/220 V IP-23) e as-built. </t>
    </r>
    <r>
      <rPr>
        <b val="true"/>
        <sz val="9"/>
        <color rgb="FF000000"/>
        <rFont val="Arial"/>
        <family val="0"/>
        <charset val="1"/>
      </rPr>
      <t xml:space="preserve">Fotos: </t>
    </r>
    <r>
      <rPr>
        <sz val="9"/>
        <color rgb="FF000000"/>
        <rFont val="Arial"/>
        <family val="0"/>
        <charset val="1"/>
      </rPr>
      <t xml:space="preserve">114700. </t>
    </r>
    <r>
      <rPr>
        <b val="true"/>
        <sz val="9"/>
        <color rgb="FF7030A0"/>
        <rFont val="Arial"/>
        <family val="0"/>
        <charset val="1"/>
      </rPr>
      <t xml:space="preserve">Novo v2: </t>
    </r>
    <r>
      <rPr>
        <sz val="9"/>
        <color rgb="FF7030A0"/>
        <rFont val="Arial"/>
        <family val="0"/>
        <charset val="1"/>
      </rPr>
      <t xml:space="preserve">Contexto: Pólux = fabricante nacional de transformadores a seco (encapsulado); 112,5 kVA Dyn1, 440 → 380/220 V, IP-23. 
</t>
    </r>
    <r>
      <rPr>
        <b val="true"/>
        <sz val="9"/>
        <color rgb="FF000000"/>
        <rFont val="Arial"/>
        <family val="0"/>
        <charset val="1"/>
      </rPr>
      <t xml:space="preserve">• QGBT-3100: Crítica: </t>
    </r>
    <r>
      <rPr>
        <sz val="9"/>
        <color rgb="FF000000"/>
        <rFont val="Arial"/>
        <family val="0"/>
        <charset val="1"/>
      </rPr>
      <t xml:space="preserve">01 </t>
    </r>
    <r>
      <rPr>
        <strike val="true"/>
        <sz val="9"/>
        <color rgb="FF000000"/>
        <rFont val="Arial"/>
        <family val="0"/>
        <charset val="1"/>
      </rPr>
      <t xml:space="preserve">QGBT-3101</t>
    </r>
    <r>
      <rPr>
        <sz val="9"/>
        <color rgb="FF000000"/>
        <rFont val="Arial"/>
        <family val="0"/>
        <charset val="1"/>
      </rPr>
      <t xml:space="preserve">. </t>
    </r>
    <r>
      <rPr>
        <b val="true"/>
        <sz val="9"/>
        <color rgb="FFB38600"/>
        <rFont val="Arial"/>
        <family val="0"/>
        <charset val="1"/>
      </rPr>
      <t xml:space="preserve">Projeto: </t>
    </r>
    <r>
      <rPr>
        <sz val="9"/>
        <color rgb="FFB38600"/>
        <rFont val="Arial"/>
        <family val="0"/>
        <charset val="1"/>
      </rPr>
      <t xml:space="preserve">as-built item 8: Painel de distribuição de baixa tensão, nº VOLGA V2023-1534. </t>
    </r>
    <r>
      <rPr>
        <b val="true"/>
        <sz val="9"/>
        <color rgb="FF00703C"/>
        <rFont val="Arial"/>
        <family val="0"/>
        <charset val="1"/>
      </rPr>
      <t xml:space="preserve">SAP: </t>
    </r>
    <r>
      <rPr>
        <strike val="true"/>
        <sz val="9"/>
        <color rgb="FF00703C"/>
        <rFont val="Arial"/>
        <family val="0"/>
        <charset val="1"/>
      </rPr>
      <t xml:space="preserve">QGBT-3100</t>
    </r>
    <r>
      <rPr>
        <sz val="9"/>
        <color rgb="FF00703C"/>
        <rFont val="Arial"/>
        <family val="0"/>
        <charset val="1"/>
      </rPr>
      <t xml:space="preserve"> QUADRO GERAL BX TENSAO – local BPAM-SELE-PNN-40, equip. 000000123618, </t>
    </r>
    <r>
      <rPr>
        <strike val="true"/>
        <sz val="9"/>
        <color rgb="FF00703C"/>
        <rFont val="Arial"/>
        <family val="0"/>
        <charset val="1"/>
      </rPr>
      <t xml:space="preserve">ABC C</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VOLGA ELETROCENTRO </t>
    </r>
    <r>
      <rPr>
        <strike val="true"/>
        <sz val="9"/>
        <color rgb="FF1F4E9A"/>
        <rFont val="Arial"/>
        <family val="0"/>
        <charset val="1"/>
      </rPr>
      <t xml:space="preserve">QGBT-3100</t>
    </r>
    <r>
      <rPr>
        <sz val="9"/>
        <color rgb="FF1F4E9A"/>
        <rFont val="Arial"/>
        <family val="0"/>
        <charset val="1"/>
      </rPr>
      <t xml:space="preserve">; </t>
    </r>
    <r>
      <rPr>
        <strike val="true"/>
        <sz val="9"/>
        <color rgb="FF1F4E9A"/>
        <rFont val="Arial"/>
        <family val="0"/>
        <charset val="1"/>
      </rPr>
      <t xml:space="preserve">doc. DE-3100-4300-014_00A04</t>
    </r>
    <r>
      <rPr>
        <sz val="9"/>
        <color rgb="FF1F4E9A"/>
        <rFont val="Arial"/>
        <family val="0"/>
        <charset val="1"/>
      </rPr>
      <t xml:space="preserve">; 2024; </t>
    </r>
    <r>
      <rPr>
        <strike val="true"/>
        <sz val="9"/>
        <color rgb="FF1F4E9A"/>
        <rFont val="Arial"/>
        <family val="0"/>
        <charset val="1"/>
      </rPr>
      <t xml:space="preserve">0,6/1 kV</t>
    </r>
    <r>
      <rPr>
        <sz val="9"/>
        <color rgb="FF1F4E9A"/>
        <rFont val="Arial"/>
        <family val="0"/>
        <charset val="1"/>
      </rPr>
      <t xml:space="preserve">; 380 Vca; corrente 160 A (leitura incerta – pode ser 1600 A); curto 2? kA (ilegível); comando N.A.; </t>
    </r>
    <r>
      <rPr>
        <strike val="true"/>
        <sz val="9"/>
        <color rgb="FF1F4E9A"/>
        <rFont val="Arial"/>
        <family val="0"/>
        <charset val="1"/>
      </rPr>
      <t xml:space="preserve">isolação 1,0 kV</t>
    </r>
    <r>
      <rPr>
        <sz val="9"/>
        <color rgb="FF1F4E9A"/>
        <rFont val="Arial"/>
        <family val="0"/>
        <charset val="1"/>
      </rPr>
      <t xml:space="preserve">; IP 54. </t>
    </r>
    <r>
      <rPr>
        <b val="true"/>
        <sz val="9"/>
        <color rgb="FF000000"/>
        <rFont val="Arial"/>
        <family val="0"/>
        <charset val="1"/>
      </rPr>
      <t xml:space="preserve">Obs.: </t>
    </r>
    <r>
      <rPr>
        <strike val="true"/>
        <sz val="9"/>
        <color rgb="FF000000"/>
        <rFont val="Arial"/>
        <family val="0"/>
        <charset val="1"/>
      </rPr>
      <t xml:space="preserve">Placa fotografada (terceiros, 23/09/2026).</t>
    </r>
    <r>
      <rPr>
        <sz val="9"/>
        <color rgb="FF000000"/>
        <rFont val="Arial"/>
        <family val="0"/>
        <charset val="1"/>
      </rPr>
      <t xml:space="preserve"> Corrente: ler na foto original ou pedir. </t>
    </r>
    <r>
      <rPr>
        <b val="true"/>
        <sz val="9"/>
        <color rgb="FF000000"/>
        <rFont val="Arial"/>
        <family val="0"/>
        <charset val="1"/>
      </rPr>
      <t xml:space="preserve">Fotos: </t>
    </r>
    <r>
      <rPr>
        <sz val="9"/>
        <color rgb="FF000000"/>
        <rFont val="Arial"/>
        <family val="0"/>
        <charset val="1"/>
      </rPr>
      <t xml:space="preserve">114648. 
</t>
    </r>
    <r>
      <rPr>
        <b val="true"/>
        <sz val="9"/>
        <color rgb="FF000000"/>
        <rFont val="Arial"/>
        <family val="0"/>
        <charset val="1"/>
      </rPr>
      <t xml:space="preserve">• TR.NB-3100: Crítica: </t>
    </r>
    <r>
      <rPr>
        <sz val="9"/>
        <color rgb="FF000000"/>
        <rFont val="Arial"/>
        <family val="0"/>
        <charset val="1"/>
      </rPr>
      <t xml:space="preserve">integra o sistema de energia ininterrupta </t>
    </r>
    <r>
      <rPr>
        <strike val="true"/>
        <sz val="9"/>
        <color rgb="FF000000"/>
        <rFont val="Arial"/>
        <family val="0"/>
        <charset val="1"/>
      </rPr>
      <t xml:space="preserve">NB-3101</t>
    </r>
    <r>
      <rPr>
        <sz val="9"/>
        <color rgb="FF000000"/>
        <rFont val="Arial"/>
        <family val="0"/>
        <charset val="1"/>
      </rPr>
      <t xml:space="preserve">. </t>
    </r>
    <r>
      <rPr>
        <b val="true"/>
        <sz val="9"/>
        <color rgb="FFB38600"/>
        <rFont val="Arial"/>
        <family val="0"/>
        <charset val="1"/>
      </rPr>
      <t xml:space="preserve">Projeto: </t>
    </r>
    <r>
      <rPr>
        <sz val="9"/>
        <color rgb="FFB38600"/>
        <rFont val="Arial"/>
        <family val="0"/>
        <charset val="1"/>
      </rPr>
      <t xml:space="preserve">as-built item 9: Transformador do nobreak 20 kVA 380-220 V IP-23, nº VOLGA VE2023-0313. </t>
    </r>
    <r>
      <rPr>
        <b val="true"/>
        <sz val="9"/>
        <color rgb="FF00703C"/>
        <rFont val="Arial"/>
        <family val="0"/>
        <charset val="1"/>
      </rPr>
      <t xml:space="preserve">SAP: </t>
    </r>
    <r>
      <rPr>
        <strike val="true"/>
        <sz val="9"/>
        <color rgb="FF00703C"/>
        <rFont val="Arial"/>
        <family val="0"/>
        <charset val="1"/>
      </rPr>
      <t xml:space="preserve">TR.NB-3100</t>
    </r>
    <r>
      <rPr>
        <sz val="9"/>
        <color rgb="FF00703C"/>
        <rFont val="Arial"/>
        <family val="0"/>
        <charset val="1"/>
      </rPr>
      <t xml:space="preserve"> TRANSFORMADOR SECO NOBREAK – local BPAM-SELE-TRF-04, equip. 000000123635, </t>
    </r>
    <r>
      <rPr>
        <strike val="true"/>
        <sz val="9"/>
        <color rgb="FF00703C"/>
        <rFont val="Arial"/>
        <family val="0"/>
        <charset val="1"/>
      </rPr>
      <t xml:space="preserve">ABC A</t>
    </r>
    <r>
      <rPr>
        <sz val="9"/>
        <color rgb="FF00703C"/>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placa fotografada.</t>
    </r>
    <r>
      <rPr>
        <sz val="9"/>
        <color rgb="FF000000"/>
        <rFont val="Arial"/>
        <family val="0"/>
        <charset val="1"/>
      </rPr>
      <t xml:space="preserve"> 
</t>
    </r>
    <r>
      <rPr>
        <b val="true"/>
        <sz val="9"/>
        <color rgb="FF000000"/>
        <rFont val="Arial"/>
        <family val="0"/>
        <charset val="1"/>
      </rPr>
      <t xml:space="preserve">• NB-3100: Crítica: </t>
    </r>
    <r>
      <rPr>
        <sz val="9"/>
        <color rgb="FF000000"/>
        <rFont val="Arial"/>
        <family val="0"/>
        <charset val="1"/>
      </rPr>
      <t xml:space="preserve">01 sistema de energia ininterrupta CA – </t>
    </r>
    <r>
      <rPr>
        <strike val="true"/>
        <sz val="9"/>
        <color rgb="FF000000"/>
        <rFont val="Arial"/>
        <family val="0"/>
        <charset val="1"/>
      </rPr>
      <t xml:space="preserve">NB-3101</t>
    </r>
    <r>
      <rPr>
        <sz val="9"/>
        <color rgb="FF000000"/>
        <rFont val="Arial"/>
        <family val="0"/>
        <charset val="1"/>
      </rPr>
      <t xml:space="preserve">. </t>
    </r>
    <r>
      <rPr>
        <b val="true"/>
        <sz val="9"/>
        <color rgb="FFB38600"/>
        <rFont val="Arial"/>
        <family val="0"/>
        <charset val="1"/>
      </rPr>
      <t xml:space="preserve">Projeto: </t>
    </r>
    <r>
      <rPr>
        <sz val="9"/>
        <color rgb="FFB38600"/>
        <rFont val="Arial"/>
        <family val="0"/>
        <charset val="1"/>
      </rPr>
      <t xml:space="preserve">as-built item 10: Nobreak 20 kVA, nº VOLGA VE2023-0313. </t>
    </r>
    <r>
      <rPr>
        <b val="true"/>
        <sz val="9"/>
        <color rgb="FF00703C"/>
        <rFont val="Arial"/>
        <family val="0"/>
        <charset val="1"/>
      </rPr>
      <t xml:space="preserve">SAP: </t>
    </r>
    <r>
      <rPr>
        <strike val="true"/>
        <sz val="9"/>
        <color rgb="FF00703C"/>
        <rFont val="Arial"/>
        <family val="0"/>
        <charset val="1"/>
      </rPr>
      <t xml:space="preserve">NB-3100</t>
    </r>
    <r>
      <rPr>
        <sz val="9"/>
        <color rgb="FF00703C"/>
        <rFont val="Arial"/>
        <family val="0"/>
        <charset val="1"/>
      </rPr>
      <t xml:space="preserve"> NOBREAK – local BPAM-SELE-PNN-34, equip. 000000123616, </t>
    </r>
    <r>
      <rPr>
        <strike val="true"/>
        <sz val="9"/>
        <color rgb="FF00703C"/>
        <rFont val="Arial"/>
        <family val="0"/>
        <charset val="1"/>
      </rPr>
      <t xml:space="preserve">ABC A</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Schneider Electric Easy UPS 3S 3:3, modelo E3SUPS20KHB, S/N 9E2346T14071; 20 kVA/20 kW (380/400/415 V) ou 10 kVA/10 kW (200/208/220 V); Icc 10 kA; Made in China. </t>
    </r>
    <r>
      <rPr>
        <b val="true"/>
        <sz val="9"/>
        <color rgb="FF000000"/>
        <rFont val="Arial"/>
        <family val="0"/>
        <charset val="1"/>
      </rPr>
      <t xml:space="preserve">Obs.: </t>
    </r>
    <r>
      <rPr>
        <strike val="true"/>
        <sz val="9"/>
        <color rgb="FF000000"/>
        <rFont val="Arial"/>
        <family val="0"/>
        <charset val="1"/>
      </rPr>
      <t xml:space="preserve">Placa fotografada (terceiros, 23/09/2026).</t>
    </r>
    <r>
      <rPr>
        <sz val="9"/>
        <color rgb="FF000000"/>
        <rFont val="Arial"/>
        <family val="0"/>
        <charset val="1"/>
      </rPr>
      <t xml:space="preserve"> 20 kVA na placa = as-built. </t>
    </r>
    <r>
      <rPr>
        <b val="true"/>
        <sz val="9"/>
        <color rgb="FF000000"/>
        <rFont val="Arial"/>
        <family val="0"/>
        <charset val="1"/>
      </rPr>
      <t xml:space="preserve">Fotos: </t>
    </r>
    <r>
      <rPr>
        <sz val="9"/>
        <color rgb="FF000000"/>
        <rFont val="Arial"/>
        <family val="0"/>
        <charset val="1"/>
      </rPr>
      <t xml:space="preserve">114716. </t>
    </r>
    <r>
      <rPr>
        <b val="true"/>
        <sz val="9"/>
        <color rgb="FF7030A0"/>
        <rFont val="Arial"/>
        <family val="0"/>
        <charset val="1"/>
      </rPr>
      <t xml:space="preserve">Novo v2: </t>
    </r>
    <r>
      <rPr>
        <sz val="9"/>
        <color rgb="FF7030A0"/>
        <rFont val="Arial"/>
        <family val="0"/>
        <charset val="1"/>
      </rPr>
      <t xml:space="preserve">Contexto: Schneider Easy UPS 3S 20 kVA = nobreak trifásico on-line de dupla conversão; com gabinete de baterias E3SXR6. 
</t>
    </r>
    <r>
      <rPr>
        <b val="true"/>
        <sz val="9"/>
        <color rgb="FF000000"/>
        <rFont val="Arial"/>
        <family val="0"/>
        <charset val="1"/>
      </rPr>
      <t xml:space="preserve">• BB.NB-3100: Crítica: </t>
    </r>
    <r>
      <rPr>
        <sz val="9"/>
        <color rgb="FF000000"/>
        <rFont val="Arial"/>
        <family val="0"/>
        <charset val="1"/>
      </rPr>
      <t xml:space="preserve">integra o </t>
    </r>
    <r>
      <rPr>
        <strike val="true"/>
        <sz val="9"/>
        <color rgb="FF000000"/>
        <rFont val="Arial"/>
        <family val="0"/>
        <charset val="1"/>
      </rPr>
      <t xml:space="preserve">NB-3101</t>
    </r>
    <r>
      <rPr>
        <sz val="9"/>
        <color rgb="FF000000"/>
        <rFont val="Arial"/>
        <family val="0"/>
        <charset val="1"/>
      </rPr>
      <t xml:space="preserve">. </t>
    </r>
    <r>
      <rPr>
        <b val="true"/>
        <sz val="9"/>
        <color rgb="FFB38600"/>
        <rFont val="Arial"/>
        <family val="0"/>
        <charset val="1"/>
      </rPr>
      <t xml:space="preserve">Projeto: </t>
    </r>
    <r>
      <rPr>
        <sz val="9"/>
        <color rgb="FFB38600"/>
        <rFont val="Arial"/>
        <family val="0"/>
        <charset val="1"/>
      </rPr>
      <t xml:space="preserve">as-built item 11: Gabinete de baterias do nobreak, nº VOLGA VE2023-0313. </t>
    </r>
    <r>
      <rPr>
        <b val="true"/>
        <sz val="9"/>
        <color rgb="FF00703C"/>
        <rFont val="Arial"/>
        <family val="0"/>
        <charset val="1"/>
      </rPr>
      <t xml:space="preserve">SAP: </t>
    </r>
    <r>
      <rPr>
        <strike val="true"/>
        <sz val="9"/>
        <color rgb="FF00703C"/>
        <rFont val="Arial"/>
        <family val="0"/>
        <charset val="1"/>
      </rPr>
      <t xml:space="preserve">BB.NB-3100</t>
    </r>
    <r>
      <rPr>
        <sz val="9"/>
        <color rgb="FF00703C"/>
        <rFont val="Arial"/>
        <family val="0"/>
        <charset val="1"/>
      </rPr>
      <t xml:space="preserve"> GABINETE BATERIAS NOBREAK – local BPAM-SELE-PNN-31, equip. 000000123615, </t>
    </r>
    <r>
      <rPr>
        <strike val="true"/>
        <sz val="9"/>
        <color rgb="FF00703C"/>
        <rFont val="Arial"/>
        <family val="0"/>
        <charset val="1"/>
      </rPr>
      <t xml:space="preserve">ABC C</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Schneider Electric Modular Battery Cabinet, modelo E3SXR6, S/N 9E2346W11014; 480 Vcc; 125 A; 125 kg; Icw 10 kA. </t>
    </r>
    <r>
      <rPr>
        <b val="true"/>
        <sz val="9"/>
        <color rgb="FF000000"/>
        <rFont val="Arial"/>
        <family val="0"/>
        <charset val="1"/>
      </rPr>
      <t xml:space="preserve">Obs.: </t>
    </r>
    <r>
      <rPr>
        <strike val="true"/>
        <sz val="9"/>
        <color rgb="FF000000"/>
        <rFont val="Arial"/>
        <family val="0"/>
        <charset val="1"/>
      </rPr>
      <t xml:space="preserve">Placa fotografada (terceiros, 23/09/2026).</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114728. 
</t>
    </r>
    <r>
      <rPr>
        <b val="true"/>
        <sz val="9"/>
        <color rgb="FF000000"/>
        <rFont val="Arial"/>
        <family val="0"/>
        <charset val="1"/>
      </rPr>
      <t xml:space="preserve">• QL-3100: Crítica: </t>
    </r>
    <r>
      <rPr>
        <sz val="9"/>
        <color rgb="FF000000"/>
        <rFont val="Arial"/>
        <family val="0"/>
        <charset val="1"/>
      </rPr>
      <t xml:space="preserve">01 </t>
    </r>
    <r>
      <rPr>
        <strike val="true"/>
        <sz val="9"/>
        <color rgb="FF000000"/>
        <rFont val="Arial"/>
        <family val="0"/>
        <charset val="1"/>
      </rPr>
      <t xml:space="preserve">QL-3102</t>
    </r>
    <r>
      <rPr>
        <sz val="9"/>
        <color rgb="FF000000"/>
        <rFont val="Arial"/>
        <family val="0"/>
        <charset val="1"/>
      </rPr>
      <t xml:space="preserve">. </t>
    </r>
    <r>
      <rPr>
        <b val="true"/>
        <sz val="9"/>
        <color rgb="FFB38600"/>
        <rFont val="Arial"/>
        <family val="0"/>
        <charset val="1"/>
      </rPr>
      <t xml:space="preserve">Projeto: </t>
    </r>
    <r>
      <rPr>
        <sz val="9"/>
        <color rgb="FFB38600"/>
        <rFont val="Arial"/>
        <family val="0"/>
        <charset val="1"/>
      </rPr>
      <t xml:space="preserve">as-built item 12: Painel de iluminação, nº VOLGA V2023-1537. </t>
    </r>
    <r>
      <rPr>
        <b val="true"/>
        <sz val="9"/>
        <color rgb="FF00703C"/>
        <rFont val="Arial"/>
        <family val="0"/>
        <charset val="1"/>
      </rPr>
      <t xml:space="preserve">SAP: </t>
    </r>
    <r>
      <rPr>
        <strike val="true"/>
        <sz val="9"/>
        <color rgb="FF00703C"/>
        <rFont val="Arial"/>
        <family val="0"/>
        <charset val="1"/>
      </rPr>
      <t xml:space="preserve">QL-3100</t>
    </r>
    <r>
      <rPr>
        <sz val="9"/>
        <color rgb="FF00703C"/>
        <rFont val="Arial"/>
        <family val="0"/>
        <charset val="1"/>
      </rPr>
      <t xml:space="preserve"> QUADRO DE ILUMINACAO – local BPAM-SELE-PNN-43, equip. 000000123619, </t>
    </r>
    <r>
      <rPr>
        <strike val="true"/>
        <sz val="9"/>
        <color rgb="FF00703C"/>
        <rFont val="Arial"/>
        <family val="0"/>
        <charset val="1"/>
      </rPr>
      <t xml:space="preserve">ABC C</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VOLGA ELETROCENTRO-</t>
    </r>
    <r>
      <rPr>
        <strike val="true"/>
        <sz val="9"/>
        <color rgb="FF1F4E9A"/>
        <rFont val="Arial"/>
        <family val="0"/>
        <charset val="1"/>
      </rPr>
      <t xml:space="preserve">QL-3100</t>
    </r>
    <r>
      <rPr>
        <sz val="9"/>
        <color rgb="FF1F4E9A"/>
        <rFont val="Arial"/>
        <family val="0"/>
        <charset val="1"/>
      </rPr>
      <t xml:space="preserve">; doc. DE-3100-4300-018_00A04; 2024; </t>
    </r>
    <r>
      <rPr>
        <strike val="true"/>
        <sz val="9"/>
        <color rgb="FF1F4E9A"/>
        <rFont val="Arial"/>
        <family val="0"/>
        <charset val="1"/>
      </rPr>
      <t xml:space="preserve">0,6/1 kV</t>
    </r>
    <r>
      <rPr>
        <sz val="9"/>
        <color rgb="FF1F4E9A"/>
        <rFont val="Arial"/>
        <family val="0"/>
        <charset val="1"/>
      </rPr>
      <t xml:space="preserve">; 380/220 Vca; 60 Hz; 125 A; 3 kA; </t>
    </r>
    <r>
      <rPr>
        <strike val="true"/>
        <sz val="9"/>
        <color rgb="FF1F4E9A"/>
        <rFont val="Arial"/>
        <family val="0"/>
        <charset val="1"/>
      </rPr>
      <t xml:space="preserve">isolação 1,0 kV</t>
    </r>
    <r>
      <rPr>
        <sz val="9"/>
        <color rgb="FF1F4E9A"/>
        <rFont val="Arial"/>
        <family val="0"/>
        <charset val="1"/>
      </rPr>
      <t xml:space="preserve">; IP 54. </t>
    </r>
    <r>
      <rPr>
        <b val="true"/>
        <sz val="9"/>
        <color rgb="FF000000"/>
        <rFont val="Arial"/>
        <family val="0"/>
        <charset val="1"/>
      </rPr>
      <t xml:space="preserve">Obs.: </t>
    </r>
    <r>
      <rPr>
        <strike val="true"/>
        <sz val="9"/>
        <color rgb="FF000000"/>
        <rFont val="Arial"/>
        <family val="0"/>
        <charset val="1"/>
      </rPr>
      <t xml:space="preserve">Placa fotografada (terceiros, 23/09/2026).</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114753. 
</t>
    </r>
    <r>
      <rPr>
        <b val="true"/>
        <sz val="9"/>
        <color rgb="FF000000"/>
        <rFont val="Arial"/>
        <family val="0"/>
        <charset val="1"/>
      </rPr>
      <t xml:space="preserve">• QD-UPS-3100: Crítica: </t>
    </r>
    <r>
      <rPr>
        <sz val="9"/>
        <color rgb="FF000000"/>
        <rFont val="Arial"/>
        <family val="0"/>
        <charset val="1"/>
      </rPr>
      <t xml:space="preserve">01 </t>
    </r>
    <r>
      <rPr>
        <strike val="true"/>
        <sz val="9"/>
        <color rgb="FF000000"/>
        <rFont val="Arial"/>
        <family val="0"/>
        <charset val="1"/>
      </rPr>
      <t xml:space="preserve">QD-UPS-3101</t>
    </r>
    <r>
      <rPr>
        <sz val="9"/>
        <color rgb="FF000000"/>
        <rFont val="Arial"/>
        <family val="0"/>
        <charset val="1"/>
      </rPr>
      <t xml:space="preserve">. </t>
    </r>
    <r>
      <rPr>
        <b val="true"/>
        <sz val="9"/>
        <color rgb="FFB38600"/>
        <rFont val="Arial"/>
        <family val="0"/>
        <charset val="1"/>
      </rPr>
      <t xml:space="preserve">Projeto: </t>
    </r>
    <r>
      <rPr>
        <sz val="9"/>
        <color rgb="FFB38600"/>
        <rFont val="Arial"/>
        <family val="0"/>
        <charset val="1"/>
      </rPr>
      <t xml:space="preserve">as-built item 13: Quadro de distribuição estabilizada, nº VOLGA V2023-1536. </t>
    </r>
    <r>
      <rPr>
        <b val="true"/>
        <sz val="9"/>
        <color rgb="FF00703C"/>
        <rFont val="Arial"/>
        <family val="0"/>
        <charset val="1"/>
      </rPr>
      <t xml:space="preserve">SAP: </t>
    </r>
    <r>
      <rPr>
        <strike val="true"/>
        <sz val="9"/>
        <color rgb="FF00703C"/>
        <rFont val="Arial"/>
        <family val="0"/>
        <charset val="1"/>
      </rPr>
      <t xml:space="preserve">QD-UPS-3100</t>
    </r>
    <r>
      <rPr>
        <sz val="9"/>
        <color rgb="FF00703C"/>
        <rFont val="Arial"/>
        <family val="0"/>
        <charset val="1"/>
      </rPr>
      <t xml:space="preserve"> QUADRO ALIMENTACAO – local BPAM-SELE-PNN-37, equip. 000000123617, </t>
    </r>
    <r>
      <rPr>
        <strike val="true"/>
        <sz val="9"/>
        <color rgb="FF00703C"/>
        <rFont val="Arial"/>
        <family val="0"/>
        <charset val="1"/>
      </rPr>
      <t xml:space="preserve">ABC C</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VOLGA Etiqueta 'ELETROCENTRO </t>
    </r>
    <r>
      <rPr>
        <strike val="true"/>
        <sz val="9"/>
        <color rgb="FF1F4E9A"/>
        <rFont val="Arial"/>
        <family val="0"/>
        <charset val="1"/>
      </rPr>
      <t xml:space="preserve">QD-UPS-3100</t>
    </r>
    <r>
      <rPr>
        <sz val="9"/>
        <color rgb="FF1F4E9A"/>
        <rFont val="Arial"/>
        <family val="0"/>
        <charset val="1"/>
      </rPr>
      <t xml:space="preserve">' + QR Nr. V2023-1536, Fab. 2024. </t>
    </r>
    <r>
      <rPr>
        <b val="true"/>
        <sz val="9"/>
        <color rgb="FF000000"/>
        <rFont val="Arial"/>
        <family val="0"/>
        <charset val="1"/>
      </rPr>
      <t xml:space="preserve">Obs.: </t>
    </r>
    <r>
      <rPr>
        <strike val="true"/>
        <sz val="9"/>
        <color rgb="FF000000"/>
        <rFont val="Arial"/>
        <family val="0"/>
        <charset val="1"/>
      </rPr>
      <t xml:space="preserve">Placa fotografada (terceiros, 23/09/2026).</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114745. 
</t>
    </r>
    <r>
      <rPr>
        <b val="true"/>
        <sz val="9"/>
        <color rgb="FF000000"/>
        <rFont val="Arial"/>
        <family val="0"/>
        <charset val="1"/>
      </rPr>
      <t xml:space="preserve">• PN-AUT: </t>
    </r>
    <r>
      <rPr>
        <b val="true"/>
        <sz val="9"/>
        <color rgb="FFB38600"/>
        <rFont val="Arial"/>
        <family val="0"/>
        <charset val="1"/>
      </rPr>
      <t xml:space="preserve">Projeto: </t>
    </r>
    <r>
      <rPr>
        <sz val="9"/>
        <color rgb="FFB38600"/>
        <rFont val="Arial"/>
        <family val="0"/>
        <charset val="1"/>
      </rPr>
      <t xml:space="preserve">as-built item 14: Painel de automação (ESPAÇO DISPONÍVEL), nº VOLGA —. </t>
    </r>
    <r>
      <rPr>
        <b val="true"/>
        <sz val="9"/>
        <color rgb="FF000000"/>
        <rFont val="Arial"/>
        <family val="0"/>
        <charset val="1"/>
      </rPr>
      <t xml:space="preserve">Obs.: </t>
    </r>
    <r>
      <rPr>
        <sz val="9"/>
        <color rgb="FF000000"/>
        <rFont val="Arial"/>
        <family val="0"/>
        <charset val="1"/>
      </rPr>
      <t xml:space="preserve">Não é bem (espaço reservado). 
</t>
    </r>
    <r>
      <rPr>
        <b val="true"/>
        <sz val="9"/>
        <color rgb="FF000000"/>
        <rFont val="Arial"/>
        <family val="0"/>
        <charset val="1"/>
      </rPr>
      <t xml:space="preserve">• HVAC-WM: </t>
    </r>
    <r>
      <rPr>
        <b val="true"/>
        <sz val="9"/>
        <color rgb="FFB38600"/>
        <rFont val="Arial"/>
        <family val="0"/>
        <charset val="1"/>
      </rPr>
      <t xml:space="preserve">Projeto: </t>
    </r>
    <r>
      <rPr>
        <sz val="9"/>
        <color rgb="FFB38600"/>
        <rFont val="Arial"/>
        <family val="0"/>
        <charset val="1"/>
      </rPr>
      <t xml:space="preserve">as-built item 15: Ar condicionado wall mounted, nº VOLGA VE2023-0310. </t>
    </r>
    <r>
      <rPr>
        <b val="true"/>
        <sz val="9"/>
        <color rgb="FF00703C"/>
        <rFont val="Arial"/>
        <family val="0"/>
        <charset val="1"/>
      </rPr>
      <t xml:space="preserve">SAP: </t>
    </r>
    <r>
      <rPr>
        <sz val="9"/>
        <color rgb="FF00703C"/>
        <rFont val="Arial"/>
        <family val="0"/>
        <charset val="1"/>
      </rPr>
      <t xml:space="preserve">GAV-T-3101 HVAC-WM (só a gaveta de alimentação no </t>
    </r>
    <r>
      <rPr>
        <strike val="true"/>
        <sz val="9"/>
        <color rgb="FF00703C"/>
        <rFont val="Arial"/>
        <family val="0"/>
        <charset val="1"/>
      </rPr>
      <t xml:space="preserve">PN-3100</t>
    </r>
    <r>
      <rPr>
        <sz val="9"/>
        <color rgb="FF00703C"/>
        <rFont val="Arial"/>
        <family val="0"/>
        <charset val="1"/>
      </rPr>
      <t xml:space="preserve">; a unidade não tem cadastro) – local BPAM-SELE-PNN-01-37-22, equip. 000000123592, </t>
    </r>
    <r>
      <rPr>
        <strike val="true"/>
        <sz val="9"/>
        <color rgb="FF00703C"/>
        <rFont val="Arial"/>
        <family val="0"/>
        <charset val="1"/>
      </rPr>
      <t xml:space="preserve">ABC C</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MGE Air Modelo WMEE125A4PFBXXPGPEXPP (leitura incerta); série 1211_24; MAR/24; 12,5 TR; 12.500 m³/h; scroll; compressor 14 kW; total 18,35 kW / 29,7 A; 440/3/60; R410A 3,8 kg; 600 kg. </t>
    </r>
    <r>
      <rPr>
        <b val="true"/>
        <sz val="9"/>
        <color rgb="FF000000"/>
        <rFont val="Arial"/>
        <family val="0"/>
        <charset val="1"/>
      </rPr>
      <t xml:space="preserve">Obs.: </t>
    </r>
    <r>
      <rPr>
        <strike val="true"/>
        <sz val="9"/>
        <color rgb="FF000000"/>
        <rFont val="Arial"/>
        <family val="0"/>
        <charset val="1"/>
      </rPr>
      <t xml:space="preserve">Placa fotografada (terceiros, 23/09/2026).</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114800. </t>
    </r>
    <r>
      <rPr>
        <b val="true"/>
        <sz val="9"/>
        <color rgb="FF002060"/>
        <rFont val="Arial"/>
        <family val="0"/>
        <charset val="1"/>
      </rPr>
      <t xml:space="preserve">Cotação: </t>
    </r>
    <r>
      <rPr>
        <sz val="9"/>
        <color rgb="FF002060"/>
        <rFont val="Arial"/>
        <family val="0"/>
        <charset val="1"/>
      </rPr>
      <t xml:space="preserve">VOLGA 20230138 REV 6A: HVAC incluso no eletrocentro (item 15 do as-built, nº VE2023-0310); sem preço individual. </t>
    </r>
    <r>
      <rPr>
        <b val="true"/>
        <sz val="9"/>
        <color rgb="FF7030A0"/>
        <rFont val="Arial"/>
        <family val="0"/>
        <charset val="1"/>
      </rPr>
      <t xml:space="preserve">Novo v2: </t>
    </r>
    <r>
      <rPr>
        <sz val="9"/>
        <color rgb="FF7030A0"/>
        <rFont val="Arial"/>
        <family val="0"/>
        <charset val="1"/>
      </rPr>
      <t xml:space="preserve">Contexto: MGE Air = fabricante nacional de climatizadores industriais; 12,5 TR wall-mounted para o contêiner do eletrocentro; item 15 do as-built (VE2023-0310). 
</t>
    </r>
    <r>
      <rPr>
        <b val="true"/>
        <sz val="9"/>
        <color rgb="FF000000"/>
        <rFont val="Arial"/>
        <family val="0"/>
        <charset val="1"/>
      </rPr>
      <t xml:space="preserve">• Exaustores 1–3, termostato: </t>
    </r>
    <r>
      <rPr>
        <b val="true"/>
        <sz val="9"/>
        <color rgb="FFB38600"/>
        <rFont val="Arial"/>
        <family val="0"/>
        <charset val="1"/>
      </rPr>
      <t xml:space="preserve">Projeto: </t>
    </r>
    <r>
      <rPr>
        <sz val="9"/>
        <color rgb="FFB38600"/>
        <rFont val="Arial"/>
        <family val="0"/>
        <charset val="1"/>
      </rPr>
      <t xml:space="preserve">as-built item 16–19: Acessórios HVAC, nº VOLGA VE2023-0310. </t>
    </r>
    <r>
      <rPr>
        <b val="true"/>
        <sz val="9"/>
        <color rgb="FF000000"/>
        <rFont val="Arial"/>
        <family val="0"/>
        <charset val="1"/>
      </rPr>
      <t xml:space="preserve">Obs.: </t>
    </r>
    <r>
      <rPr>
        <strike val="true"/>
        <sz val="9"/>
        <color rgb="FF000000"/>
        <rFont val="Arial"/>
        <family val="0"/>
        <charset val="1"/>
      </rPr>
      <t xml:space="preserve">SEM placa fotografada.</t>
    </r>
    <r>
      <rPr>
        <sz val="9"/>
        <color rgb="FF000000"/>
        <rFont val="Arial"/>
        <family val="0"/>
        <charset val="1"/>
      </rPr>
      <t xml:space="preserve"> baixo valor. 
</t>
    </r>
    <r>
      <rPr>
        <b val="true"/>
        <sz val="9"/>
        <color rgb="FF000000"/>
        <rFont val="Arial"/>
        <family val="0"/>
        <charset val="1"/>
      </rPr>
      <t xml:space="preserve">• BW.01 / BW.02: Crítica: </t>
    </r>
    <r>
      <rPr>
        <sz val="9"/>
        <color rgb="FF000000"/>
        <rFont val="Arial"/>
        <family val="0"/>
        <charset val="1"/>
      </rPr>
      <t xml:space="preserve">01 barramento blindado IP-55 (</t>
    </r>
    <r>
      <rPr>
        <strike val="true"/>
        <sz val="9"/>
        <color rgb="FF000000"/>
        <rFont val="Arial"/>
        <family val="0"/>
        <charset val="1"/>
      </rPr>
      <t xml:space="preserve">PN-3101</t>
    </r>
    <r>
      <rPr>
        <sz val="9"/>
        <color rgb="FF000000"/>
        <rFont val="Arial"/>
        <family val="0"/>
        <charset val="1"/>
      </rPr>
      <t xml:space="preserve">) e 01 (</t>
    </r>
    <r>
      <rPr>
        <strike val="true"/>
        <sz val="9"/>
        <color rgb="FF000000"/>
        <rFont val="Arial"/>
        <family val="0"/>
        <charset val="1"/>
      </rPr>
      <t xml:space="preserve">TR-3101</t>
    </r>
    <r>
      <rPr>
        <sz val="9"/>
        <color rgb="FF000000"/>
        <rFont val="Arial"/>
        <family val="0"/>
        <charset val="1"/>
      </rPr>
      <t xml:space="preserve">/</t>
    </r>
    <r>
      <rPr>
        <strike val="true"/>
        <sz val="9"/>
        <color rgb="FF000000"/>
        <rFont val="Arial"/>
        <family val="0"/>
        <charset val="1"/>
      </rPr>
      <t xml:space="preserve">PN-3101</t>
    </r>
    <r>
      <rPr>
        <sz val="9"/>
        <color rgb="FF000000"/>
        <rFont val="Arial"/>
        <family val="0"/>
        <charset val="1"/>
      </rPr>
      <t xml:space="preserve">). </t>
    </r>
    <r>
      <rPr>
        <b val="true"/>
        <sz val="9"/>
        <color rgb="FFB38600"/>
        <rFont val="Arial"/>
        <family val="0"/>
        <charset val="1"/>
      </rPr>
      <t xml:space="preserve">Projeto: </t>
    </r>
    <r>
      <rPr>
        <sz val="9"/>
        <color rgb="FFB38600"/>
        <rFont val="Arial"/>
        <family val="0"/>
        <charset val="1"/>
      </rPr>
      <t xml:space="preserve">as-built item 21–22: Busway de conexão (</t>
    </r>
    <r>
      <rPr>
        <strike val="true"/>
        <sz val="9"/>
        <color rgb="FFB38600"/>
        <rFont val="Arial"/>
        <family val="0"/>
        <charset val="1"/>
      </rPr>
      <t xml:space="preserve">TR-3101</t>
    </r>
    <r>
      <rPr>
        <sz val="9"/>
        <color rgb="FFB38600"/>
        <rFont val="Arial"/>
        <family val="0"/>
        <charset val="1"/>
      </rPr>
      <t xml:space="preserve">/</t>
    </r>
    <r>
      <rPr>
        <strike val="true"/>
        <sz val="9"/>
        <color rgb="FFB38600"/>
        <rFont val="Arial"/>
        <family val="0"/>
        <charset val="1"/>
      </rPr>
      <t xml:space="preserve">PN-3101</t>
    </r>
    <r>
      <rPr>
        <sz val="9"/>
        <color rgb="FFB38600"/>
        <rFont val="Arial"/>
        <family val="0"/>
        <charset val="1"/>
      </rPr>
      <t xml:space="preserve">) e (</t>
    </r>
    <r>
      <rPr>
        <strike val="true"/>
        <sz val="9"/>
        <color rgb="FFB38600"/>
        <rFont val="Arial"/>
        <family val="0"/>
        <charset val="1"/>
      </rPr>
      <t xml:space="preserve">PN-3101</t>
    </r>
    <r>
      <rPr>
        <sz val="9"/>
        <color rgb="FFB38600"/>
        <rFont val="Arial"/>
        <family val="0"/>
        <charset val="1"/>
      </rPr>
      <t xml:space="preserve">), nº VOLGA VB2023-0184 / 0183. </t>
    </r>
    <r>
      <rPr>
        <b val="true"/>
        <sz val="9"/>
        <color rgb="FF000000"/>
        <rFont val="Arial"/>
        <family val="0"/>
        <charset val="1"/>
      </rPr>
      <t xml:space="preserve">Obs.: </t>
    </r>
    <r>
      <rPr>
        <strike val="true"/>
        <sz val="9"/>
        <color rgb="FF000000"/>
        <rFont val="Arial"/>
        <family val="0"/>
        <charset val="1"/>
      </rPr>
      <t xml:space="preserve">SEM placa fotografada.</t>
    </r>
    <r>
      <rPr>
        <sz val="9"/>
        <color rgb="FF000000"/>
        <rFont val="Arial"/>
        <family val="0"/>
        <charset val="1"/>
      </rPr>
      <t xml:space="preserve"> única menção a '-3101' no as-built. 
</t>
    </r>
    <r>
      <rPr>
        <b val="true"/>
        <sz val="9"/>
        <color rgb="FF000000"/>
        <rFont val="Arial"/>
        <family val="0"/>
        <charset val="1"/>
      </rPr>
      <t xml:space="preserve">• EXT / GD.TR-3100: </t>
    </r>
    <r>
      <rPr>
        <b val="true"/>
        <sz val="9"/>
        <color rgb="FFB38600"/>
        <rFont val="Arial"/>
        <family val="0"/>
        <charset val="1"/>
      </rPr>
      <t xml:space="preserve">Projeto: </t>
    </r>
    <r>
      <rPr>
        <sz val="9"/>
        <color rgb="FFB38600"/>
        <rFont val="Arial"/>
        <family val="0"/>
        <charset val="1"/>
      </rPr>
      <t xml:space="preserve">as-built item 23–26: Extintores e gradil do trafo, nº VOLGA VE2023-0300 / 0309. </t>
    </r>
    <r>
      <rPr>
        <b val="true"/>
        <sz val="9"/>
        <color rgb="FF000000"/>
        <rFont val="Arial"/>
        <family val="0"/>
        <charset val="1"/>
      </rPr>
      <t xml:space="preserve">Obs.: </t>
    </r>
    <r>
      <rPr>
        <strike val="true"/>
        <sz val="9"/>
        <color rgb="FF000000"/>
        <rFont val="Arial"/>
        <family val="0"/>
        <charset val="1"/>
      </rPr>
      <t xml:space="preserve">SEM placa fotografada.</t>
    </r>
    <r>
      <rPr>
        <sz val="9"/>
        <color rgb="FF000000"/>
        <rFont val="Arial"/>
        <family val="0"/>
        <charset val="1"/>
      </rPr>
      <t xml:space="preserve"> baixo valor. 
</t>
    </r>
    <r>
      <rPr>
        <b val="true"/>
        <sz val="9"/>
        <color rgb="FF000000"/>
        <rFont val="Arial"/>
        <family val="0"/>
        <charset val="1"/>
      </rPr>
      <t xml:space="preserve">• PNA 3105: </t>
    </r>
    <r>
      <rPr>
        <b val="true"/>
        <sz val="9"/>
        <color rgb="FFB38600"/>
        <rFont val="Arial"/>
        <family val="0"/>
        <charset val="1"/>
      </rPr>
      <t xml:space="preserve">Projeto: </t>
    </r>
    <r>
      <rPr>
        <sz val="9"/>
        <color rgb="FFB38600"/>
        <rFont val="Arial"/>
        <family val="0"/>
        <charset val="1"/>
      </rPr>
      <t xml:space="preserve">não está no as-built do eletrocentro (painel Chronus, projeto OE-620-03). </t>
    </r>
    <r>
      <rPr>
        <b val="true"/>
        <sz val="9"/>
        <color rgb="FF00703C"/>
        <rFont val="Arial"/>
        <family val="0"/>
        <charset val="1"/>
      </rPr>
      <t xml:space="preserve">SAP: </t>
    </r>
    <r>
      <rPr>
        <sz val="9"/>
        <color rgb="FF00703C"/>
        <rFont val="Arial"/>
        <family val="0"/>
        <charset val="1"/>
      </rPr>
      <t xml:space="preserve">PNA-3105 PAINEL AUTOMACAO RADARES – local BPAM-SELE-PNN-25, equip. 000000123613, ABC B. </t>
    </r>
    <r>
      <rPr>
        <b val="true"/>
        <sz val="9"/>
        <color rgb="FF1F4E9A"/>
        <rFont val="Arial"/>
        <family val="0"/>
        <charset val="1"/>
      </rPr>
      <t xml:space="preserve">Placa/campo: </t>
    </r>
    <r>
      <rPr>
        <sz val="9"/>
        <color rgb="FF1F4E9A"/>
        <rFont val="Arial"/>
        <family val="0"/>
        <charset val="1"/>
      </rPr>
      <t xml:space="preserve">Chronus Automação Cliente ULTRACARGO; Projeto PNA 3105; fab. 16/04/2024; 220 Vac; 10 A; 3 kA; IP66; 15 kg; nº projeto OE-620-03. </t>
    </r>
    <r>
      <rPr>
        <b val="true"/>
        <sz val="9"/>
        <color rgb="FF000000"/>
        <rFont val="Arial"/>
        <family val="0"/>
        <charset val="1"/>
      </rPr>
      <t xml:space="preserve">Obs.: </t>
    </r>
    <r>
      <rPr>
        <strike val="true"/>
        <sz val="9"/>
        <color rgb="FF000000"/>
        <rFont val="Arial"/>
        <family val="0"/>
        <charset val="1"/>
      </rPr>
      <t xml:space="preserve">Placa fotografada (terceiros, 23/09/2026).</t>
    </r>
    <r>
      <rPr>
        <sz val="9"/>
        <color rgb="FF000000"/>
        <rFont val="Arial"/>
        <family val="0"/>
        <charset val="1"/>
      </rPr>
      <t xml:space="preserve"> Outros Fixos (painéis Chronus). Campo tinha PNA 3102 e PNA 3103; este é novo. Painel Chronus (automação) – Outros Fixos, não integra a linha 18. </t>
    </r>
    <r>
      <rPr>
        <b val="true"/>
        <sz val="9"/>
        <color rgb="FF000000"/>
        <rFont val="Arial"/>
        <family val="0"/>
        <charset val="1"/>
      </rPr>
      <t xml:space="preserve">Fotos: </t>
    </r>
    <r>
      <rPr>
        <sz val="9"/>
        <color rgb="FF000000"/>
        <rFont val="Arial"/>
        <family val="0"/>
        <charset val="1"/>
      </rPr>
      <t xml:space="preserve">114737. </t>
    </r>
    <r>
      <rPr>
        <b val="true"/>
        <sz val="9"/>
        <color rgb="FF002060"/>
        <rFont val="Arial"/>
        <family val="0"/>
        <charset val="1"/>
      </rPr>
      <t xml:space="preserve">Cotação: </t>
    </r>
    <r>
      <rPr>
        <sz val="9"/>
        <color rgb="FF002060"/>
        <rFont val="Arial"/>
        <family val="0"/>
        <charset val="1"/>
      </rPr>
      <t xml:space="preserve">CHRONUS (27/02/2024, Rev. 03): a proposta cobre PNA-3101 (portaria), 3102 (ferroviário), 3103 (rodoviário), 3104 (CLP de processo, subestação) e 3106 (CLP de segurança, dique 1) = R$ 300.000,00; o PNA-3105 não está nessa proposta. ENDRESS+HAUSER 2003681568 REV.05 (13/12/2023): transmissores de nível radar NMR84 (flange 4", 4–20 mA/fieldbus, AISI 316L, IP68) R$ 778.944,33 + instalação R$ 117.508,37 = R$ 896.452,70 – instrumentação de campo do "painel de automação radares". </t>
    </r>
    <r>
      <rPr>
        <b val="true"/>
        <sz val="9"/>
        <color rgb="FF7030A0"/>
        <rFont val="Arial"/>
        <family val="0"/>
        <charset val="1"/>
      </rPr>
      <t xml:space="preserve">Novo v2: </t>
    </r>
    <r>
      <rPr>
        <sz val="9"/>
        <color rgb="FF7030A0"/>
        <rFont val="Arial"/>
        <family val="0"/>
        <charset val="1"/>
      </rPr>
      <t xml:space="preserve">Não integra a linha 18 (VOLGA) nem a proposta Chronus; é painel de automação dos radares de nível Endress NMR84 – candidato a "Outros Fixos" junto com os radares (R$ 778.944,33 cotados). 
</t>
    </r>
    <r>
      <rPr>
        <b val="true"/>
        <sz val="9"/>
        <color rgb="FF000000"/>
        <rFont val="Arial"/>
        <family val="0"/>
        <charset val="1"/>
      </rPr>
      <t xml:space="preserve">• Eletrocentro (container): </t>
    </r>
    <r>
      <rPr>
        <b val="true"/>
        <sz val="9"/>
        <color rgb="FFB38600"/>
        <rFont val="Arial"/>
        <family val="0"/>
        <charset val="1"/>
      </rPr>
      <t xml:space="preserve">Projeto: </t>
    </r>
    <r>
      <rPr>
        <sz val="9"/>
        <color rgb="FFB38600"/>
        <rFont val="Arial"/>
        <family val="0"/>
        <charset val="1"/>
      </rPr>
      <t xml:space="preserve">as-built item geral: Placa geral VOLGA do eletrocentro, nº VOLGA —. </t>
    </r>
    <r>
      <rPr>
        <b val="true"/>
        <sz val="9"/>
        <color rgb="FF000000"/>
        <rFont val="Arial"/>
        <family val="0"/>
        <charset val="1"/>
      </rPr>
      <t xml:space="preserve">Obs.: </t>
    </r>
    <r>
      <rPr>
        <strike val="true"/>
        <sz val="9"/>
        <color rgb="FF000000"/>
        <rFont val="Arial"/>
        <family val="0"/>
        <charset val="1"/>
      </rPr>
      <t xml:space="preserve">SEM placa fotografada.</t>
    </r>
    <r>
      <rPr>
        <sz val="9"/>
        <color rgb="FF000000"/>
        <rFont val="Arial"/>
        <family val="0"/>
        <charset val="1"/>
      </rPr>
      <t xml:space="preserve"> Pedir placa geral / data book. 
</t>
    </r>
    <r>
      <rPr>
        <b val="true"/>
        <sz val="9"/>
        <color rgb="FF000000"/>
        <rFont val="Arial"/>
        <family val="0"/>
        <charset val="1"/>
      </rPr>
      <t xml:space="preserve">• PN-3105: Crítica: </t>
    </r>
    <r>
      <rPr>
        <sz val="9"/>
        <color rgb="FF000000"/>
        <rFont val="Arial"/>
        <family val="0"/>
        <charset val="1"/>
      </rPr>
      <t xml:space="preserve">01 </t>
    </r>
    <r>
      <rPr>
        <strike val="true"/>
        <sz val="9"/>
        <color rgb="FF000000"/>
        <rFont val="Arial"/>
        <family val="0"/>
        <charset val="1"/>
      </rPr>
      <t xml:space="preserve">PN-3105</t>
    </r>
    <r>
      <rPr>
        <sz val="9"/>
        <color rgb="FF000000"/>
        <rFont val="Arial"/>
        <family val="0"/>
        <charset val="1"/>
      </rPr>
      <t xml:space="preserve"> (e 01 </t>
    </r>
    <r>
      <rPr>
        <strike val="true"/>
        <sz val="9"/>
        <color rgb="FF000000"/>
        <rFont val="Arial"/>
        <family val="0"/>
        <charset val="1"/>
      </rPr>
      <t xml:space="preserve">PN-3106</t>
    </r>
    <r>
      <rPr>
        <sz val="9"/>
        <color rgb="FF000000"/>
        <rFont val="Arial"/>
        <family val="0"/>
        <charset val="1"/>
      </rPr>
      <t xml:space="preserve">). </t>
    </r>
    <r>
      <rPr>
        <b val="true"/>
        <sz val="9"/>
        <color rgb="FF00703C"/>
        <rFont val="Arial"/>
        <family val="0"/>
        <charset val="1"/>
      </rPr>
      <t xml:space="preserve">SAP: </t>
    </r>
    <r>
      <rPr>
        <sz val="9"/>
        <color rgb="FF00703C"/>
        <rFont val="Arial"/>
        <family val="0"/>
        <charset val="1"/>
      </rPr>
      <t xml:space="preserve">GAV-</t>
    </r>
    <r>
      <rPr>
        <strike val="true"/>
        <sz val="9"/>
        <color rgb="FF00703C"/>
        <rFont val="Arial"/>
        <family val="0"/>
        <charset val="1"/>
      </rPr>
      <t xml:space="preserve">PN-3105</t>
    </r>
    <r>
      <rPr>
        <sz val="9"/>
        <color rgb="FF00703C"/>
        <rFont val="Arial"/>
        <family val="0"/>
        <charset val="1"/>
      </rPr>
      <t xml:space="preserve"> ELEVAT 01 (gaveta UF6_13 no </t>
    </r>
    <r>
      <rPr>
        <strike val="true"/>
        <sz val="9"/>
        <color rgb="FF00703C"/>
        <rFont val="Arial"/>
        <family val="0"/>
        <charset val="1"/>
      </rPr>
      <t xml:space="preserve">PN-3100</t>
    </r>
    <r>
      <rPr>
        <sz val="9"/>
        <color rgb="FF00703C"/>
        <rFont val="Arial"/>
        <family val="0"/>
        <charset val="1"/>
      </rPr>
      <t xml:space="preserve"> = alimentação da elevatória 01) – local BPAM-SELE-PNN-01-37-16, equip. 000000123590, </t>
    </r>
    <r>
      <rPr>
        <strike val="true"/>
        <sz val="9"/>
        <color rgb="FF00703C"/>
        <rFont val="Arial"/>
        <family val="0"/>
        <charset val="1"/>
      </rPr>
      <t xml:space="preserve">ABC C</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Painel eletrico / CCM – VOLGA, No de ident. V3323-1540 | Doc. PD-E557-EPA-EL-BEL-00400, 2024, Cliente ULTRACARGO TERMINAL LTDA, Efluentes. </t>
    </r>
    <r>
      <rPr>
        <b val="true"/>
        <sz val="9"/>
        <color rgb="FF000000"/>
        <rFont val="Arial"/>
        <family val="0"/>
        <charset val="1"/>
      </rPr>
      <t xml:space="preserve">Obs.: </t>
    </r>
    <r>
      <rPr>
        <sz val="9"/>
        <color rgb="FF000000"/>
        <rFont val="Arial"/>
        <family val="0"/>
        <charset val="1"/>
      </rPr>
      <t xml:space="preserve">Painel da elevatória 01 de efluentes (SAP: gaveta GAV-</t>
    </r>
    <r>
      <rPr>
        <strike val="true"/>
        <sz val="9"/>
        <color rgb="FF000000"/>
        <rFont val="Arial"/>
        <family val="0"/>
        <charset val="1"/>
      </rPr>
      <t xml:space="preserve">PN-3105</t>
    </r>
    <r>
      <rPr>
        <sz val="9"/>
        <color rgb="FF000000"/>
        <rFont val="Arial"/>
        <family val="0"/>
        <charset val="1"/>
      </rPr>
      <t xml:space="preserve"> ELEVAT 01; campo: "Efluentes"). Está na crítica (01 </t>
    </r>
    <r>
      <rPr>
        <strike val="true"/>
        <sz val="9"/>
        <color rgb="FF000000"/>
        <rFont val="Arial"/>
        <family val="0"/>
        <charset val="1"/>
      </rPr>
      <t xml:space="preserve">PN-3105</t>
    </r>
    <r>
      <rPr>
        <sz val="9"/>
        <color rgb="FF000000"/>
        <rFont val="Arial"/>
        <family val="0"/>
        <charset val="1"/>
      </rPr>
      <t xml:space="preserve">; 01 </t>
    </r>
    <r>
      <rPr>
        <strike val="true"/>
        <sz val="9"/>
        <color rgb="FF000000"/>
        <rFont val="Arial"/>
        <family val="0"/>
        <charset val="1"/>
      </rPr>
      <t xml:space="preserve">PN-3106</t>
    </r>
    <r>
      <rPr>
        <sz val="9"/>
        <color rgb="FF000000"/>
        <rFont val="Arial"/>
        <family val="0"/>
        <charset val="1"/>
      </rPr>
      <t xml:space="preserve">) mas fora do as-built do eletrocentro; o </t>
    </r>
    <r>
      <rPr>
        <strike val="true"/>
        <sz val="9"/>
        <color rgb="FF000000"/>
        <rFont val="Arial"/>
        <family val="0"/>
        <charset val="1"/>
      </rPr>
      <t xml:space="preserve">PN-3106</t>
    </r>
    <r>
      <rPr>
        <sz val="9"/>
        <color rgb="FF000000"/>
        <rFont val="Arial"/>
        <family val="0"/>
        <charset val="1"/>
      </rPr>
      <t xml:space="preserve"> (elevatória 02) não foi caracterizado. Campos de corrente/curto/IP em branco na placa. </t>
    </r>
    <r>
      <rPr>
        <b val="true"/>
        <sz val="9"/>
        <color rgb="FF000000"/>
        <rFont val="Arial"/>
        <family val="0"/>
        <charset val="1"/>
      </rPr>
      <t xml:space="preserve">Fotos: </t>
    </r>
    <r>
      <rPr>
        <sz val="9"/>
        <color rgb="FF000000"/>
        <rFont val="Arial"/>
        <family val="0"/>
        <charset val="1"/>
      </rPr>
      <t xml:space="preserve">0782-0784. </t>
    </r>
    <r>
      <rPr>
        <b val="true"/>
        <sz val="9"/>
        <color rgb="FF002060"/>
        <rFont val="Arial"/>
        <family val="0"/>
        <charset val="1"/>
      </rPr>
      <t xml:space="preserve">Cotação: </t>
    </r>
    <r>
      <rPr>
        <sz val="9"/>
        <color rgb="FF002060"/>
        <rFont val="Arial"/>
        <family val="0"/>
        <charset val="1"/>
      </rPr>
      <t xml:space="preserve">VOLGA 20230138 REV 6A: sem preço individual por painel (preço único do eletrocentro). </t>
    </r>
    <r>
      <rPr>
        <b val="true"/>
        <sz val="9"/>
        <color rgb="FF7030A0"/>
        <rFont val="Arial"/>
        <family val="0"/>
        <charset val="1"/>
      </rPr>
      <t xml:space="preserve">Novo v2: </t>
    </r>
    <r>
      <rPr>
        <sz val="9"/>
        <color rgb="FF7030A0"/>
        <rFont val="Arial"/>
        <family val="0"/>
        <charset val="1"/>
      </rPr>
      <t xml:space="preserve">Painel da elevatória 01 de efluentes (fora do as-built do eletrocentro, mas citado na crítica da linha 18 com o PN-3106). Confirmar se as NFs VOLGA 22/33/34 incluem PN-3105/3106 ou se têm NF própria. 
</t>
    </r>
    <r>
      <rPr>
        <b val="true"/>
        <sz val="9"/>
        <color rgb="FF000000"/>
        <rFont val="Arial"/>
        <family val="0"/>
        <charset val="1"/>
      </rPr>
      <t xml:space="preserve">• Painel VOLGA sem TAG: </t>
    </r>
    <r>
      <rPr>
        <b val="true"/>
        <sz val="9"/>
        <color rgb="FF1F4E9A"/>
        <rFont val="Arial"/>
        <family val="0"/>
        <charset val="1"/>
      </rPr>
      <t xml:space="preserve">Placa/campo: </t>
    </r>
    <r>
      <rPr>
        <sz val="9"/>
        <color rgb="FF1F4E9A"/>
        <rFont val="Arial"/>
        <family val="0"/>
        <charset val="1"/>
      </rPr>
      <t xml:space="preserve">Painel eletrico / CCM – VOLGA, Cliente Ultracargo Terminal Ltda, Eletrica. </t>
    </r>
    <r>
      <rPr>
        <b val="true"/>
        <sz val="9"/>
        <color rgb="FF000000"/>
        <rFont val="Arial"/>
        <family val="0"/>
        <charset val="1"/>
      </rPr>
      <t xml:space="preserve">Obs.: </t>
    </r>
    <r>
      <rPr>
        <sz val="9"/>
        <color rgb="FF000000"/>
        <rFont val="Arial"/>
        <family val="0"/>
        <charset val="1"/>
      </rPr>
      <t xml:space="preserve">Painel VOLGA sem TAG visto no lote 1 – identificar (pode ser o </t>
    </r>
    <r>
      <rPr>
        <strike val="true"/>
        <sz val="9"/>
        <color rgb="FF000000"/>
        <rFont val="Arial"/>
        <family val="0"/>
        <charset val="1"/>
      </rPr>
      <t xml:space="preserve">PN-3106</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0066, 0171, 0172. </t>
    </r>
    <r>
      <rPr>
        <b val="true"/>
        <sz val="9"/>
        <color rgb="FF002060"/>
        <rFont val="Arial"/>
        <family val="0"/>
        <charset val="1"/>
      </rPr>
      <t xml:space="preserve">Cotação: </t>
    </r>
    <r>
      <rPr>
        <sz val="9"/>
        <color rgb="FF002060"/>
        <rFont val="Arial"/>
        <family val="0"/>
        <charset val="1"/>
      </rPr>
      <t xml:space="preserve">VOLGA 20230138 REV 6A: sem preço individual por painel (preço único do eletrocentro). </t>
    </r>
    <r>
      <rPr>
        <b val="true"/>
        <sz val="9"/>
        <color rgb="FF7030A0"/>
        <rFont val="Arial"/>
        <family val="0"/>
        <charset val="1"/>
      </rPr>
      <t xml:space="preserve">Novo v2: </t>
    </r>
    <r>
      <rPr>
        <sz val="9"/>
        <color rgb="FF7030A0"/>
        <rFont val="Arial"/>
        <family val="0"/>
        <charset val="1"/>
      </rPr>
      <t xml:space="preserve">Provável PN-3106 (elevatória 02) – identificar na próxima visita (foto da placa com nº de identificação V3323-xxxx). </t>
    </r>
  </si>
  <si>
    <t xml:space="preserve">QGMT-3100-01</t>
  </si>
  <si>
    <r>
      <rPr>
        <b val="true"/>
        <sz val="9"/>
        <color rgb="FF000000"/>
        <rFont val="Arial"/>
        <family val="0"/>
        <charset val="1"/>
      </rPr>
      <t xml:space="preserve">Crítica: </t>
    </r>
    <r>
      <rPr>
        <sz val="9"/>
        <color rgb="FF000000"/>
        <rFont val="Arial"/>
        <family val="0"/>
        <charset val="1"/>
      </rPr>
      <t xml:space="preserve">01 QGMT-3101 + cubículos PMT SM6 36 kV (GAM-2, GBC-B, CM, DM1-A, relé P3U30, TP BDE-FT26C, TC BDE-4000A, PM5340).Projeto: as-built item 1: Painel de distribuição média tensão, nº VOLGA BR15-2023-44-0129.SAP: QGMT-3100-01 QUADRO GERAL MEDIA TENSAO (+ SUB-04 Q1 chave seccionadora, SUB-10 relé P3U30, SUB-13..19 TP1-TP3, SUB-22..28 TC1-TC3) – local BPAM-SELE-SUB-07, equip. 000000123625, ABC C.Placa/campo: VOLGA Cliente ULTRACARGO SOLUÇÕES LOGÍSTICA SA; ano 2024; classe 36 kV; operação 34,5 kV; 630 A; 60 Hz; 16 kA/1 s; isolação 36 kV; comando 220 Vca/Vcc; 1.730 kg; dissip. 1.300 W; NBR IEC 62271-200.</t>
    </r>
  </si>
  <si>
    <t xml:space="preserve">Painel de distribuição média tensão</t>
  </si>
  <si>
    <t xml:space="preserve">classe 36 kV, operação 34,5 kV, 630 A, 16 kA/1 s</t>
  </si>
  <si>
    <t xml:space="preserve">nº VOLGA BR15-2023-44-0129</t>
  </si>
  <si>
    <t xml:space="preserve">QGMT-3100-01 / 000000123625</t>
  </si>
  <si>
    <t xml:space="preserve">Placa fotografada (terceiros, 23/09/2026). Nome do cliente diverge das demais placas (A36).</t>
  </si>
  <si>
    <t xml:space="preserve">114620; 0929 (vista)</t>
  </si>
  <si>
    <t xml:space="preserve">SMF</t>
  </si>
  <si>
    <r>
      <rPr>
        <b val="true"/>
        <sz val="9"/>
        <color rgb="FF000000"/>
        <rFont val="Arial"/>
        <family val="0"/>
        <charset val="1"/>
      </rPr>
      <t xml:space="preserve">Crítica: </t>
    </r>
    <r>
      <rPr>
        <sz val="9"/>
        <color rgb="FF000000"/>
        <rFont val="Arial"/>
        <family val="0"/>
        <charset val="1"/>
      </rPr>
      <t xml:space="preserve">01 painel SMF.Projeto: as-built item 2: Sistema de medição para faturamento, nº VOLGA V2023-1543.Placa/campo: VOLGA Cliente ULTRACARGO TERMINAIS LTDA.; doc. DE-3100-4300-014_00A04; 2024; 0,6/1 kV; 125 Vcc/220 Vca; 60 Hz; 16 A; 10 kA; isolação 1,0 kV; proteção '3L' (prov. IP31); etiqueta UF2_1.</t>
    </r>
  </si>
  <si>
    <t xml:space="preserve">Sistema de medição para faturamento</t>
  </si>
  <si>
    <t xml:space="preserve">0,6/1 kV, 16 A, 10 kA</t>
  </si>
  <si>
    <t xml:space="preserve">nº VOLGA V2023-1543</t>
  </si>
  <si>
    <t xml:space="preserve">Placa fotografada (terceiros, 23/09/2026).</t>
  </si>
  <si>
    <t xml:space="preserve">114630</t>
  </si>
  <si>
    <t xml:space="preserve">TR-3100</t>
  </si>
  <si>
    <r>
      <rPr>
        <b val="true"/>
        <sz val="9"/>
        <color rgb="FF000000"/>
        <rFont val="Arial"/>
        <family val="0"/>
        <charset val="1"/>
      </rPr>
      <t xml:space="preserve">Crítica: </t>
    </r>
    <r>
      <rPr>
        <sz val="9"/>
        <color rgb="FF000000"/>
        <rFont val="Arial"/>
        <family val="0"/>
        <charset val="1"/>
      </rPr>
      <t xml:space="preserve">01 TR-3101 (potência não informada na crítica).Projeto: as-built item 3: Transformador de força 750 kVA – IP-00, nº VOLGA V2023-1531.SAP: TR-3101 TRANSFORMADOR 750kVA – local BPAM-SELE-SUB-01, equip. 000000123623, ABC A.</t>
    </r>
  </si>
  <si>
    <t xml:space="preserve">Transformador de força 750 kVA – IP-00</t>
  </si>
  <si>
    <t xml:space="preserve">750 kVA (as-built e SAP)</t>
  </si>
  <si>
    <t xml:space="preserve">nº VOLGA V2023-1531</t>
  </si>
  <si>
    <t xml:space="preserve">TR-3101 / 000000123623</t>
  </si>
  <si>
    <t xml:space="preserve">SEM placa fotografada. MAIOR componente do eletrocentro sem placa. A lista cita também 'TR-3101' no busway BW.01. Potência 750 kVA só no as-built e no SAP (TR-3101); a crítica não informa potência. Pedir placa/data-book.</t>
  </si>
  <si>
    <t xml:space="preserve">Maior componente do eletrocentro (750 kVA) sem placa fotografada – prioridade na próxima visita; pedir à VOLGA o rateio do preço (PT20230138-REV6).</t>
  </si>
  <si>
    <t xml:space="preserve">PN-3100 (lado A)</t>
  </si>
  <si>
    <r>
      <rPr>
        <b val="true"/>
        <sz val="9"/>
        <color rgb="FF000000"/>
        <rFont val="Arial"/>
        <family val="0"/>
        <charset val="1"/>
      </rPr>
      <t xml:space="preserve">Crítica: </t>
    </r>
    <r>
      <rPr>
        <sz val="9"/>
        <color rgb="FF000000"/>
        <rFont val="Arial"/>
        <family val="0"/>
        <charset val="1"/>
      </rPr>
      <t xml:space="preserve">01 PN-3101.Projeto: as-built item 4: Centro de controle de motores – lado A, nº VOLGA V2023-1533.SAP: PN-3100 CENTRO DE CONTROLE DE MOTORES (13 colunas, gavetas MB-3102..3126, PN-3104 lava-olhos, PN-3105/3106 elevatórias, HVAC, TL, BC) – local BPAM-SELE-PNN-01, equip. 000000123513, ABC A.Placa/campo: VOLGA Cliente ULTRACARGO TERMINAIS LTDA.; 2024; 0,6/1 kV; operação 440 Vca (leitura incerta); corrente 1000 A (leitura incerta); 20 kA; comando 127/220 Vca (incerto); isolação 1,0 kV; proteção 31; NBR IEC 61439-1 &amp; 2.</t>
    </r>
  </si>
  <si>
    <t xml:space="preserve">Centro de controle de motores – lado A</t>
  </si>
  <si>
    <t xml:space="preserve">440 Vca; 1000 A (leitura incerta); 20 kA</t>
  </si>
  <si>
    <t xml:space="preserve">nº VOLGA V2023-1533</t>
  </si>
  <si>
    <t xml:space="preserve">PN-3100 / 000000123513</t>
  </si>
  <si>
    <t xml:space="preserve">Placa fotografada (terceiros, 23/09/2026). As-built: o mesmo nº V2023-1533 para lado A e lado B.</t>
  </si>
  <si>
    <t xml:space="preserve">114639; 0933b (vista)</t>
  </si>
  <si>
    <t xml:space="preserve">PN-3100 (lado B)</t>
  </si>
  <si>
    <r>
      <rPr>
        <b val="true"/>
        <sz val="9"/>
        <color rgb="FF000000"/>
        <rFont val="Arial"/>
        <family val="0"/>
        <charset val="1"/>
      </rPr>
      <t xml:space="preserve">Crítica: </t>
    </r>
    <r>
      <rPr>
        <sz val="9"/>
        <color rgb="FF000000"/>
        <rFont val="Arial"/>
        <family val="0"/>
        <charset val="1"/>
      </rPr>
      <t xml:space="preserve">01 PN-3101.Projeto: as-built item 5: Centro de controle de motores – lado B, nº VOLGA V2023-1533.SAP: PN-3100 CENTRO DE CONTROLE DE MOTORES (13 colunas, gavetas MB-3102..3126, PN-3104 lava-olhos, PN-3105/3106 elevatórias, HVAC, TL, BC) – local BPAM-SELE-PNN-01, equip. 000000123513, ABC A.</t>
    </r>
  </si>
  <si>
    <t xml:space="preserve">Centro de controle de motores – lado B</t>
  </si>
  <si>
    <t xml:space="preserve">BC-3100</t>
  </si>
  <si>
    <r>
      <rPr>
        <b val="true"/>
        <sz val="9"/>
        <color rgb="FF000000"/>
        <rFont val="Arial"/>
        <family val="0"/>
        <charset val="1"/>
      </rPr>
      <t xml:space="preserve">Crítica: </t>
    </r>
    <r>
      <rPr>
        <sz val="9"/>
        <color rgb="FF000000"/>
        <rFont val="Arial"/>
        <family val="0"/>
        <charset val="1"/>
      </rPr>
      <t xml:space="preserve">01 BC-3101 (banco capacitor 170 kVAR).Projeto: as-built item 6: Banco de capacitores 170 kVAr, nº VOLGA V2023-1535.SAP: BC-3100 BANCO CAPACITOR 170kVAR – local BPAM-SELE-PNN-04, equip. 000000123606, ABC A.Placa/campo: VOLGA ELETROCENTRO-BC-3100 (BANCO CAPACITOR 170KVAR); doc. DE-3100-4300-014_00A04; 2024; 0,6/1 kV; 440 Vca; 400 A; 25 kA (incerto); comando 220 Vca; isolação 1,0 kV; IP-31.</t>
    </r>
  </si>
  <si>
    <t xml:space="preserve">Banco de capacitores 170 kVAr</t>
  </si>
  <si>
    <t xml:space="preserve">170 kVAr, 440 Vca, 400 A</t>
  </si>
  <si>
    <t xml:space="preserve">nº VOLGA V2023-1535</t>
  </si>
  <si>
    <t xml:space="preserve">BC-3100 / 000000123606</t>
  </si>
  <si>
    <t xml:space="preserve">Placa fotografada (terceiros, 23/09/2026). 170 kVAr na placa = crítica e as-built.</t>
  </si>
  <si>
    <t xml:space="preserve">114709</t>
  </si>
  <si>
    <t xml:space="preserve">TL-3100</t>
  </si>
  <si>
    <r>
      <rPr>
        <b val="true"/>
        <sz val="9"/>
        <color rgb="FF000000"/>
        <rFont val="Arial"/>
        <family val="0"/>
        <charset val="1"/>
      </rPr>
      <t xml:space="preserve">Crítica: </t>
    </r>
    <r>
      <rPr>
        <sz val="9"/>
        <color rgb="FF000000"/>
        <rFont val="Arial"/>
        <family val="0"/>
        <charset val="1"/>
      </rPr>
      <t xml:space="preserve">01 TL-3101; transformador auxiliar trifásico a seco 112,5 kVA 440-380/220 V IP-23.Projeto: as-built item 7: Transformador auxiliar 112,5 kVA – IP23, nº VOLGA V2023-1532.SAP: TL-3100 TRANSFORMADOR SECO – local BPAM-SELE-TRF-01, equip. 000000123634, ABC A.Placa/campo: PÓLUX Transformador a seco nº 1124063/001; 03/2024; ref. 2.03.02.5769; 60 Hz; ANAN; TTP; 3 fases; 112,5 kVA; Z 6,0 %; 120 °C em 440 V; fator K 1; 570 kg; IP-23; NBR 5356-11; Dyn1; AT 418–462 V (taps 1-2 a 1-6); BT 380 V 170,9 A; TAG TL-3100.</t>
    </r>
  </si>
  <si>
    <t xml:space="preserve">PÓLUX</t>
  </si>
  <si>
    <t xml:space="preserve">Transformador auxiliar 112,5 kVA – IP23</t>
  </si>
  <si>
    <t xml:space="preserve">112,5 kVA, AT 418-462 V / BT 380 V, Dyn1, Z 6 %</t>
  </si>
  <si>
    <t xml:space="preserve">nº VOLGA V2023-1532</t>
  </si>
  <si>
    <t xml:space="preserve">TL-3100 / 000000123634</t>
  </si>
  <si>
    <t xml:space="preserve">Placa fotografada (terceiros, 23/09/2026). Nº VOLGA V2023-1532 não aparece (placa é da Pólux). Placa Pólux 112,5 kVA, Dyn1, BT 380 V = crítica (112,5 kVA 440-380/220 V IP-23) e as-built.</t>
  </si>
  <si>
    <t xml:space="preserve">114700</t>
  </si>
  <si>
    <t xml:space="preserve">Contexto: Pólux = fabricante nacional de transformadores a seco (encapsulado); 112,5 kVA Dyn1, 440 → 380/220 V, IP-23.</t>
  </si>
  <si>
    <t xml:space="preserve">QGBT-3100</t>
  </si>
  <si>
    <r>
      <rPr>
        <b val="true"/>
        <sz val="9"/>
        <color rgb="FF000000"/>
        <rFont val="Arial"/>
        <family val="0"/>
        <charset val="1"/>
      </rPr>
      <t xml:space="preserve">Crítica: </t>
    </r>
    <r>
      <rPr>
        <sz val="9"/>
        <color rgb="FF000000"/>
        <rFont val="Arial"/>
        <family val="0"/>
        <charset val="1"/>
      </rPr>
      <t xml:space="preserve">01 QGBT-3101.Projeto: as-built item 8: Painel de distribuição de baixa tensão, nº VOLGA V2023-1534.SAP: QGBT-3100 QUADRO GERAL BX TENSAO – local BPAM-SELE-PNN-40, equip. 000000123618, ABC C.Placa/campo: VOLGA ELETROCENTRO QGBT-3100; doc. DE-3100-4300-014_00A04; 2024; 0,6/1 kV; 380 Vca; corrente 160 A (leitura incerta – pode ser 1600 A); curto 2? kA (ilegível); comando N.A.; isolação 1,0 kV; IP 54.</t>
    </r>
  </si>
  <si>
    <t xml:space="preserve">Painel de distribuição de baixa tensão</t>
  </si>
  <si>
    <t xml:space="preserve">380 Vca; 160 A (leitura incerta, pode ser 1600 A)</t>
  </si>
  <si>
    <t xml:space="preserve">nº VOLGA V2023-1534</t>
  </si>
  <si>
    <t xml:space="preserve">QGBT-3100 / 000000123618</t>
  </si>
  <si>
    <t xml:space="preserve">Placa fotografada (terceiros, 23/09/2026). Corrente: ler na foto original ou pedir.</t>
  </si>
  <si>
    <t xml:space="preserve">114648</t>
  </si>
  <si>
    <t xml:space="preserve">TR.NB-3100</t>
  </si>
  <si>
    <r>
      <rPr>
        <b val="true"/>
        <sz val="9"/>
        <color rgb="FF000000"/>
        <rFont val="Arial"/>
        <family val="0"/>
        <charset val="1"/>
      </rPr>
      <t xml:space="preserve">Crítica: </t>
    </r>
    <r>
      <rPr>
        <sz val="9"/>
        <color rgb="FF000000"/>
        <rFont val="Arial"/>
        <family val="0"/>
        <charset val="1"/>
      </rPr>
      <t xml:space="preserve">integra o sistema de energia ininterrupta NB-3101.Projeto: as-built item 9: Transformador do nobreak 20 kVA 380-220 V IP-23, nº VOLGA VE2023-0313.SAP: TR.NB-3100 TRANSFORMADOR SECO NOBREAK – local BPAM-SELE-TRF-04, equip. 000000123635, ABC A.</t>
    </r>
  </si>
  <si>
    <t xml:space="preserve">Transformador do nobreak 20 kVA 380-220 V IP-23</t>
  </si>
  <si>
    <t xml:space="preserve">20 kVA 380-220 V (as-built)</t>
  </si>
  <si>
    <t xml:space="preserve">nº VOLGA VE2023-0313</t>
  </si>
  <si>
    <t xml:space="preserve">TR.NB-3100 / 000000123635</t>
  </si>
  <si>
    <t xml:space="preserve">SEM placa fotografada.</t>
  </si>
  <si>
    <t xml:space="preserve">NB-3100</t>
  </si>
  <si>
    <r>
      <rPr>
        <b val="true"/>
        <sz val="9"/>
        <color rgb="FF000000"/>
        <rFont val="Arial"/>
        <family val="0"/>
        <charset val="1"/>
      </rPr>
      <t xml:space="preserve">Crítica: </t>
    </r>
    <r>
      <rPr>
        <sz val="9"/>
        <color rgb="FF000000"/>
        <rFont val="Arial"/>
        <family val="0"/>
        <charset val="1"/>
      </rPr>
      <t xml:space="preserve">01 sistema de energia ininterrupta CA – NB-3101.Projeto: as-built item 10: Nobreak 20 kVA, nº VOLGA VE2023-0313.SAP: NB-3100 NOBREAK – local BPAM-SELE-PNN-34, equip. 000000123616, ABC A.Placa/campo: Schneider Electric Easy UPS 3S 3:3, modelo E3SUPS20KHB, S/N 9E2346T14071; 20 kVA/20 kW (380/400/415 V) ou 10 kVA/10 kW (200/208/220 V); Icc 10 kA; Made in China.</t>
    </r>
  </si>
  <si>
    <t xml:space="preserve">Schneider Electric</t>
  </si>
  <si>
    <t xml:space="preserve">Nobreak 20 kVA</t>
  </si>
  <si>
    <t xml:space="preserve">20 kVA / 20 kW (380-415 V)</t>
  </si>
  <si>
    <t xml:space="preserve">NB-3100 / 000000123616</t>
  </si>
  <si>
    <t xml:space="preserve">Placa fotografada (terceiros, 23/09/2026). 20 kVA na placa = as-built.</t>
  </si>
  <si>
    <t xml:space="preserve">114716</t>
  </si>
  <si>
    <t xml:space="preserve">Contexto: Schneider Easy UPS 3S 20 kVA = nobreak trifásico on-line de dupla conversão; com gabinete de baterias E3SXR6.</t>
  </si>
  <si>
    <t xml:space="preserve">BB.NB-3100</t>
  </si>
  <si>
    <r>
      <rPr>
        <b val="true"/>
        <sz val="9"/>
        <color rgb="FF000000"/>
        <rFont val="Arial"/>
        <family val="0"/>
        <charset val="1"/>
      </rPr>
      <t xml:space="preserve">Crítica: </t>
    </r>
    <r>
      <rPr>
        <sz val="9"/>
        <color rgb="FF000000"/>
        <rFont val="Arial"/>
        <family val="0"/>
        <charset val="1"/>
      </rPr>
      <t xml:space="preserve">integra o NB-3101.Projeto: as-built item 11: Gabinete de baterias do nobreak, nº VOLGA VE2023-0313.SAP: BB.NB-3100 GABINETE BATERIAS NOBREAK – local BPAM-SELE-PNN-31, equip. 000000123615, ABC C.Placa/campo: Schneider Electric Modular Battery Cabinet, modelo E3SXR6, S/N 9E2346W11014; 480 Vcc; 125 A; 125 kg; Icw 10 kA.</t>
    </r>
  </si>
  <si>
    <t xml:space="preserve">Gabinete de baterias do nobreak</t>
  </si>
  <si>
    <t xml:space="preserve">480 Vcc, 125 A</t>
  </si>
  <si>
    <t xml:space="preserve">BB.NB-3100 / 000000123615</t>
  </si>
  <si>
    <t xml:space="preserve">114728</t>
  </si>
  <si>
    <t xml:space="preserve">QL-3100</t>
  </si>
  <si>
    <r>
      <rPr>
        <b val="true"/>
        <sz val="9"/>
        <color rgb="FF000000"/>
        <rFont val="Arial"/>
        <family val="0"/>
        <charset val="1"/>
      </rPr>
      <t xml:space="preserve">Crítica: </t>
    </r>
    <r>
      <rPr>
        <sz val="9"/>
        <color rgb="FF000000"/>
        <rFont val="Arial"/>
        <family val="0"/>
        <charset val="1"/>
      </rPr>
      <t xml:space="preserve">01 QL-3102.Projeto: as-built item 12: Painel de iluminação, nº VOLGA V2023-1537.SAP: QL-3100 QUADRO DE ILUMINACAO – local BPAM-SELE-PNN-43, equip. 000000123619, ABC C.Placa/campo: VOLGA ELETROCENTRO-QL-3100; doc. DE-3100-4300-018_00A04; 2024; 0,6/1 kV; 380/220 Vca; 60 Hz; 125 A; 3 kA; isolação 1,0 kV; IP 54.</t>
    </r>
  </si>
  <si>
    <t xml:space="preserve">Painel de iluminação</t>
  </si>
  <si>
    <t xml:space="preserve">380/220 Vca, 125 A, 3 kA</t>
  </si>
  <si>
    <t xml:space="preserve">nº VOLGA V2023-1537</t>
  </si>
  <si>
    <t xml:space="preserve">QL-3100 / 000000123619</t>
  </si>
  <si>
    <t xml:space="preserve">114753</t>
  </si>
  <si>
    <t xml:space="preserve">QD-UPS-3100</t>
  </si>
  <si>
    <r>
      <rPr>
        <b val="true"/>
        <sz val="9"/>
        <color rgb="FF000000"/>
        <rFont val="Arial"/>
        <family val="0"/>
        <charset val="1"/>
      </rPr>
      <t xml:space="preserve">Crítica: </t>
    </r>
    <r>
      <rPr>
        <sz val="9"/>
        <color rgb="FF000000"/>
        <rFont val="Arial"/>
        <family val="0"/>
        <charset val="1"/>
      </rPr>
      <t xml:space="preserve">01 QD-UPS-3101.Projeto: as-built item 13: Quadro de distribuição estabilizada, nº VOLGA V2023-1536.SAP: QD-UPS-3100 QUADRO ALIMENTACAO – local BPAM-SELE-PNN-37, equip. 000000123617, ABC C.Placa/campo: VOLGA Etiqueta 'ELETROCENTRO QD-UPS-3100' + QR Nr. V2023-1536, Fab. 2024.</t>
    </r>
  </si>
  <si>
    <t xml:space="preserve">Quadro de distribuição estabilizada</t>
  </si>
  <si>
    <t xml:space="preserve">nº VOLGA V2023-1536</t>
  </si>
  <si>
    <t xml:space="preserve">QD-UPS-3100 / 000000123617</t>
  </si>
  <si>
    <t xml:space="preserve">114745</t>
  </si>
  <si>
    <t xml:space="preserve">PN-AUT</t>
  </si>
  <si>
    <r>
      <rPr>
        <b val="true"/>
        <sz val="9"/>
        <color rgb="FFB38600"/>
        <rFont val="Arial"/>
        <family val="0"/>
        <charset val="1"/>
      </rPr>
      <t xml:space="preserve">Projeto: </t>
    </r>
    <r>
      <rPr>
        <sz val="9"/>
        <color rgb="FFB38600"/>
        <rFont val="Arial"/>
        <family val="0"/>
        <charset val="1"/>
      </rPr>
      <t xml:space="preserve">as-built item 14: Painel de automação (ESPAÇO DISPONÍVEL), nº VOLGA —.</t>
    </r>
  </si>
  <si>
    <t xml:space="preserve">Painel de automação (ESPAÇO DISPONÍVEL)</t>
  </si>
  <si>
    <t xml:space="preserve">Não é bem (espaço reservado).</t>
  </si>
  <si>
    <t xml:space="preserve">HVAC-WM</t>
  </si>
  <si>
    <r>
      <rPr>
        <b val="true"/>
        <sz val="9"/>
        <color rgb="FFB38600"/>
        <rFont val="Arial"/>
        <family val="0"/>
        <charset val="1"/>
      </rPr>
      <t xml:space="preserve">Projeto: </t>
    </r>
    <r>
      <rPr>
        <sz val="9"/>
        <color rgb="FFB38600"/>
        <rFont val="Arial"/>
        <family val="0"/>
        <charset val="1"/>
      </rPr>
      <t xml:space="preserve">as-built item 15: Ar condicionado wall mounted, nº VOLGA VE2023-0310.SAP: GAV-T-3101 HVAC-WM (só a gaveta de alimentação no PN-3100; a unidade não tem cadastro) – local BPAM-SELE-PNN-01-37-22, equip. 000000123592, ABC C.Placa/campo: MGE Air Modelo WMEE125A4PFBXXPGPEXPP (leitura incerta); série 1211_24; MAR/24; 12,5 TR; 12.500 m³/h; scroll; compressor 14 kW; total 18,35 kW / 29,7 A; 440/3/60; R410A 3,8 kg; 600 kg.</t>
    </r>
  </si>
  <si>
    <t xml:space="preserve">MGE Air</t>
  </si>
  <si>
    <t xml:space="preserve">Ar condicionado wall mounted</t>
  </si>
  <si>
    <t xml:space="preserve">12,5 TR; 12.500 m³/h; 18,35 kW</t>
  </si>
  <si>
    <t xml:space="preserve">nº VOLGA VE2023-0310</t>
  </si>
  <si>
    <t xml:space="preserve">GAV-T-3101 / 000000123592</t>
  </si>
  <si>
    <t xml:space="preserve">114800</t>
  </si>
  <si>
    <t xml:space="preserve">VOLGA 20230138 REV 6A: HVAC incluso no eletrocentro (item 15 do as-built, nº VE2023-0310); sem preço individual.</t>
  </si>
  <si>
    <t xml:space="preserve">Contexto: MGE Air = fabricante nacional de climatizadores industriais; 12,5 TR wall-mounted para o contêiner do eletrocentro; item 15 do as-built (VE2023-0310).</t>
  </si>
  <si>
    <t xml:space="preserve">Exaustores 1–3, termostato</t>
  </si>
  <si>
    <r>
      <rPr>
        <b val="true"/>
        <sz val="9"/>
        <color rgb="FFB38600"/>
        <rFont val="Arial"/>
        <family val="0"/>
        <charset val="1"/>
      </rPr>
      <t xml:space="preserve">Projeto: </t>
    </r>
    <r>
      <rPr>
        <sz val="9"/>
        <color rgb="FFB38600"/>
        <rFont val="Arial"/>
        <family val="0"/>
        <charset val="1"/>
      </rPr>
      <t xml:space="preserve">as-built item 16–19: Acessórios HVAC, nº VOLGA VE2023-0310.</t>
    </r>
  </si>
  <si>
    <t xml:space="preserve">Acessórios HVAC</t>
  </si>
  <si>
    <t xml:space="preserve">SEM placa fotografada. baixo valor.</t>
  </si>
  <si>
    <t xml:space="preserve">BW.01 / BW.02</t>
  </si>
  <si>
    <r>
      <rPr>
        <b val="true"/>
        <sz val="9"/>
        <color rgb="FF000000"/>
        <rFont val="Arial"/>
        <family val="0"/>
        <charset val="1"/>
      </rPr>
      <t xml:space="preserve">Crítica: </t>
    </r>
    <r>
      <rPr>
        <sz val="9"/>
        <color rgb="FF000000"/>
        <rFont val="Arial"/>
        <family val="0"/>
        <charset val="1"/>
      </rPr>
      <t xml:space="preserve">01 barramento blindado IP-55 (PN-3101) e 01 (TR-3101/PN-3101).Projeto: as-built item 21–22: Busway de conexão (TR-3101/PN-3101) e (PN-3101), nº VOLGA VB2023-0184 / 0183.</t>
    </r>
  </si>
  <si>
    <t xml:space="preserve">Busway de conexão (TR-3101/PN-3101) e (PN-3101)</t>
  </si>
  <si>
    <t xml:space="preserve">nº VOLGA VB2023-0184 / 0183</t>
  </si>
  <si>
    <t xml:space="preserve">SEM placa fotografada. única menção a '-3101' no as-built.</t>
  </si>
  <si>
    <t xml:space="preserve">EXT / GD.TR-3100</t>
  </si>
  <si>
    <r>
      <rPr>
        <b val="true"/>
        <sz val="9"/>
        <color rgb="FFB38600"/>
        <rFont val="Arial"/>
        <family val="0"/>
        <charset val="1"/>
      </rPr>
      <t xml:space="preserve">Projeto: </t>
    </r>
    <r>
      <rPr>
        <sz val="9"/>
        <color rgb="FFB38600"/>
        <rFont val="Arial"/>
        <family val="0"/>
        <charset val="1"/>
      </rPr>
      <t xml:space="preserve">as-built item 23–26: Extintores e gradil do trafo, nº VOLGA VE2023-0300 / 0309.</t>
    </r>
  </si>
  <si>
    <t xml:space="preserve">Extintores e gradil do trafo</t>
  </si>
  <si>
    <t xml:space="preserve">nº VOLGA VE2023-0300 / 0309</t>
  </si>
  <si>
    <t xml:space="preserve">PNA 3105</t>
  </si>
  <si>
    <r>
      <rPr>
        <b val="true"/>
        <sz val="9"/>
        <color rgb="FFB38600"/>
        <rFont val="Arial"/>
        <family val="0"/>
        <charset val="1"/>
      </rPr>
      <t xml:space="preserve">Projeto: </t>
    </r>
    <r>
      <rPr>
        <sz val="9"/>
        <color rgb="FFB38600"/>
        <rFont val="Arial"/>
        <family val="0"/>
        <charset val="1"/>
      </rPr>
      <t xml:space="preserve">não está no as-built do eletrocentro (painel Chronus, projeto OE-620-03).SAP: PNA-3105 PAINEL AUTOMACAO RADARES – local BPAM-SELE-PNN-25, equip. 000000123613, ABC B.Placa/campo: Chronus Automação Cliente ULTRACARGO; Projeto PNA 3105; fab. 16/04/2024; 220 Vac; 10 A; 3 kA; IP66; 15 kg; nº projeto OE-620-03.</t>
    </r>
  </si>
  <si>
    <t xml:space="preserve">Chronus Automação</t>
  </si>
  <si>
    <t xml:space="preserve">Painel Chronus (automação) – NÃO está na lista do eletrocentro</t>
  </si>
  <si>
    <t xml:space="preserve">220 Vac, 10 A, 3 kA, IP66</t>
  </si>
  <si>
    <t xml:space="preserve">nº VOLGA OE-620-03</t>
  </si>
  <si>
    <t xml:space="preserve">PNA-3105 / 000000123613</t>
  </si>
  <si>
    <t xml:space="preserve">Placa fotografada (terceiros, 23/09/2026). Outros Fixos (painéis Chronus). Campo tinha PNA 3102 e PNA 3103; este é novo. Painel Chronus (automação) – Outros Fixos, não integra a linha 18.</t>
  </si>
  <si>
    <t xml:space="preserve">114737</t>
  </si>
  <si>
    <t xml:space="preserve">CHRONUS (27/02/2024, Rev. 03): a proposta cobre PNA-3101 (portaria), 3102 (ferroviário), 3103 (rodoviário), 3104 (CLP de processo, subestação) e 3106 (CLP de segurança, dique 1) = R$ 300.000,00; o PNA-3105 não está nessa proposta. ENDRESS+HAUSER 2003681568 REV.05 (13/12/2023): transmissores de nível radar NMR84 (flange 4", 4–20 mA/fieldbus, AISI 316L, IP68) R$ 778.944,33 + instalação R$ 117.508,37 = R$ 896.452,70 – instrumentação de campo do "painel de automação radares".</t>
  </si>
  <si>
    <t xml:space="preserve">Não integra a linha 18 (VOLGA) nem a proposta Chronus; é painel de automação dos radares de nível Endress NMR84 – candidato a "Outros Fixos" junto com os radares (R$ 778.944,33 cotados).</t>
  </si>
  <si>
    <t xml:space="preserve">Eletrocentro (container)</t>
  </si>
  <si>
    <r>
      <rPr>
        <b val="true"/>
        <sz val="9"/>
        <color rgb="FFB38600"/>
        <rFont val="Arial"/>
        <family val="0"/>
        <charset val="1"/>
      </rPr>
      <t xml:space="preserve">Projeto: </t>
    </r>
    <r>
      <rPr>
        <sz val="9"/>
        <color rgb="FFB38600"/>
        <rFont val="Arial"/>
        <family val="0"/>
        <charset val="1"/>
      </rPr>
      <t xml:space="preserve">as-built item geral: Placa geral VOLGA do eletrocentro, nº VOLGA —.</t>
    </r>
  </si>
  <si>
    <t xml:space="preserve">Placa geral VOLGA do eletrocentro</t>
  </si>
  <si>
    <t xml:space="preserve">SEM placa fotografada. Pedir placa geral / data book.</t>
  </si>
  <si>
    <t xml:space="preserve">PN-3105</t>
  </si>
  <si>
    <r>
      <rPr>
        <b val="true"/>
        <sz val="9"/>
        <color rgb="FF000000"/>
        <rFont val="Arial"/>
        <family val="0"/>
        <charset val="1"/>
      </rPr>
      <t xml:space="preserve">Crítica: </t>
    </r>
    <r>
      <rPr>
        <sz val="9"/>
        <color rgb="FF000000"/>
        <rFont val="Arial"/>
        <family val="0"/>
        <charset val="1"/>
      </rPr>
      <t xml:space="preserve">01 PN-3105 (e 01 PN-3106).SAP: GAV-PN-3105 ELEVAT 01 (gaveta UF6_13 no PN-3100 = alimentação da elevatória 01) – local BPAM-SELE-PNN-01-37-16, equip. 000000123590, ABC C.Placa/campo: Painel eletrico / CCM – VOLGA, No de ident. V3323-1540 | Doc. PD-E557-EPA-EL-BEL-00400, 2024, Cliente ULTRACARGO TERMINAL LTDA, Efluentes.</t>
    </r>
  </si>
  <si>
    <t xml:space="preserve">No de ident. V3323-1540 | Doc. PD-E557-EPA-EL-BEL-00400</t>
  </si>
  <si>
    <t xml:space="preserve">GAV-PN-3105 / 000000123590</t>
  </si>
  <si>
    <t xml:space="preserve">Painel da elevatória 01 de efluentes (SAP: gaveta GAV-PN-3105 ELEVAT 01; campo: "Efluentes"). Está na crítica (01 PN-3105; 01 PN-3106) mas fora do as-built do eletrocentro; o PN-3106 (elevatória 02) não foi caracterizado. Campos de corrente/curto/IP em branco na placa.</t>
  </si>
  <si>
    <t xml:space="preserve">0782-0784</t>
  </si>
  <si>
    <t xml:space="preserve">VOLGA 20230138 REV 6A: sem preço individual por painel (preço único do eletrocentro).</t>
  </si>
  <si>
    <t xml:space="preserve">Painel da elevatória 01 de efluentes (fora do as-built do eletrocentro, mas citado na crítica da linha 18 com o PN-3106). Confirmar se as NFs VOLGA 22/33/34 incluem PN-3105/3106 ou se têm NF própria.</t>
  </si>
  <si>
    <t xml:space="preserve">Painel VOLGA sem TAG</t>
  </si>
  <si>
    <r>
      <rPr>
        <b val="true"/>
        <sz val="9"/>
        <color rgb="FF1F4E9A"/>
        <rFont val="Arial"/>
        <family val="0"/>
        <charset val="1"/>
      </rPr>
      <t xml:space="preserve">Placa/campo: </t>
    </r>
    <r>
      <rPr>
        <sz val="9"/>
        <color rgb="FF1F4E9A"/>
        <rFont val="Arial"/>
        <family val="0"/>
        <charset val="1"/>
      </rPr>
      <t xml:space="preserve">Painel eletrico / CCM – VOLGA, Cliente Ultracargo Terminal Ltda, Eletrica.</t>
    </r>
  </si>
  <si>
    <t xml:space="preserve">Painel VOLGA sem TAG visto no lote 1 – identificar (pode ser o PN-3106).</t>
  </si>
  <si>
    <t xml:space="preserve">0066, 0171, 0172</t>
  </si>
  <si>
    <t xml:space="preserve">Provável PN-3106 (elevatória 02) – identificar na próxima visita (foto da placa com nº de identificação V3323-xxxx).</t>
  </si>
  <si>
    <t xml:space="preserve">TOTAL M&amp;E</t>
  </si>
  <si>
    <t xml:space="preserve">Conferência: total de crítica = R$ 16.576.852,44; total de NF = soma das 23 NFs de M&amp;E do RT0538 (aba NF_ME).</t>
  </si>
  <si>
    <t xml:space="preserve">CÉLULA ÚNICA por conjunto (v2 – 12/10/2026): todas as informações da base de 07/10 (conjunto + componentes) nas cores de origem, redundâncias taxadas, cotações OPE154 em azul escuro e achados/correções/proposições em roxo. Base para as legendas do relatório fotográfico.</t>
  </si>
  <si>
    <t xml:space="preserve">Linha</t>
  </si>
  <si>
    <t xml:space="preserve">Conjunto</t>
  </si>
  <si>
    <t xml:space="preserve">Célula única</t>
  </si>
  <si>
    <t xml:space="preserve">Fotos / fontes de campo (conjunto + componentes)</t>
  </si>
  <si>
    <t xml:space="preserve">Valor crítica (R$)</t>
  </si>
  <si>
    <t xml:space="preserve">Valor NF (R$)</t>
  </si>
  <si>
    <t xml:space="preserve">Valor cotação (R$)</t>
  </si>
  <si>
    <t xml:space="preserve">Nº de componentes</t>
  </si>
  <si>
    <t xml:space="preserve">Linha na aba CARACTERIZACAO</t>
  </si>
  <si>
    <t xml:space="preserve">Grupo gerador (GD-3101): 0052-0060
Motor diesel do GMG: 0052-0055
Alternador (gerador) do GMG: 0056, 0059, 0060</t>
  </si>
  <si>
    <t xml:space="preserve">CARACTERIZACAO!X4</t>
  </si>
  <si>
    <t xml:space="preserve">Bombas SCI B-3101 A e B-3101 B: 0041-0043, 1003-1010 | ANP Fig. 183, 184, 199
B-3101A: 0042 | ANP Fig. 184
B-3101B: 0043 | ANP Fig. 184
TQ-3122 / TQ-3123 (tanques diesel das motobombas): 1003-1010 | ANP Fig. 199</t>
  </si>
  <si>
    <t xml:space="preserve">CARACTERIZACAO!X7</t>
  </si>
  <si>
    <t xml:space="preserve">Bomba jockey B-3102: 0041</t>
  </si>
  <si>
    <t xml:space="preserve">CARACTERIZACAO!X11</t>
  </si>
  <si>
    <t xml:space="preserve">Bombas de produto CETRAN 01 – 125-080-315 (12 un.): ver componentes
B-3103: 0125-0131 | ANP Fig. 146
B-3104: 0118-0124 | ANP Fig. 147
B-3105: 0157-0160 | ANP Fig. 148
B-3106: 0152-0156 | ANP Fig. 149
B-3107: 0138-0145 | ANP Fig. 150
B-3108: 0132-0137 | ANP Fig. 151
B-3110: 0095-0101 | ANP Fig. 153
B-3113: 0146-0151 | ANP Fig. 156
B-3114: 0090-0094 | ANP Fig. 157
B-3115: 0085-0089 | ANP Fig. 158
B-3111: 0079, 0082-0084 | ANP Fig. 154
B-3112: 0074-0076, 0080, 0081 | ANP Fig. 155</t>
  </si>
  <si>
    <t xml:space="preserve">CARACTERIZACAO!X12</t>
  </si>
  <si>
    <t xml:space="preserve">Bomba de produto CETRAN 01 – 100-065-315 (B-3109): ver componentes
B-3109: 0102-0105 | ANP Fig. 152</t>
  </si>
  <si>
    <t xml:space="preserve">CARACTERIZACAO!X25</t>
  </si>
  <si>
    <t xml:space="preserve">Bombas de produto CETRAN 01 – 125-080-315 (2 un.): ver componentes
B-3116: 0111-0117 | ANP Fig. 159
B-3117: 0106-0110 | ANP Fig. 160</t>
  </si>
  <si>
    <t xml:space="preserve">CARACTERIZACAO!X27</t>
  </si>
  <si>
    <t xml:space="preserve">Bombas CETRAN 02 (ferroviário) – 125-100-315 (2 un.): ver componentes
B-3118: 0788-0791
B-3119: 0793-0796, 1068-1076</t>
  </si>
  <si>
    <t xml:space="preserve">CARACTERIZACAO!X30</t>
  </si>
  <si>
    <t xml:space="preserve">Bombas CETRAN 02 (ferroviário) – 125-100-315 (3 un.): ver componentes
B-3120: 0797-0802
B-3122: 0812-0818
B-3123: 0819-0826</t>
  </si>
  <si>
    <t xml:space="preserve">CARACTERIZACAO!X33</t>
  </si>
  <si>
    <t xml:space="preserve">Bomba CETRAN 02 (ferroviário) – 125-100-315 (1 un.): ver componentes
B-3121: 0804-0809</t>
  </si>
  <si>
    <t xml:space="preserve">CARACTERIZACAO!X37</t>
  </si>
  <si>
    <t xml:space="preserve">Bombas de efluentes/drenagem – Megaflow V 80-250 K (2 un.): ver componentes
B-3130: 0779-0780, 1077-1082
B-3131: 0771-0776, 1083-1086</t>
  </si>
  <si>
    <t xml:space="preserve">CARACTERIZACAO!X39</t>
  </si>
  <si>
    <t xml:space="preserve">Bombas de efluentes/drenagem – Megaflow V 80-250 K (2 un.): ver componentes
B-3132: 0177-0179, 1047, 1048, 1052-1056
B-3133: 0175, 0176, 1049-1051</t>
  </si>
  <si>
    <t xml:space="preserve">CARACTERIZACAO!X42</t>
  </si>
  <si>
    <t xml:space="preserve">Bomba do sistema de água dos chuveiros de emergência – 050-032-200.1 (B-31100): ver componentes
B-31100: 1029-1038</t>
  </si>
  <si>
    <t xml:space="preserve">CARACTERIZACAO!X45</t>
  </si>
  <si>
    <t xml:space="preserve">Bombas de descarga rodoviária – 125-100-250 (B-3124 e B-3125): ver componentes
B-3124: 0273-0275 | ANP Fig. 177
B-3125: 0263-0266 | ANP Fig. 178</t>
  </si>
  <si>
    <t xml:space="preserve">CARACTERIZACAO!X47</t>
  </si>
  <si>
    <t xml:space="preserve">CARACTERIZACAO!X50</t>
  </si>
  <si>
    <t xml:space="preserve">Skid + plataforma TOP LOADING (PLCCT – 2 posições, 7 pontos): 0732-0768 | ANP Fig. 97, 98, 106, 108
BR-3101: 0732, 0733
BR-3102: 0738-0740
BR-3103: 0766-0768
BR-3104: 0764
BR-3105: 0759, 0761, 0762
BR-3106: 0751-0754</t>
  </si>
  <si>
    <t xml:space="preserve">CARACTERIZACAO!X51</t>
  </si>
  <si>
    <t xml:space="preserve">Unidade BOTTOM LOADING (2 posições, 7 pontos): 0475, 0476, 0990-0991
BOTTOM-3107: 0475
BOTTOM-3108: 0476
(sem TAG) – Preset de carregamento: 0990-0991</t>
  </si>
  <si>
    <t xml:space="preserve">CARACTERIZACAO!X58</t>
  </si>
  <si>
    <t xml:space="preserve">Skid de carregamento de vagões-tanque PLCVT-01 / U-3105 (4 pontos): 0836-0881
FT-3180: 0878
FT-3181: 0842-0844
FT-3182: 0881
FCV-3180: 0868-0871
FCV-3181: 0850-0852
FCV-3182: 0873-0876
FCV-3183: 0855-0859
TE-3181A: 0846
TE-3183A: 0848</t>
  </si>
  <si>
    <t xml:space="preserve">CARACTERIZACAO!X62</t>
  </si>
  <si>
    <t xml:space="preserve">Skid de DESCARGA de caminhões-tanque com duas bombas (PLDCT-03): ANP Fig. 175, 176</t>
  </si>
  <si>
    <t xml:space="preserve">CARACTERIZACAO!X72</t>
  </si>
  <si>
    <t xml:space="preserve">Carregamento ferroviário (braços TSPRO, SDV, sensores, alvos, botoeiras): 0886-0960 | ANP Fig. 119, 128, 131
BR ferrov. (lote 1): 0888-0931
BR ferrov. (lote 2): 0950, 0951, 0956
Plataformas 8 a 14 – lado B: 0886, 0897, 0900, 0906, 0923, 0934, 0960, 0917</t>
  </si>
  <si>
    <t xml:space="preserve">CARACTERIZACAO!X73</t>
  </si>
  <si>
    <t xml:space="preserve">COMPONENTES</t>
  </si>
  <si>
    <t xml:space="preserve">Componentes de campo sem vínculo documentado (linha 14)</t>
  </si>
  <si>
    <t xml:space="preserve">(TAG pendente) – Medidor de vazao tipo turbina: 0306, 0307
(TAG pendente) – Medidor de vazao tipo turbina: 0417-0420
(TAG pendente) – Medidor de vazao tipo turbina: 0403-0405
(TAG pendente) – Medidor de vazao tipo turbina: 0356-0359
(TAG pendente) – Medidor de vazao tipo turbina: 0408-0410
(TAG pendente) – Medidor de vazao tipo turbina: 0557, 0558
(TAG pendente) – Medidor de vazao tipo turbina: 0654, 0658, 0659
(TAG pendente) – Medidor de vazao tipo turbina: 0413-0415
(TAG pendente) – Medidor de vazao tipo turbina: 0562-0564
(TAG pendente) – Medidor de vazao tipo turbina: 0674-0676
FCV-3140: 0527-0532
FCV-3141: 0686-0691
FCV-3142: 0525-0526
FCV-3144: 0620-0622
FCV-3145: 0636-0637
FCV-3146: 0612-0618
FCV-3147: 0630-0634
FCV-3148: 0607-0609
FCV-3149: 0534-0537
FCV-3150: 0693-0696
FCV-3151: 0539-0540
FCV-3152: 0698-0700
FCV-3155: 0387
FCV-3156: 0459-0465
FCV-3157: 0335-0336
FCV-3158: 0338-0340
FCV-3159: 0330-0333
FCV-3160: 0341-0346
FCV-3161: 0327-0329
FCV-3164: 0389-0390
FCV-3165: 0467-0470
FT-3141: 0662-0663, 0667, 0670
FT-3142: 0553, 0554
FT-3143: 0711, 0712
FT-3148: 0649-0651
FT-3151: 0315-0317, 0567-0570
FT-3154: 0439, 0440
FT-3156: 0441, 0442
FT-3159: 0308, 0311, 0312
FT-3163: 0437, 0438
SDV-3103: 0489-0490
SDV-3111: 0492-0494
SDV-3112: 0496-0499
SDV-3113: 0485-0487
TE-3101A: 0548
TE-3141A: 0703, 0704
TE-3147A: 0643
TE-3149A: 0546
TE-3152A: 0708, 0709
XS-3103A: 0571, 0572
XS-3104: 0624, 0722, 0723
XS-3104B: 0594, 0595, 0724, 0725
XS-3107A: 0472, 0473
XS-3107B: 0430, 0431
XS-3108A: 0477, 0478
XS-31209: 0279, 0280
XS-31211: 0268, 0269
XS-31212: 0285, 0286</t>
  </si>
  <si>
    <t xml:space="preserve">CARACTERIZACAO!X77</t>
  </si>
  <si>
    <t xml:space="preserve">CARACTERIZACAO!X135</t>
  </si>
  <si>
    <t xml:space="preserve">Selos flutuantes – TQ-3103 e TQ-3104 (gasolina A, 1.700 m³): placas dos tanques (CARACTERIZAÇÃO v4)</t>
  </si>
  <si>
    <t xml:space="preserve">CARACTERIZACAO!X136</t>
  </si>
  <si>
    <t xml:space="preserve">Selos flutuantes – TQ-3109 e TQ-3110 (etanol anidro, 800 m³): placas dos tanques (CARACTERIZAÇÃO v4)</t>
  </si>
  <si>
    <t xml:space="preserve">CARACTERIZACAO!X137</t>
  </si>
  <si>
    <t xml:space="preserve">Selos flutuantes – 2 dos 3 tanques TQ-3111/3112/3113 (etanol hidratado, 300 m³): placas dos tanques (CARACTERIZAÇÃO v4)</t>
  </si>
  <si>
    <t xml:space="preserve">CARACTERIZACAO!X138</t>
  </si>
  <si>
    <t xml:space="preserve">Subestação tipo eletrocentro VOLGA: 0782-0784, 0992-0995, terceiros 21 e 23/09/2026
QGMT-3100-01: 114620; 0929 (vista)
SMF: 114630
PN-3100 (lado A): 114639; 0933b (vista)
BC-3100: 114709
TL-3100: 114700
QGBT-3100: 114648
NB-3100: 114716
BB.NB-3100: 114728
QL-3100: 114753
QD-UPS-3100: 114745
HVAC-WM: 114800
PNA 3105: 114737
PN-3105: 0782-0784
Painel VOLGA sem TAG: 0066, 0171, 0172</t>
  </si>
  <si>
    <t xml:space="preserve">CARACTERIZACAO!X139</t>
  </si>
  <si>
    <t xml:space="preserve">Totais (CONJUNTO)</t>
  </si>
  <si>
    <t xml:space="preserve">Nota: o total de cotação soma só as linhas CONJUNTO (as linhas 14 e 15-17 estão nos subitens); a linha 14 usa o preço único Metroval.</t>
  </si>
  <si>
    <t xml:space="preserve">Relação de NFs de Máquinas e Equipamentos do RT0538 (comprovação 2025) e atribuição às linhas da crítica</t>
  </si>
  <si>
    <t xml:space="preserve">Data</t>
  </si>
  <si>
    <t xml:space="preserve">Emitente</t>
  </si>
  <si>
    <t xml:space="preserve">CNPJ</t>
  </si>
  <si>
    <t xml:space="preserve">Descrição no RT0538</t>
  </si>
  <si>
    <t xml:space="preserve">Valor (R$)</t>
  </si>
  <si>
    <t xml:space="preserve">Linha(s) da crítica</t>
  </si>
  <si>
    <t xml:space="preserve">Base da atribuição</t>
  </si>
  <si>
    <t xml:space="preserve">Cotação OPE154 correspondente (v2 – azul escuro)</t>
  </si>
  <si>
    <t xml:space="preserve">Observação v2 (roxo)</t>
  </si>
  <si>
    <t xml:space="preserve">STEMAC S.A. Grupos Geradores</t>
  </si>
  <si>
    <t xml:space="preserve">92.753.269/0052-02</t>
  </si>
  <si>
    <t xml:space="preserve">GMG 0575KVA 440V 60HZ</t>
  </si>
  <si>
    <t xml:space="preserve">exata (valor = linha 1)</t>
  </si>
  <si>
    <t xml:space="preserve">STEMAC 13107/2023 REV01 (29/08/2023): R$ 393.500,00 – exata.</t>
  </si>
  <si>
    <t xml:space="preserve">CNPJ da proposta (92.753.268/0052-62) difere do da NF.</t>
  </si>
  <si>
    <t xml:space="preserve">KSB Brasil Ltda</t>
  </si>
  <si>
    <t xml:space="preserve">60.680.873/0001-14</t>
  </si>
  <si>
    <t xml:space="preserve">Conjunto bomba KSB</t>
  </si>
  <si>
    <t xml:space="preserve">2 e 3</t>
  </si>
  <si>
    <t xml:space="preserve">exata (soma das linhas 2 + 3 = 850.000,00)</t>
  </si>
  <si>
    <t xml:space="preserve">KSB RAS0045265 Rev. 7 (19/09/2023): 2 × 407.600,52 + 34.798,96 = R$ 850.000,00 – exata.</t>
  </si>
  <si>
    <t xml:space="preserve">Motor diesel MWM 6.12TCE; tanques 1.000 L inclusos.</t>
  </si>
  <si>
    <t xml:space="preserve">60.680.873/0009-71</t>
  </si>
  <si>
    <t xml:space="preserve">Bomba KSB</t>
  </si>
  <si>
    <t xml:space="preserve">4 (10 un.), 5, 12, 13</t>
  </si>
  <si>
    <t xml:space="preserve">decomposição aritmética única pelos preços unitários da crítica</t>
  </si>
  <si>
    <t xml:space="preserve">KSB RAS0051138 Rev. 10 (11/12/2023): preço por TAG (28 bombas, R$ 2.630.491,47).</t>
  </si>
  <si>
    <t xml:space="preserve">As 3 NFs KSB somam R$ 2.701.551,48 = cotação + R$ 71.060,00. Vínculo TAG × linha corrigido (ver ACHADOS A01/A02).</t>
  </si>
  <si>
    <t xml:space="preserve">4 (2 un.), 6, 7, 8, 9, 10</t>
  </si>
  <si>
    <t xml:space="preserve">KSB RAS0051138 Rev. 10: preço por TAG.</t>
  </si>
  <si>
    <t xml:space="preserve">Idem.</t>
  </si>
  <si>
    <t xml:space="preserve">Bomba Megaflow V80-250K</t>
  </si>
  <si>
    <t xml:space="preserve">por descrição (Megaflow); NF excede a linha em R$ 71.060,00</t>
  </si>
  <si>
    <t xml:space="preserve">KSB RAS0051138 Rev. 10, item 23: B-3132/33 = R$ 162.486,68.</t>
  </si>
  <si>
    <t xml:space="preserve">Excesso de R$ 71.060,00 sem contrapartida na cotação – pedir NF detalhada.</t>
  </si>
  <si>
    <t xml:space="preserve">41385</t>
  </si>
  <si>
    <t xml:space="preserve">02/07/2024</t>
  </si>
  <si>
    <t xml:space="preserve">Metroval Controle de Fluidos Ltda</t>
  </si>
  <si>
    <t xml:space="preserve">58.762.956/0001-00</t>
  </si>
  <si>
    <t xml:space="preserve">Sistema de carregamento rodoviário bottomload e topload</t>
  </si>
  <si>
    <t xml:space="preserve">14a + 14b (provável)</t>
  </si>
  <si>
    <t xml:space="preserve">por descrição ("carregamento rodoviário bottomload e topload"); não separa 14a/14b; excede 14a+14b em R$ 690.801,61</t>
  </si>
  <si>
    <t xml:space="preserve">Metroval 230200112STM-SC-RevE (30/08/2023): pacote R$ 8.992.832,34, sem preço por subitem.</t>
  </si>
  <si>
    <t xml:space="preserve">A proposta prevê faturamento direto por Redlands, MKG, PHD Master e Ecoserv.</t>
  </si>
  <si>
    <t xml:space="preserve">PHD Master Consultoria Ltda</t>
  </si>
  <si>
    <t xml:space="preserve">68.806.496/0001-29</t>
  </si>
  <si>
    <t xml:space="preserve">Itens diversos</t>
  </si>
  <si>
    <t xml:space="preserve">valor exato = 14d; emitente PHD MASTER CONSULTORIA (não Metroval)</t>
  </si>
  <si>
    <t xml:space="preserve">Metroval: item (d) skid de descarga com duas bombas; PHD Master na lista de faturamento direto.</t>
  </si>
  <si>
    <t xml:space="preserve">Explica o emitente PHD; composição ainda pendente (bombas B-3124/25 cotadas pela KSB).</t>
  </si>
  <si>
    <t xml:space="preserve">42239</t>
  </si>
  <si>
    <t xml:space="preserve">13/11/2024</t>
  </si>
  <si>
    <t xml:space="preserve">Válvula on-off</t>
  </si>
  <si>
    <t xml:space="preserve">14e (provável)</t>
  </si>
  <si>
    <t xml:space="preserve">por descrição (válvulas on-off = 10 SDV do carregamento ferroviário)</t>
  </si>
  <si>
    <t xml:space="preserve">Metroval: item (e) carregamento ferroviário (sem preço).</t>
  </si>
  <si>
    <t xml:space="preserve">Candidata às 10 SDV (campo: VOOM-100).</t>
  </si>
  <si>
    <t xml:space="preserve">7032</t>
  </si>
  <si>
    <t xml:space="preserve">04/06/2024</t>
  </si>
  <si>
    <t xml:space="preserve">TSPRO Fab. Dist. e Rep. de Equip. Industriais</t>
  </si>
  <si>
    <t xml:space="preserve">13.108.393/0001-01</t>
  </si>
  <si>
    <t xml:space="preserve">BT modelo C 4 pol. vedações</t>
  </si>
  <si>
    <t xml:space="preserve">por descrição (TSPRO = braços ferroviários BTC 4")</t>
  </si>
  <si>
    <t xml:space="preserve">Sem cotação TSPRO no OPE154.</t>
  </si>
  <si>
    <t xml:space="preserve">TSPRO não consta na lista de faturamento direto da Metroval – compra adicional ou substituição.</t>
  </si>
  <si>
    <t xml:space="preserve">7488</t>
  </si>
  <si>
    <t xml:space="preserve">03/10/2024</t>
  </si>
  <si>
    <t xml:space="preserve">BT modelo C 4 pol.</t>
  </si>
  <si>
    <t xml:space="preserve">11642</t>
  </si>
  <si>
    <t xml:space="preserve">05/09/2024</t>
  </si>
  <si>
    <t xml:space="preserve">Redlands do Brasil Ind. e Com. Ltda</t>
  </si>
  <si>
    <t xml:space="preserve">01.203.871/0001-75</t>
  </si>
  <si>
    <t xml:space="preserve">Escada pantográfica</t>
  </si>
  <si>
    <t xml:space="preserve">14 (grupo)</t>
  </si>
  <si>
    <t xml:space="preserve">sem vínculo a sublinha (escada pantográfica - plataformas)</t>
  </si>
  <si>
    <t xml:space="preserve">Redlands 0760/24 Rev.01 (10/01/2024): 21 escadas pantográficas PF-1604 × 11.495,00 = R$ 241.395,00 – exata.</t>
  </si>
  <si>
    <t xml:space="preserve">NF identificada: escadas pantográficas das plataformas.</t>
  </si>
  <si>
    <t xml:space="preserve">11726</t>
  </si>
  <si>
    <t xml:space="preserve">09/10/2024</t>
  </si>
  <si>
    <t xml:space="preserve">sem vínculo a sublinha</t>
  </si>
  <si>
    <t xml:space="preserve">Sem cotação específica (Redlands na lista de faturamento direto da Metroval).</t>
  </si>
  <si>
    <t xml:space="preserve">Candidata aos braços CC32 ou peças.</t>
  </si>
  <si>
    <t xml:space="preserve">1621</t>
  </si>
  <si>
    <t xml:space="preserve">22/10/2024</t>
  </si>
  <si>
    <t xml:space="preserve">Sem cotação específica (PHD Master na lista de faturamento direto).</t>
  </si>
  <si>
    <t xml:space="preserve">—</t>
  </si>
  <si>
    <t xml:space="preserve">91</t>
  </si>
  <si>
    <t xml:space="preserve">Ecoserv Automação Industrial Ltda</t>
  </si>
  <si>
    <t xml:space="preserve">49.842.939/0001-92</t>
  </si>
  <si>
    <t xml:space="preserve">Sem cotação específica (Ecoserv na lista de faturamento direto).</t>
  </si>
  <si>
    <t xml:space="preserve">110</t>
  </si>
  <si>
    <t xml:space="preserve">24/04/2024</t>
  </si>
  <si>
    <t xml:space="preserve">Monitor de aterramento</t>
  </si>
  <si>
    <t xml:space="preserve">sem vínculo a sublinha (monitor de aterramento - carregamento)</t>
  </si>
  <si>
    <t xml:space="preserve">Ecoserv 036/24 (09/02/2024): 32 monitores de aterramento × 12.090,00 = R$ 386.880,00 – exata.</t>
  </si>
  <si>
    <t xml:space="preserve">NF identificada: monitores KFW SLA-S-Y (XS-xxxx em campo).</t>
  </si>
  <si>
    <t xml:space="preserve">142</t>
  </si>
  <si>
    <t xml:space="preserve">12/08/2024</t>
  </si>
  <si>
    <t xml:space="preserve">Amostrador simples</t>
  </si>
  <si>
    <t xml:space="preserve">sem vínculo a sublinha (amostrador)</t>
  </si>
  <si>
    <t xml:space="preserve">Ecoserv 036/24 Rev. 00 (20/02/2024): 4 amostradores KFW × 25.000,00 = R$ 100.000,00 – exata.</t>
  </si>
  <si>
    <t xml:space="preserve">NF identificada: amostradores do skid de descarga (14d).</t>
  </si>
  <si>
    <t xml:space="preserve">161</t>
  </si>
  <si>
    <t xml:space="preserve">04/11/2024</t>
  </si>
  <si>
    <t xml:space="preserve">Sem cotação específica.</t>
  </si>
  <si>
    <t xml:space="preserve">26460</t>
  </si>
  <si>
    <t xml:space="preserve">22/03/2024</t>
  </si>
  <si>
    <t xml:space="preserve">MKG Equipamentos Ltda</t>
  </si>
  <si>
    <t xml:space="preserve">05.115.921/0001-13</t>
  </si>
  <si>
    <t xml:space="preserve">sem vínculo a sublinha (MKG = filtros; em campo os filtros MKG estão nas linhas de produto - Outros Fixos?)</t>
  </si>
  <si>
    <t xml:space="preserve">Sem cotação MKG; Smart Control cotou 24 filtros T 6"/8"/10" por R$ 645.624,00 (OPE154_22).</t>
  </si>
  <si>
    <t xml:space="preserve">MKG na lista de faturamento direto da Metroval; filtros MKG em campo.</t>
  </si>
  <si>
    <t xml:space="preserve">4965</t>
  </si>
  <si>
    <t xml:space="preserve">16/09/2024</t>
  </si>
  <si>
    <t xml:space="preserve">Serviço de assistência</t>
  </si>
  <si>
    <t xml:space="preserve">serviço de assistência Metroval</t>
  </si>
  <si>
    <t xml:space="preserve">Metroval: supervisão de instalação/comissionamento "inclusa no preço" (condições de fornecimento).</t>
  </si>
  <si>
    <t xml:space="preserve">Serviço faturado à parte apesar da proposta – conferir.</t>
  </si>
  <si>
    <t xml:space="preserve">Romão Tecnologias Industriais Ltda</t>
  </si>
  <si>
    <t xml:space="preserve">02.807.845/0001-19</t>
  </si>
  <si>
    <t xml:space="preserve">Selo película vedação simples</t>
  </si>
  <si>
    <t xml:space="preserve">15, 16, 17</t>
  </si>
  <si>
    <t xml:space="preserve">por descrição (selos); NF excede as 3 linhas em R$ 54.399,96</t>
  </si>
  <si>
    <t xml:space="preserve">Romão 00638 Rev 04 (17/01/2024): selos R$ 546.941,16 + supervisão R$ 109.200,00 + frete R$ 101.183,92 = R$ 757.325,08.</t>
  </si>
  <si>
    <t xml:space="preserve">Excesso da NF (R$ 54.399,96) não bate com frete nem supervisão – pedir NF detalhada.</t>
  </si>
  <si>
    <t xml:space="preserve">22</t>
  </si>
  <si>
    <t xml:space="preserve">30/04/2024</t>
  </si>
  <si>
    <t xml:space="preserve">Volga Engenharia Ind. e Com. Ltda</t>
  </si>
  <si>
    <t xml:space="preserve">03.347.463/0006-27</t>
  </si>
  <si>
    <t xml:space="preserve">Eletrocentro - subestação de energia</t>
  </si>
  <si>
    <t xml:space="preserve">exata (22 + 33 + 34 = linha 18)</t>
  </si>
  <si>
    <t xml:space="preserve">VOLGA 20230138 REV 6A (06/10/2023): R$ 3.163.087,46 – exata na soma das 3 NFs.</t>
  </si>
  <si>
    <t xml:space="preserve">Proposta da matriz (0001-12); NF da filial (0006-27).</t>
  </si>
  <si>
    <t xml:space="preserve">33</t>
  </si>
  <si>
    <t xml:space="preserve">22/05/2024</t>
  </si>
  <si>
    <t xml:space="preserve">VOLGA 20230138 REV 6A.</t>
  </si>
  <si>
    <t xml:space="preserve">34</t>
  </si>
  <si>
    <t xml:space="preserve">Total das NFs de M&amp;E</t>
  </si>
  <si>
    <t xml:space="preserve">Total da crítica de M&amp;E</t>
  </si>
  <si>
    <t xml:space="preserve">NF − crítica</t>
  </si>
  <si>
    <t xml:space="preserve">Conferência com a aba CARACTERIZACAO (deve ser zero)</t>
  </si>
  <si>
    <t xml:space="preserve">Composição da diferença: KSB 543048 (+71.060,00 sobre a linha 11) + Romão 2739 (+54.399,96 sobre 15-17) + grupo 14 (+80.487,06 sobre 14a-14e) = R$ 205.947,02.</t>
  </si>
  <si>
    <t xml:space="preserve">Propostas comerciais do arquivo OPE154_48.zip (49 PDFs; OPE154_16 = cópia de OPE154_05) – posição 12/10/2026. Azul escuro = dado da proposta; roxo = enquadramento/observação do avaliador.</t>
  </si>
  <si>
    <t xml:space="preserve">Arquivo</t>
  </si>
  <si>
    <t xml:space="preserve">Fornecedor (CNPJ)</t>
  </si>
  <si>
    <t xml:space="preserve">Proposta nº / revisão</t>
  </si>
  <si>
    <t xml:space="preserve">Objeto</t>
  </si>
  <si>
    <t xml:space="preserve">Valor total (R$)</t>
  </si>
  <si>
    <t xml:space="preserve">Linha da crítica / NF relacionada</t>
  </si>
  <si>
    <t xml:space="preserve">Enquadramento proposto</t>
  </si>
  <si>
    <t xml:space="preserve">Observação (v2)</t>
  </si>
  <si>
    <t xml:space="preserve">OPE154.pdf</t>
  </si>
  <si>
    <t xml:space="preserve">STEMAC S.A. Grupos Geradores (92.753.268/0052-62 – Itumbiara/GO)</t>
  </si>
  <si>
    <t xml:space="preserve">13107/2023 REV01 MM (FSP 973/2023)</t>
  </si>
  <si>
    <t xml:space="preserve">29/08/2023</t>
  </si>
  <si>
    <t xml:space="preserve">Grupo gerador diesel Global Lite 575/506 kVA, 440/254 V, em contêiner silenciado; Finame 04105372</t>
  </si>
  <si>
    <t xml:space="preserve">Linha 1 – NF 149420 (exata)</t>
  </si>
  <si>
    <t xml:space="preserve">M&amp;E (crítica)</t>
  </si>
  <si>
    <t xml:space="preserve">CNPJ da proposta difere do da NF (92.753.269/0052-02); garantia 12 meses; prazo 120 dias.</t>
  </si>
  <si>
    <t xml:space="preserve">OPE154_02.pdf</t>
  </si>
  <si>
    <t xml:space="preserve">RAS0045265 Rev. 7</t>
  </si>
  <si>
    <t xml:space="preserve">19/09/2023</t>
  </si>
  <si>
    <t xml:space="preserve">Bombas SCI: 2 × MEGACPK 250-200-500 com motor diesel MWM 6.12TCE 275 kW (B-3101A/B, Finame 03279333) + 1 Hydrobloc M A 604 (jockey, Finame 02171421)</t>
  </si>
  <si>
    <t xml:space="preserve">Linhas 2 e 3 – NF 526572 (exata)</t>
  </si>
  <si>
    <t xml:space="preserve">Planilha de preços grafa a jockey como B-1002; tanque 1.000 L e painéis NFPA 20 inclusos; start-up cotado à parte (3 diárias × R$ 2.850).</t>
  </si>
  <si>
    <t xml:space="preserve">OPE154_03.pdf</t>
  </si>
  <si>
    <t xml:space="preserve">RAS0051138 Rev. 7 (escopo) / planilha de preços Rev. 10</t>
  </si>
  <si>
    <t xml:space="preserve">19/09/2023 / 11/12/2023</t>
  </si>
  <si>
    <t xml:space="preserve">28 bombas de processo e drenagem com preço por TAG: 21 MEGACPK 125-080-315 / 100-065-315 / 125-100-315, 4 MEGAFLOW V 80-250 K, 1 MEGACPK 050-032-200.1 (H-31100), 2 MEGACPK 125-100-250 (B-3124/25); Finame 03279333</t>
  </si>
  <si>
    <t xml:space="preserve">Linhas 4 a 13 – NFs 34370, 34511 e 543048 (soma das NFs excede a cotação em R$ 71.060,00)</t>
  </si>
  <si>
    <t xml:space="preserve">Corrige o vínculo TAG × linha: linha 4 = B-3103..3108 + 3110..3115; linha 6 = B-3116/3117; linha 8 = B-3120/3122/3123; linha 9 = B-3121. Start-up cotado à parte (20 diárias × R$ 3.800 = R$ 76.000).</t>
  </si>
  <si>
    <t xml:space="preserve">OPE154_04.pdf</t>
  </si>
  <si>
    <t xml:space="preserve">Metroval Controle de Fluidos Ltda (58.762.956/0001-00)</t>
  </si>
  <si>
    <t xml:space="preserve">230200112STM-SC-RevE</t>
  </si>
  <si>
    <t xml:space="preserve">30/08/2023</t>
  </si>
  <si>
    <t xml:space="preserve">Conjunto de skids de carregamento rodoviário (top e bottom loading), ferroviário (vagões) e descarga com duas bombas + carregamento ferroviário; Finame 03204045</t>
  </si>
  <si>
    <t xml:space="preserve">Linha 14 (14a-14e) – 14 NFs do grupo (R$ 9.073.319,40)</t>
  </si>
  <si>
    <t xml:space="preserve">Prevê faturamento direto por Redlands, MKG, PHD Master e Ecoserv (explica as NFs desses emitentes na linha 14). Opção 5.1 sem preset Metroval (presets Toptech em campo).</t>
  </si>
  <si>
    <t xml:space="preserve">OPE154_05.pdf</t>
  </si>
  <si>
    <t xml:space="preserve">00638 (ident. 0171-23 Rev 04)</t>
  </si>
  <si>
    <t xml:space="preserve">17/01/2024</t>
  </si>
  <si>
    <t xml:space="preserve">6 selos flutuantes E037 em alumínio (2 × 14,4×13,33 m; 2 × 9,6×11,45 m; 2 × 9,6×7,63 m) R$ 546.941,16 + supervisão de montagem R$ 109.200,00 + frete R$ 101.183,92; Finame 03967780</t>
  </si>
  <si>
    <t xml:space="preserve">Linhas 15, 16 e 17 – NF 2739 (R$ 601.341,12; excesso de R$ 54.399,96 não explicado pela proposta)</t>
  </si>
  <si>
    <t xml:space="preserve">Garantia 5 anos só com montagem Romão; OPE154_16.pdf é cópia idêntica deste arquivo.</t>
  </si>
  <si>
    <t xml:space="preserve">OPE154_06.pdf</t>
  </si>
  <si>
    <t xml:space="preserve">Volga Engenharia Ind. e Com. Ltda (03.347.463/0001-12 – matriz GO)</t>
  </si>
  <si>
    <t xml:space="preserve">20230138 REV 6A (PT20230138-REV6)</t>
  </si>
  <si>
    <t xml:space="preserve">06/10/2023</t>
  </si>
  <si>
    <t xml:space="preserve">Subestação tipo eletrocentro ID10365_PALMEIRANTE; Finame 04037708</t>
  </si>
  <si>
    <t xml:space="preserve">Linha 18 – NFs 22 + 33 + 34 (exata)</t>
  </si>
  <si>
    <t xml:space="preserve">Sem preço por painel; DIFAL excluso; prazo 170 dias; NFs emitidas pela filial 0006-27.</t>
  </si>
  <si>
    <t xml:space="preserve">OPE154_07.pdf</t>
  </si>
  <si>
    <t xml:space="preserve">Chronus Automação (37.151.496/0001-04)</t>
  </si>
  <si>
    <t xml:space="preserve">Proposta técnica/comercial Rev. 03</t>
  </si>
  <si>
    <t xml:space="preserve">27/02/2024</t>
  </si>
  <si>
    <t xml:space="preserve">Projeto e montagem de 5 painéis: PNA-3104 CLP processo (S7-1500) R$ 120.000; PNA-3106 CLP segurança R$ 55.000; PNA-3103 switch rodoviário R$ 45.000; PNA-3102 switch ferroviário R$ 45.000; PNA-3101 switch portaria R$ 35.000</t>
  </si>
  <si>
    <t xml:space="preserve">Fora da crítica de M&amp;E (automação)</t>
  </si>
  <si>
    <t xml:space="preserve">Outros Fixos / automação</t>
  </si>
  <si>
    <t xml:space="preserve">Campo leu PNA 3102, 3103 e 3105; o PNA-3105 (radares) não está nesta proposta.</t>
  </si>
  <si>
    <t xml:space="preserve">OPE154_08.pdf</t>
  </si>
  <si>
    <t xml:space="preserve">Automind Automação Industrial Ltda (16.119.281/0001-36)</t>
  </si>
  <si>
    <t xml:space="preserve">PC-303-BX-003 Rev. 00</t>
  </si>
  <si>
    <t xml:space="preserve">22/02/2024</t>
  </si>
  <si>
    <t xml:space="preserve">Software do sistema de automação: iFix (2 servidores redundantes, 2 IGS, 2 clients) R$ 219.514,70 + STEP 7 Professional V19 + STEP 7 Safety Advanced V19</t>
  </si>
  <si>
    <t xml:space="preserve">Fora da crítica</t>
  </si>
  <si>
    <t xml:space="preserve">Software / intangível</t>
  </si>
  <si>
    <t xml:space="preserve">Não é bem físico; não entra no laudo de M&amp;E.</t>
  </si>
  <si>
    <t xml:space="preserve">OPE154_09.pdf</t>
  </si>
  <si>
    <t xml:space="preserve">Ecoserv Automação Industrial Ltda (49.842.939/0001-92)</t>
  </si>
  <si>
    <t xml:space="preserve">036/24</t>
  </si>
  <si>
    <t xml:space="preserve">09/02/2024</t>
  </si>
  <si>
    <t xml:space="preserve">32 monitores de aterramento completos (cabo espiralado e garra), R$ 12.090,00/un.</t>
  </si>
  <si>
    <t xml:space="preserve">Linha 14 – NF 110 Ecoserv (exata)</t>
  </si>
  <si>
    <t xml:space="preserve">M&amp;E (linha 14 – componentes XS/KFW)</t>
  </si>
  <si>
    <t xml:space="preserve">Identifica a NF 110; equipamento lido em campo como KFW SLA-S-Y (XS-xxxx).</t>
  </si>
  <si>
    <t xml:space="preserve">OPE154_10.pdf</t>
  </si>
  <si>
    <t xml:space="preserve">Mamuth Transporte de Máquinas Ltda</t>
  </si>
  <si>
    <t xml:space="preserve">PMT 517/24</t>
  </si>
  <si>
    <t xml:space="preserve">26/02/2024</t>
  </si>
  <si>
    <t xml:space="preserve">Locação de guindaste telescópico 100 t com operador e rigger, mínimo 6 meses</t>
  </si>
  <si>
    <t xml:space="preserve">Serviço (montagem)</t>
  </si>
  <si>
    <t xml:space="preserve">Locação – não é bem.</t>
  </si>
  <si>
    <t xml:space="preserve">OPE154_11.pdf</t>
  </si>
  <si>
    <t xml:space="preserve">Kidde Brasil Ltda (66.220.047/0001-79)</t>
  </si>
  <si>
    <t xml:space="preserve">DS_240312 REV(3)</t>
  </si>
  <si>
    <t xml:space="preserve">25/01/2024</t>
  </si>
  <si>
    <t xml:space="preserve">SDAI – central de detecção e alarme GST200N-2, repetidora, 20 + 19 acionadores manuais, 2 sirenes, módulos; projeto, instrução e comissionamento</t>
  </si>
  <si>
    <t xml:space="preserve">Fora da crítica de M&amp;E</t>
  </si>
  <si>
    <t xml:space="preserve">Outros Fixos / SCI (detecção e alarme)</t>
  </si>
  <si>
    <t xml:space="preserve">Material importado R$ 113.012,69 + serviços R$ 52.802,89.</t>
  </si>
  <si>
    <t xml:space="preserve">OPE154_12.pdf</t>
  </si>
  <si>
    <t xml:space="preserve">Endress+Hauser Controle e Automação Ltda (49.423.619/0001-06)</t>
  </si>
  <si>
    <t xml:space="preserve">2003681568 REV.05</t>
  </si>
  <si>
    <t xml:space="preserve">13/12/2023</t>
  </si>
  <si>
    <t xml:space="preserve">Transmissores de nível radar NMR84 (flange 4", 4-20 mA/fieldbus, AISI 316L, IP68) R$ 778.944,33 + instalação R$ 117.508,37</t>
  </si>
  <si>
    <t xml:space="preserve">Outros Fixos / instrumentação de tanques</t>
  </si>
  <si>
    <t xml:space="preserve">Instrumentação do PNA-3105 (painel de automação radares) lido em campo.</t>
  </si>
  <si>
    <t xml:space="preserve">OPE154_13.pdf</t>
  </si>
  <si>
    <t xml:space="preserve">Solo Engenharia Ltda (08.743.714/0001-00)</t>
  </si>
  <si>
    <t xml:space="preserve">158.2023 REV.07</t>
  </si>
  <si>
    <t xml:space="preserve">02/02/2024</t>
  </si>
  <si>
    <t xml:space="preserve">Montagem de tanques (fundo, teto domo, costado, acessórios, teste hidrostático, anéis aspersores, pintura) e selo flutuante; 240 dias</t>
  </si>
  <si>
    <t xml:space="preserve">Serviço (montagem de tanques)</t>
  </si>
  <si>
    <t xml:space="preserve">Solo = fabricante que assina as placas dos tanques; itens de locação e insumos com faturamento direto.</t>
  </si>
  <si>
    <t xml:space="preserve">OPE154_14.pdf</t>
  </si>
  <si>
    <t xml:space="preserve">RI Engenharia e Montagens (13.384.574/0001-52)</t>
  </si>
  <si>
    <t xml:space="preserve">Proposta comercial Rev. 03</t>
  </si>
  <si>
    <t xml:space="preserve">12/03/2024</t>
  </si>
  <si>
    <t xml:space="preserve">Serviços de montagem eletromecânica, elétrica e instrumentação – Terminal Palmeirante</t>
  </si>
  <si>
    <t xml:space="preserve">CNPJ impresso com formatação irregular (133.845.74/0001-52).</t>
  </si>
  <si>
    <t xml:space="preserve">OPE154_15.pdf</t>
  </si>
  <si>
    <t xml:space="preserve">DV 24.03.078 Rev. 2</t>
  </si>
  <si>
    <t xml:space="preserve">21/02/2024</t>
  </si>
  <si>
    <t xml:space="preserve">Câmaras de espuma padrão Petrobras N-1203: 6 × MCS-17, 2 × MCS-33, 2 × MCS-9, com defletores</t>
  </si>
  <si>
    <t xml:space="preserve">Outros Fixos / SCI (câmaras de espuma dos tanques)</t>
  </si>
  <si>
    <t xml:space="preserve">10 câmaras para os tanques de teto fixo.</t>
  </si>
  <si>
    <t xml:space="preserve">OPE154_16.pdf</t>
  </si>
  <si>
    <t xml:space="preserve">00638 Rev 04 (cópia)</t>
  </si>
  <si>
    <t xml:space="preserve">Cópia idêntica do OPE154_05.pdf</t>
  </si>
  <si>
    <t xml:space="preserve">Linhas 15-17</t>
  </si>
  <si>
    <t xml:space="preserve">Arquivo duplicado (mesmo conteúdo e tamanho).</t>
  </si>
  <si>
    <t xml:space="preserve">OPE154_17.pdf</t>
  </si>
  <si>
    <t xml:space="preserve">MEMPS Estruturas Metálicas (São Luís/MA) – aceite por Kalli Ind. e Serviços (34.112.492/0001-29)</t>
  </si>
  <si>
    <t xml:space="preserve">EM 120 2023 Rev. 09 (PQ-E037-BPA-GG-010)</t>
  </si>
  <si>
    <t xml:space="preserve">31/08/2023</t>
  </si>
  <si>
    <t xml:space="preserve">Fornecimento de chapas e pré-fabricação de 13 tanques (TQ-3101 a TQ-3112 e TQ-3120): fundo, costado, teto, bocais, escadas, plataformas, pintura</t>
  </si>
  <si>
    <t xml:space="preserve">Instalações (tanques) / serviço</t>
  </si>
  <si>
    <t xml:space="preserve">Base para a caracterização dos tanques (pesos de chapas e bocais por TQ); matéria-prima A36 com faturamento direto.</t>
  </si>
  <si>
    <t xml:space="preserve">OPE154_18.pdf</t>
  </si>
  <si>
    <t xml:space="preserve">Tecnofluid do Brasil Ltda (01.988.655/0001-82) via HLE Equipamentos (43.625.829/0001-92)</t>
  </si>
  <si>
    <t xml:space="preserve">0027194 Rev. 2</t>
  </si>
  <si>
    <t xml:space="preserve">14/02/2024</t>
  </si>
  <si>
    <t xml:space="preserve">Chaves de nível tipo deslocador CND-L-111 (LSHH-3101 a 3112, 12 un.) e bóia magnética CBM (LSHL-3190/3191)</t>
  </si>
  <si>
    <t xml:space="preserve">TAGs por tanque; sensores namur Ex ia.</t>
  </si>
  <si>
    <t xml:space="preserve">OPE154_19.pdf</t>
  </si>
  <si>
    <t xml:space="preserve">Spraying Systems do Brasil (52.462.215/0001-28)</t>
  </si>
  <si>
    <t xml:space="preserve">COT-12238-V8Y9V Rev. 03</t>
  </si>
  <si>
    <t xml:space="preserve">Bicos projetores de combate a incêndio (aspersores do costado): 432 × 90° 3/8" + 168 × 120° 1/4" + 36 × 120° 3/8"</t>
  </si>
  <si>
    <t xml:space="preserve">Outros Fixos / SCI (anéis aspersores)</t>
  </si>
  <si>
    <t xml:space="preserve">636 bicos para os anéis de resfriamento dos tanques.</t>
  </si>
  <si>
    <t xml:space="preserve">OPE154_20.pdf</t>
  </si>
  <si>
    <t xml:space="preserve">A.G. Gerenciamento (06.111.305/0001-57) – Consolidated/Baker Hughes e Leser</t>
  </si>
  <si>
    <t xml:space="preserve">51 Rev02 (BPA-0007-D)</t>
  </si>
  <si>
    <t xml:space="preserve">09/04/2024</t>
  </si>
  <si>
    <t xml:space="preserve">Válvulas de alívio térmico: 23 Valvepress 3/4"×1" + 4 Leser 3/4"×1" + limpadores</t>
  </si>
  <si>
    <t xml:space="preserve">Outros Fixos / tubulação</t>
  </si>
  <si>
    <t xml:space="preserve">TAGs TSV-3124/3125/3126 citadas; nota técnica sobre contrapressão.</t>
  </si>
  <si>
    <t xml:space="preserve">OPE154_21.pdf</t>
  </si>
  <si>
    <t xml:space="preserve">Protego Brasil (14.325.185/0001-19) via AG Gerenciamento</t>
  </si>
  <si>
    <t xml:space="preserve">006521 Rev. 7</t>
  </si>
  <si>
    <t xml:space="preserve">13/11/2023 (rev. 7)</t>
  </si>
  <si>
    <t xml:space="preserve">Válvulas de alívio de pressão/vácuo com corta-chamas VD/TS 8" e 10", válvulas de vácuo V/SV-AD 8", respiros de emergência ER/V 28", corta-chamas LH/AD 6" (tanques 3101/3102, 3105/3106, 3107/3108)</t>
  </si>
  <si>
    <t xml:space="preserve">Outros Fixos / acessórios de tanques</t>
  </si>
  <si>
    <t xml:space="preserve">TAGs PVSV-3101/3102/3107/3108, PSV-3101/3102/3105-3108, XSE-3105/3106.</t>
  </si>
  <si>
    <t xml:space="preserve">OPE154_22.pdf</t>
  </si>
  <si>
    <t xml:space="preserve">Smart Control Ind. (válvulas e filtros)</t>
  </si>
  <si>
    <t xml:space="preserve">sem número (pág. de preços)</t>
  </si>
  <si>
    <t xml:space="preserve">s/d (2024)</t>
  </si>
  <si>
    <t xml:space="preserve">Figuras 8 (4", 6", 8") e filtros T 150# 6" (10 un.), 8" (9 un.), 10" (5 un.)</t>
  </si>
  <si>
    <t xml:space="preserve">Fora da crítica de M&amp;E (ver NF 26460 MKG)</t>
  </si>
  <si>
    <t xml:space="preserve">Outros Fixos / tubulação (filtros)</t>
  </si>
  <si>
    <t xml:space="preserve">Em campo os filtros são MKG (NF 26460, R$ 193.140,00) – esta cotação Smart Control provavelmente não foi contratada.</t>
  </si>
  <si>
    <t xml:space="preserve">OPE154_23.pdf</t>
  </si>
  <si>
    <t xml:space="preserve">Smart Control Ind.</t>
  </si>
  <si>
    <t xml:space="preserve">Válvulas, conexões e acessórios (pacote)</t>
  </si>
  <si>
    <t xml:space="preserve">Instalações (tubulação)</t>
  </si>
  <si>
    <t xml:space="preserve">Pacote de materiais de tubulação.</t>
  </si>
  <si>
    <t xml:space="preserve">OPE154_24.pdf</t>
  </si>
  <si>
    <t xml:space="preserve">Tubos Ipiranga Ind. e Com. Ltda (01.477.885/0001-87)</t>
  </si>
  <si>
    <t xml:space="preserve">VSS 3770 REV 04</t>
  </si>
  <si>
    <t xml:space="preserve">19/01/2024</t>
  </si>
  <si>
    <t xml:space="preserve">Pacote de tubos, conexões e acessórios (CAPEX)</t>
  </si>
  <si>
    <t xml:space="preserve">IPI 3,25 %; ICMS 4 % importado / 7 % nacional.</t>
  </si>
  <si>
    <t xml:space="preserve">OPE154_25.pdf</t>
  </si>
  <si>
    <t xml:space="preserve">(fornecedor não identificado no texto) – proposta 274590, Vinícius Maia</t>
  </si>
  <si>
    <t xml:space="preserve">274590</t>
  </si>
  <si>
    <t xml:space="preserve">19/02/2024</t>
  </si>
  <si>
    <t xml:space="preserve">133 itens de conexões: acoplamentos ranhurados, curvas, flanges, luvas, reduções, tês</t>
  </si>
  <si>
    <t xml:space="preserve">Lista de conexões para a rede de incêndio (ranhurado AWWA C606) e processo.</t>
  </si>
  <si>
    <t xml:space="preserve">OPE154_26.pdf</t>
  </si>
  <si>
    <t xml:space="preserve">Silkdelic (07.435.267/0001-50)</t>
  </si>
  <si>
    <t xml:space="preserve">Orçamento 07/02/2024</t>
  </si>
  <si>
    <t xml:space="preserve">07/02/2024</t>
  </si>
  <si>
    <t xml:space="preserve">402 placas de sinalização em PVC</t>
  </si>
  <si>
    <t xml:space="preserve">Outros Fixos / sinalização</t>
  </si>
  <si>
    <t xml:space="preserve">OPE154_27.pdf</t>
  </si>
  <si>
    <t xml:space="preserve">Vidrak Visores de Vidros Industriais Ltda (22.633.336/0001-24)</t>
  </si>
  <si>
    <t xml:space="preserve">184481 (cotação cliente BPA-0041-24)</t>
  </si>
  <si>
    <t xml:space="preserve">32 visores de fluxo 4" flangeados: 28 "Ferroviária" + 4 "Rodoviária"</t>
  </si>
  <si>
    <t xml:space="preserve">Linha 14e (projeto LI-3100-6107: visores H-3177 a 31204)</t>
  </si>
  <si>
    <t xml:space="preserve">Outros Fixos / acessórios de carregamento</t>
  </si>
  <si>
    <t xml:space="preserve">Correlato ao desvio ferroviário.</t>
  </si>
  <si>
    <t xml:space="preserve">OPE154_28.pdf</t>
  </si>
  <si>
    <t xml:space="preserve">VSS 3770 REV 04 (complemento)</t>
  </si>
  <si>
    <t xml:space="preserve">15/02/2024</t>
  </si>
  <si>
    <t xml:space="preserve">Meias-luvas e tampões (21 itens)</t>
  </si>
  <si>
    <t xml:space="preserve">OPE154_29.pdf</t>
  </si>
  <si>
    <t xml:space="preserve">D C Vecchi / Vecchi Ambiental (22.359.605/0001-06)</t>
  </si>
  <si>
    <t xml:space="preserve">PTC-24026 Rev. 03</t>
  </si>
  <si>
    <t xml:space="preserve">Separador de água e óleo em aço carbono com placas coalescentes, 50 m³/h, 4.500 × 1.500 × 1.400 mm</t>
  </si>
  <si>
    <t xml:space="preserve">Outros Fixos / tratamento de efluentes</t>
  </si>
  <si>
    <t xml:space="preserve">Possível ligação com as elevatórias de efluentes (PN-3105/3106 e bombas Megaflow).</t>
  </si>
  <si>
    <t xml:space="preserve">OPE154_30.pdf</t>
  </si>
  <si>
    <t xml:space="preserve">Tecnofluid do Brasil Ltda via HLE</t>
  </si>
  <si>
    <t xml:space="preserve">0027247</t>
  </si>
  <si>
    <t xml:space="preserve">Régua de medição de nível 3,5 m em alumínio, antifaísca, com certificado RBC</t>
  </si>
  <si>
    <t xml:space="preserve">Ferramental / instrumentação</t>
  </si>
  <si>
    <t xml:space="preserve">OPE154_31.pdf</t>
  </si>
  <si>
    <t xml:space="preserve">Total Equip. e Acess. Industriais Ltda (07.597.419/0001-11)</t>
  </si>
  <si>
    <t xml:space="preserve">021737 (RFP BPA-0013-24 Rev. 4)</t>
  </si>
  <si>
    <t xml:space="preserve">33 manômetros inox 115 mm e 21 pressostatos diferenciais Zurich Ex</t>
  </si>
  <si>
    <t xml:space="preserve">Outros Fixos / instrumentação</t>
  </si>
  <si>
    <t xml:space="preserve">OPE154_32.pdf</t>
  </si>
  <si>
    <t xml:space="preserve">036/24 Rev. 00</t>
  </si>
  <si>
    <t xml:space="preserve">20/02/2024</t>
  </si>
  <si>
    <t xml:space="preserve">4 amostradores "sampler" de hidrocarboneto KFW para skid de descarga, R$ 25.000,00/un.</t>
  </si>
  <si>
    <t xml:space="preserve">Linha 14d – NF 142 Ecoserv (exata)</t>
  </si>
  <si>
    <t xml:space="preserve">M&amp;E (linha 14 – componente do skid de descarga)</t>
  </si>
  <si>
    <t xml:space="preserve">Identifica a NF 142.</t>
  </si>
  <si>
    <t xml:space="preserve">OPE154_33.pdf</t>
  </si>
  <si>
    <t xml:space="preserve">FGFLEX Ind. e Com. de Mangueiras Industriais Ltda (35.717.443/0001-82)</t>
  </si>
  <si>
    <t xml:space="preserve">240302887 Rev. 02</t>
  </si>
  <si>
    <t xml:space="preserve">23/02/2024</t>
  </si>
  <si>
    <t xml:space="preserve">32 mangueiras 4" × 5 m PTFE 150 psi (R$ 4.406,75) + 4 mangueiras 3" × 6 m (R$ 5.651,29)</t>
  </si>
  <si>
    <t xml:space="preserve">Outros Fixos / mangueiras de carregamento</t>
  </si>
  <si>
    <t xml:space="preserve">Valor total com IPI.</t>
  </si>
  <si>
    <t xml:space="preserve">OPE154_34.pdf</t>
  </si>
  <si>
    <t xml:space="preserve">Alpha Equipamentos Elétricos Ltda (47.876.552/0001-21)</t>
  </si>
  <si>
    <t xml:space="preserve">ALP-0868/24 R4</t>
  </si>
  <si>
    <t xml:space="preserve">22/01/2024</t>
  </si>
  <si>
    <t xml:space="preserve">15 caixas de ligação Ex em alumínio + 8 painéis Ex eletrônica IP67</t>
  </si>
  <si>
    <t xml:space="preserve">Outros Fixos / elétrica Ex</t>
  </si>
  <si>
    <t xml:space="preserve">OPE154_35.pdf</t>
  </si>
  <si>
    <t xml:space="preserve">Abastek Automação Ltda (26.179.697/0001-01) – Unidata</t>
  </si>
  <si>
    <t xml:space="preserve">1.817 (RFP BPA-0058-24)</t>
  </si>
  <si>
    <t xml:space="preserve">16/02/2024</t>
  </si>
  <si>
    <t xml:space="preserve">2 controladores de acesso UCA 330 touchscreen IP66</t>
  </si>
  <si>
    <t xml:space="preserve">Outros Fixos / controle de acesso</t>
  </si>
  <si>
    <t xml:space="preserve">OPE154_36.pdf</t>
  </si>
  <si>
    <t xml:space="preserve">Pepperl+Fuchs Ltda (64.126.675/0001-64)</t>
  </si>
  <si>
    <t xml:space="preserve">9902090201</t>
  </si>
  <si>
    <t xml:space="preserve">15/01/2024</t>
  </si>
  <si>
    <t xml:space="preserve">3 smartphones Ex Smart-Ex 02 DZ1 + capas</t>
  </si>
  <si>
    <t xml:space="preserve">Móveis e utensílios / TI</t>
  </si>
  <si>
    <t xml:space="preserve">OPE154_37.pdf</t>
  </si>
  <si>
    <t xml:space="preserve">Ingram Micro Brasil Ltda (01.771.935/0010-25)</t>
  </si>
  <si>
    <t xml:space="preserve">Proposta 23/02/2024</t>
  </si>
  <si>
    <t xml:space="preserve">1 tablet Samsung Galaxy Tab Active3 64 GB</t>
  </si>
  <si>
    <t xml:space="preserve">TI</t>
  </si>
  <si>
    <t xml:space="preserve">OPE154_38.pdf</t>
  </si>
  <si>
    <t xml:space="preserve">Redlands do Brasil Ind. e Com. Ltda (01.203.871/0001-75)</t>
  </si>
  <si>
    <t xml:space="preserve">0760/24 Rev.01 (RC 1900020934)</t>
  </si>
  <si>
    <t xml:space="preserve">10/01/2024</t>
  </si>
  <si>
    <t xml:space="preserve">21 escadas pantográficas PF-1604, 4 degraus, 150 kg, R$ 11.495,00/un.</t>
  </si>
  <si>
    <t xml:space="preserve">Linha 14 – NF 11642 Redlands (exata)</t>
  </si>
  <si>
    <t xml:space="preserve">M&amp;E (linha 14 – acessório das plataformas) ou Outros Fixos</t>
  </si>
  <si>
    <t xml:space="preserve">Identifica a NF 11642; a proposta não inclui braços de carregamento.</t>
  </si>
  <si>
    <t xml:space="preserve">OPE154_39.pdf</t>
  </si>
  <si>
    <t xml:space="preserve">006521 Rev. 7 – variante "opção para atendimento da API 2000 7ª ed." (tabela de preços em imagem)</t>
  </si>
  <si>
    <t xml:space="preserve">13/01/2024</t>
  </si>
  <si>
    <t xml:space="preserve">Calotas respiro à prova de deflagração LH/AD ACA216 em aço carbono WCB, tela inox, IIB3, 60 °C: 1 × flange 2" (R$ 6.880,00), 1 × flange 8" (R$ 21.380,00), 17 × 2" (R$ 116.960,00) + 1 válvula de segurança/alívio de vácuo com corta-chamas Protego V/SV-AD-IIB3, flange 3" 150#, set −2,2 mbar, 120 Nm³/h (R$ 15.310,00); entrega 14/09/2024</t>
  </si>
  <si>
    <t xml:space="preserve">NÃO é cópia do OPE154_21: mesmo nº de orçamento e revisão, mas itens e valor diferentes. Tabela só legível por imagem (lida em 13/10/2026).</t>
  </si>
  <si>
    <t xml:space="preserve">OPE154_40.pdf</t>
  </si>
  <si>
    <t xml:space="preserve">Naville Iluminação / EWRBOT (05.284.514/0001-30) – Sermatex</t>
  </si>
  <si>
    <t xml:space="preserve">88097 Rev1</t>
  </si>
  <si>
    <t xml:space="preserve">29/02/2024</t>
  </si>
  <si>
    <t xml:space="preserve">11 botões de emergência Sermatex SGEX22GBETRN11 1NA+1NF, R$ 744,11/un. com ST e IPI</t>
  </si>
  <si>
    <t xml:space="preserve">Linha 14e (crítica cita 6 botoeiras de emergência)</t>
  </si>
  <si>
    <t xml:space="preserve">Outros Fixos / elétrica</t>
  </si>
  <si>
    <t xml:space="preserve">Fornecedor distinto da Metroval.</t>
  </si>
  <si>
    <t xml:space="preserve">OPE154_41.pdf</t>
  </si>
  <si>
    <t xml:space="preserve">A.G. Gerenciamento (06.111.305/0001-57) – Mankenberg</t>
  </si>
  <si>
    <t xml:space="preserve">98 Rev01 (AGM 1116)</t>
  </si>
  <si>
    <t xml:space="preserve">23/01/2024</t>
  </si>
  <si>
    <t xml:space="preserve">17 eliminadores de ar automáticos inox 16 kgf/cm² BSP 3/4"</t>
  </si>
  <si>
    <t xml:space="preserve">Proposta registra dúvida de aplicação (purgador × ventosa).</t>
  </si>
  <si>
    <t xml:space="preserve">OPE154_42.pdf</t>
  </si>
  <si>
    <t xml:space="preserve">Granville Equipamentos de Segurança Ltda (44.471.407/0001-72)</t>
  </si>
  <si>
    <t xml:space="preserve">Cotação 22/01/2024</t>
  </si>
  <si>
    <t xml:space="preserve">40 troles manuais LEA 1,5 t (trava-quedas das plataformas), R$ 1.117,00/un.</t>
  </si>
  <si>
    <t xml:space="preserve">Linhas 14a/14b (LI-3100-6107: trole com trava-quedas PLCCT-01/02)</t>
  </si>
  <si>
    <t xml:space="preserve">Outros Fixos / segurança das plataformas</t>
  </si>
  <si>
    <t xml:space="preserve">OPE154_43.pdf</t>
  </si>
  <si>
    <t xml:space="preserve">H &amp; M Peças e Serviços Ltda (13.751.804/0001-74)</t>
  </si>
  <si>
    <t xml:space="preserve">3799-B</t>
  </si>
  <si>
    <t xml:space="preserve">74 chuveiros/lava-olhos de emergência de piso NPT 1", R$ 1.436,50/un.</t>
  </si>
  <si>
    <t xml:space="preserve">Linha 12 (pontos alimentados pela B-31100)</t>
  </si>
  <si>
    <t xml:space="preserve">Outros Fixos / segurança</t>
  </si>
  <si>
    <t xml:space="preserve">Desconto de 15 % negociado para 30/60 DDL.</t>
  </si>
  <si>
    <t xml:space="preserve">OPE154_44.pdf</t>
  </si>
  <si>
    <t xml:space="preserve">HCI – Hidráulica Conexões Industriais Ltda (62.312.426/0001-38)</t>
  </si>
  <si>
    <t xml:space="preserve">459134 Rev. 4 (BPA-0020-D-23)</t>
  </si>
  <si>
    <t xml:space="preserve">Tubulação e conexões (planilha anexa)</t>
  </si>
  <si>
    <t xml:space="preserve">OPE154_45.pdf</t>
  </si>
  <si>
    <t xml:space="preserve">Açotubo (proposta PPU – Guarulhos)</t>
  </si>
  <si>
    <t xml:space="preserve">PPU 28/02/2024</t>
  </si>
  <si>
    <t xml:space="preserve">28/02/2024</t>
  </si>
  <si>
    <t xml:space="preserve">Conexões roscadas e de solda (18 itens)</t>
  </si>
  <si>
    <t xml:space="preserve">IPI excluso.</t>
  </si>
  <si>
    <t xml:space="preserve">OPE154_46.pdf</t>
  </si>
  <si>
    <t xml:space="preserve">Cofermeta Tubos, Conexões e Válvulas (27.999.486/0001-70)</t>
  </si>
  <si>
    <t xml:space="preserve">0045/2024</t>
  </si>
  <si>
    <t xml:space="preserve">26/01/2024</t>
  </si>
  <si>
    <t xml:space="preserve">Juntas de vedação PTFE e celulose-NBR, junta de expansão (25 itens)</t>
  </si>
  <si>
    <t xml:space="preserve">OPE154_47.pdf</t>
  </si>
  <si>
    <t xml:space="preserve">Berlinck Rio Comercial Ltda (04.914.133/0001-24)</t>
  </si>
  <si>
    <t xml:space="preserve">Proposta 25/03/2024 (RFP BPA-0035-24)</t>
  </si>
  <si>
    <t xml:space="preserve">25/03/2024</t>
  </si>
  <si>
    <t xml:space="preserve">Placas de orifício de restrição WIKA: 2 × 2" + 7 × 6"</t>
  </si>
  <si>
    <t xml:space="preserve">OPE154_48.pdf</t>
  </si>
  <si>
    <t xml:space="preserve">Tubos Ipiranga Ind. e Com. Ltda (01.477.885/0006-91)</t>
  </si>
  <si>
    <t xml:space="preserve">VSS 3901 REV01</t>
  </si>
  <si>
    <t xml:space="preserve">28/06/2024</t>
  </si>
  <si>
    <t xml:space="preserve">Válvulas de esfera, gaveta e retenção, tubos, conexões, prisioneiros (90 itens)</t>
  </si>
  <si>
    <t xml:space="preserve">Instalações (tubulação e válvulas)</t>
  </si>
  <si>
    <t xml:space="preserve">118 válvulas de esfera 4" 150# (R$ 246.537,40) + 42 retenções wafer 4".</t>
  </si>
  <si>
    <t xml:space="preserve">OPE154_49.pdf</t>
  </si>
  <si>
    <t xml:space="preserve">Planeta Distribuidora e Soluções (36.360.046/0001-69)</t>
  </si>
  <si>
    <t xml:space="preserve">9152</t>
  </si>
  <si>
    <t xml:space="preserve">7 suportes de TV</t>
  </si>
  <si>
    <t xml:space="preserve">Móveis e utensílios</t>
  </si>
  <si>
    <t xml:space="preserve">Soma das propostas listadas (inclui serviços, duplicata e itens fora da crítica – apenas conferência)</t>
  </si>
  <si>
    <t xml:space="preserve">Soma das propostas que cobrem a crítica de M&amp;E (STEMAC + KSB ×2 + Metroval + Romão selos + VOLGA)</t>
  </si>
  <si>
    <t xml:space="preserve">Total da crítica de M&amp;E (RT GEREN/COSAN 2024/189)</t>
  </si>
  <si>
    <t xml:space="preserve">Diferença cotações − crítica (1 centavo = arredondamento da KSB)</t>
  </si>
  <si>
    <t xml:space="preserve">Achados, correções e proposições da v2 (12/10/2026) – tudo em roxo = contextualização/decisão do avaliador a partir das cotações OPE154 e da base de 07/10.</t>
  </si>
  <si>
    <t xml:space="preserve">Nº</t>
  </si>
  <si>
    <t xml:space="preserve">Linha(s)</t>
  </si>
  <si>
    <t xml:space="preserve">Tipo</t>
  </si>
  <si>
    <t xml:space="preserve">Descrição</t>
  </si>
  <si>
    <t xml:space="preserve">Fonte</t>
  </si>
  <si>
    <t xml:space="preserve">Efeito / ação</t>
  </si>
  <si>
    <t xml:space="preserve">A01</t>
  </si>
  <si>
    <t xml:space="preserve">4, 6</t>
  </si>
  <si>
    <t xml:space="preserve">CORREÇÃO</t>
  </si>
  <si>
    <t xml:space="preserve">As 12 bombas de R$ 101.981,67 (linha 4) são B-3103, 3104, 3105, 3106, 3107, 3108, 3110, 3111, 3112, 3113, 3114 e 3115; as 2 de R$ 87.358,35 (linha 6) são B-3116 e B-3117. A base de 07/10 trocava B-3111/3112 por B-3116/3117.</t>
  </si>
  <si>
    <t xml:space="preserve">KSB RAS0051138, planilha de preços Rev. 10 (11/12/2023), itens 1-15</t>
  </si>
  <si>
    <t xml:space="preserve">Refaz o vínculo TAG × linha; componentes B-3111/3112 passam à linha 4 e B-3116/3117 à linha 6 (linhas da base mantidas, correção anotada em roxo).</t>
  </si>
  <si>
    <t xml:space="preserve">A02</t>
  </si>
  <si>
    <t xml:space="preserve">8, 9</t>
  </si>
  <si>
    <t xml:space="preserve">Linha 8 (3 × R$ 102.853,99) = B-3120, B-3122 e B-3123; linha 9 (R$ 102.010,24) = B-3121. A base dividia 3120/3121/3122 × 3123.</t>
  </si>
  <si>
    <t xml:space="preserve">KSB RAS0051138 Rev. 10, itens 18-21</t>
  </si>
  <si>
    <t xml:space="preserve">A03</t>
  </si>
  <si>
    <t xml:space="preserve">4 a 13</t>
  </si>
  <si>
    <t xml:space="preserve">ACHADO</t>
  </si>
  <si>
    <t xml:space="preserve">A soma da cotação KSB (R$ 2.630.491,47) é igual à soma das linhas 4-13 da crítica (1 centavo de diferença): a crítica foi montada a partir dessa planilha de preços. As 3 NFs KSB somam R$ 2.701.551,48 – excesso de R$ 71.060,00 do processo inteiro, sem contrapartida na cotação.</t>
  </si>
  <si>
    <t xml:space="preserve">KSB RAS0051138 Rev. 10; NF_ME</t>
  </si>
  <si>
    <t xml:space="preserve">Pedir NF 543048 detalhada; o excesso não é frete (CIF) nem start-up (R$ 76.000 cotado à parte).</t>
  </si>
  <si>
    <t xml:space="preserve">A04</t>
  </si>
  <si>
    <t xml:space="preserve">11, 12</t>
  </si>
  <si>
    <t xml:space="preserve">DIVERGÊNCIA</t>
  </si>
  <si>
    <t xml:space="preserve">Finame: crítica cita 02171533 nas linhas 11 e 12; a cotação KSB usa 03279333 para todas as 28 bombas.</t>
  </si>
  <si>
    <t xml:space="preserve">KSB RAS0051138 Rev. 10</t>
  </si>
  <si>
    <t xml:space="preserve">Registrar; conferir o código Finame no cadastro BNDES do modelo Megaflow V e da 050-032-200.1.</t>
  </si>
  <si>
    <t xml:space="preserve">A05</t>
  </si>
  <si>
    <t xml:space="preserve">Três identificadores para a mesma bomba: H-31100 (cotação KSB), B-31100 (LI-3100-6107) e "BOMBA 3160" (botoeira).</t>
  </si>
  <si>
    <t xml:space="preserve">KSB RAS0051138 item 24; base T45</t>
  </si>
  <si>
    <t xml:space="preserve">Usar B-31100 no laudo e citar os outros dois.</t>
  </si>
  <si>
    <t xml:space="preserve">A06</t>
  </si>
  <si>
    <t xml:space="preserve">2, 3</t>
  </si>
  <si>
    <t xml:space="preserve">Motor diesel das B-3101A/B = MWM 6.12TCE 275 kW 1800 rpm; tanques de 1.000 L fazem parte do fornecimento KSB; jockey Hydrobloc M A 604 monobloco com motor WEG. NF 526572 = cotação (R$ 850.000,00).</t>
  </si>
  <si>
    <t xml:space="preserve">KSB RAS0045265 Rev. 7 (19/09/2023)</t>
  </si>
  <si>
    <t xml:space="preserve">Preenche os dados de placa não lidos; TQ-3122/3123 não são bem à parte.</t>
  </si>
  <si>
    <t xml:space="preserve">A07</t>
  </si>
  <si>
    <t xml:space="preserve">CNPJ de faturamento na proposta STEMAC (92.753.268/0052-62, Itumbiara/GO) difere do CNPJ da NF 149420 (92.753.269/0052-02).</t>
  </si>
  <si>
    <t xml:space="preserve">STEMAC 13107/2023 REV01</t>
  </si>
  <si>
    <t xml:space="preserve">Conferir no XML da NF.</t>
  </si>
  <si>
    <t xml:space="preserve">A08</t>
  </si>
  <si>
    <t xml:space="preserve">A proposta Metroval prevê faturamento direto por Redlands, MKG, PHD Master e Ecoserv – explica as NFs desses emitentes dentro da linha 14. TSPRO não consta da lista.</t>
  </si>
  <si>
    <t xml:space="preserve">Metroval 230200112STM-SC-RevE, item 7.2</t>
  </si>
  <si>
    <t xml:space="preserve">As NFs Redlands/MKG/PHD/Ecoserv são parte do pacote Metroval, não compras avulsas; TSPRO (R$ 305.750,34) é compra adicional ou substituição.</t>
  </si>
  <si>
    <t xml:space="preserve">A09</t>
  </si>
  <si>
    <t xml:space="preserve">NFs identificadas pelo OPE154: 11642 Redlands = 21 escadas pantográficas PF-1604 (R$ 241.395,00 exatos); 110 Ecoserv = 32 monitores de aterramento (R$ 386.880,00 exatos); 142 Ecoserv = 4 amostradores KFW do skid de descarga (R$ 100.000,00 exatos).</t>
  </si>
  <si>
    <t xml:space="preserve">Redlands 0760/24; Ecoserv 036/24 (09/02 e 20/02/2024)</t>
  </si>
  <si>
    <t xml:space="preserve">Aba NF_ME atualizada (coluna I).</t>
  </si>
  <si>
    <t xml:space="preserve">A10</t>
  </si>
  <si>
    <t xml:space="preserve">13, 14d</t>
  </si>
  <si>
    <t xml:space="preserve">PROPOSIÇÃO</t>
  </si>
  <si>
    <t xml:space="preserve">A Metroval registra que a Ultracargo compraria diretamente alguns equipamentos; a KSB cotou B-3124/25 no pacote de bombas. As "duas bombas" do skid 14d são provavelmente as da linha 13: sobreposição descritiva, não necessariamente de valor.</t>
  </si>
  <si>
    <t xml:space="preserve">Metroval item 5; KSB RAS0051138 item 25; ANP Fig. 175-178</t>
  </si>
  <si>
    <t xml:space="preserve">Manter a ressalva até a composição da NF PHD 1551.</t>
  </si>
  <si>
    <t xml:space="preserve">A11</t>
  </si>
  <si>
    <t xml:space="preserve">A proposta Metroval diz "duas unidades de skid" para vagões no texto e "1 unidade" na composição de preço; crítica e placa Metroval confirmam 1 unidade de 4 pontos.</t>
  </si>
  <si>
    <t xml:space="preserve">Metroval 230200112STM-SC-RevE, itens 4(c) e 6</t>
  </si>
  <si>
    <t xml:space="preserve">Registrar como erro de texto da proposta.</t>
  </si>
  <si>
    <t xml:space="preserve">A12</t>
  </si>
  <si>
    <t xml:space="preserve">Opção 5.1 da Metroval (preço sem o preset Metroval, sem driver Automind) explica os presets Toptech MultiLoad II vistos em campo.</t>
  </si>
  <si>
    <t xml:space="preserve">Metroval item 5</t>
  </si>
  <si>
    <t xml:space="preserve">Contexto para o laudo.</t>
  </si>
  <si>
    <t xml:space="preserve">A13</t>
  </si>
  <si>
    <t xml:space="preserve">Cotação Romão = linhas 15-17 (R$ 546.941,16) + supervisão R$ 109.200 + frete R$ 101.183,92. O excesso da NF 2739 (R$ 54.399,96) não corresponde a nenhuma dessas parcelas.</t>
  </si>
  <si>
    <t xml:space="preserve">Romão 00638 Rev 04</t>
  </si>
  <si>
    <t xml:space="preserve">Pedir NF 2739 detalhada.</t>
  </si>
  <si>
    <t xml:space="preserve">A14</t>
  </si>
  <si>
    <t xml:space="preserve">A Solo Engenharia cotou a montagem dos selos (serviço de R$ 17,56 milhões com os tanques). Se a montagem não foi da Romão, a garantia do selo cai de 5 anos para 12/18 meses.</t>
  </si>
  <si>
    <t xml:space="preserve">Romão 00638 item 7; Solo 158.2023</t>
  </si>
  <si>
    <t xml:space="preserve">Perguntar quem montou os selos.</t>
  </si>
  <si>
    <t xml:space="preserve">A15</t>
  </si>
  <si>
    <t xml:space="preserve">Cotação VOLGA = crítica = NFs 22+33+34; sem preço por painel. Proposta da matriz (CNPJ 0001-12), NFs da filial (0006-27).</t>
  </si>
  <si>
    <t xml:space="preserve">VOLGA 20230138 REV 6A</t>
  </si>
  <si>
    <t xml:space="preserve">Pedir PT20230138-REV6 para ratear o valor entre os 26 itens do as-built.</t>
  </si>
  <si>
    <t xml:space="preserve">A16</t>
  </si>
  <si>
    <t xml:space="preserve">18 / Outros Fixos</t>
  </si>
  <si>
    <t xml:space="preserve">Painéis Chronus cotados: PNA-3101, 3102, 3103, 3104 e 3106 (R$ 300.000,00). O PNA-3105 (campo, radares) não está na proposta; os radares Endress NMR84 (R$ 896.452,70) são a instrumentação desse painel.</t>
  </si>
  <si>
    <t xml:space="preserve">Chronus 27/02/2024; Endress 2003681568 REV.05</t>
  </si>
  <si>
    <t xml:space="preserve">Automação e radares ficam fora da linha 18 – candidatos a Outros Fixos.</t>
  </si>
  <si>
    <t xml:space="preserve">A17</t>
  </si>
  <si>
    <t xml:space="preserve">geral</t>
  </si>
  <si>
    <t xml:space="preserve">Das 48 propostas distintas do OPE154 (49 PDFs; OPE154_16 é cópia de OPE154_05; OPE154_39 é um 2º orçamento Protego com tabela em imagem), 7 cobrem as 22 linhas de M&amp;E da crítica (STEMAC, KSB ×2, Metroval, Romão, VOLGA + correlatos Ecoserv/Redlands); as demais 41 são tanques, tubulação, válvulas, instrumentação, SCI, automação, serviços e utensílios – escopo do empreendimento fora da crítica de M&amp;E.</t>
  </si>
  <si>
    <t xml:space="preserve">OPE154 (49 PDFs; _16 = cópia de _05)</t>
  </si>
  <si>
    <t xml:space="preserve">Aba COTACOES_OPE154 com enquadramento proposto (M&amp;E / Outros Fixos / instalações / serviço).</t>
  </si>
  <si>
    <t xml:space="preserve">A18</t>
  </si>
  <si>
    <t xml:space="preserve">CORREÇÃO DE FORMATO</t>
  </si>
  <si>
    <t xml:space="preserve">Na base de 07/10, a coluna D (descrição consolidada) estava toda na cor do primeiro rótulo (ex.: NF e SAP em preto dentro de "Crítica"). Na célula única da v2 as cores seguem a legenda por rótulo: Crítica preto, NF vermelho, SAP verde, Projeto amarelo, Placa/campo azul.</t>
  </si>
  <si>
    <t xml:space="preserve">base.xlsx, coluna D</t>
  </si>
  <si>
    <t xml:space="preserve">Coluna D original preservada; célula única (coluna X e aba CONDENSADO) com cores corrigidas.</t>
  </si>
  <si>
    <t xml:space="preserve">A19</t>
  </si>
  <si>
    <t xml:space="preserve">O arquivo 2026-10-11_PRE_ANALISE_UNICA_v3.zip anexado trata da documentação fundiária das Fazendas Paloma (Paulo Roberto de Paula) e não contém nada sobre Ultracargo/Palmeirante; não foi usado nesta compatibilização.</t>
  </si>
  <si>
    <t xml:space="preserve">zip PRE_ANALISE (BRIEFING.md, CHECKLIST, DOCUMENTOS)</t>
  </si>
  <si>
    <t xml:space="preserve">Confirmar se o anexo pretendido era outro (ex.: a pré-análise de fotos da Ultracargo).</t>
  </si>
  <si>
    <t xml:space="preserve">A20</t>
  </si>
  <si>
    <t xml:space="preserve">Visores de fluxo Vidrak (28 ferroviários + 4 rodoviários = H-3177 a 31204 da LI-3100-6107) e 11 botões de emergência Sermatex (Naville) foram cotados à parte da Metroval.</t>
  </si>
  <si>
    <t xml:space="preserve">Vidrak 184481; Naville 88097</t>
  </si>
  <si>
    <t xml:space="preserve">Itens de 14e podem ter fornecedores além da Metroval/TSPRO.</t>
  </si>
  <si>
    <t xml:space="preserve">A21</t>
  </si>
  <si>
    <t xml:space="preserve">14a/14b</t>
  </si>
  <si>
    <t xml:space="preserve">40 troles LEA 1,5 t (Granville, R$ 44.680) e 21 escadas pantográficas (Redlands, R$ 241.395) são acessórios de segurança das plataformas: decidir se entram como componentes de 14a/14b ou como Outros Fixos.</t>
  </si>
  <si>
    <t xml:space="preserve">Granville 22/01/2024; Redlands 0760/24; LI-3100-6107</t>
  </si>
  <si>
    <t xml:space="preserve">Decisão de enquadramento para Rafael.</t>
  </si>
  <si>
    <t xml:space="preserve">A22</t>
  </si>
  <si>
    <t xml:space="preserve">todas</t>
  </si>
  <si>
    <t xml:space="preserve">Relatório fotográfico: usar a célula única de cada conjunto (aba CONDENSADO) como legenda-base; imagem-chave = placa do conjunto; componentes com placa fotografada listados em "Fotos". Pendências de placa: Hydrobloc B-3102, motores diesel das B-3101, TR-3100 750 kVA, TR.NB-3100, placa geral do eletrocentro, skid 14d, braços bottom loading, PN-3106.</t>
  </si>
  <si>
    <t xml:space="preserve">base (coluna U) + v2</t>
  </si>
  <si>
    <t xml:space="preserve">Lista de fotos faltantes para a próxima visita.</t>
  </si>
</sst>
</file>

<file path=xl/styles.xml><?xml version="1.0" encoding="utf-8"?>
<styleSheet xmlns="http://schemas.openxmlformats.org/spreadsheetml/2006/main">
  <numFmts count="3">
    <numFmt numFmtId="164" formatCode="General"/>
    <numFmt numFmtId="165" formatCode="#,##0.00_);[RED]\(#,##0.00\)"/>
    <numFmt numFmtId="166" formatCode="#,##0.00"/>
  </numFmts>
  <fonts count="39">
    <font>
      <sz val="11"/>
      <color theme="1"/>
      <name val="Calibri"/>
      <family val="2"/>
      <charset val="1"/>
    </font>
    <font>
      <sz val="10"/>
      <name val="Arial"/>
      <family val="0"/>
    </font>
    <font>
      <sz val="10"/>
      <name val="Arial"/>
      <family val="0"/>
    </font>
    <font>
      <sz val="10"/>
      <name val="Arial"/>
      <family val="0"/>
    </font>
    <font>
      <b val="true"/>
      <sz val="10"/>
      <color rgb="FF1F3864"/>
      <name val="Arial"/>
      <family val="0"/>
      <charset val="1"/>
    </font>
    <font>
      <sz val="10"/>
      <color rgb="FF000000"/>
      <name val="Arial"/>
      <family val="0"/>
      <charset val="1"/>
    </font>
    <font>
      <b val="true"/>
      <sz val="10"/>
      <color rgb="FF000000"/>
      <name val="Arial"/>
      <family val="0"/>
      <charset val="1"/>
    </font>
    <font>
      <sz val="10"/>
      <color rgb="FFC00000"/>
      <name val="Arial"/>
      <family val="0"/>
      <charset val="1"/>
    </font>
    <font>
      <sz val="10"/>
      <color rgb="FF00703C"/>
      <name val="Arial"/>
      <family val="0"/>
      <charset val="1"/>
    </font>
    <font>
      <sz val="10"/>
      <color rgb="FFB38600"/>
      <name val="Arial"/>
      <family val="0"/>
      <charset val="1"/>
    </font>
    <font>
      <sz val="10"/>
      <color rgb="FF1F4E9A"/>
      <name val="Arial"/>
      <family val="0"/>
      <charset val="1"/>
    </font>
    <font>
      <b val="true"/>
      <sz val="10"/>
      <color rgb="FF7030A0"/>
      <name val="Arial"/>
      <family val="0"/>
      <charset val="1"/>
    </font>
    <font>
      <sz val="10"/>
      <color rgb="FF002060"/>
      <name val="Arial"/>
      <family val="0"/>
      <charset val="1"/>
    </font>
    <font>
      <sz val="10"/>
      <color rgb="FF7030A0"/>
      <name val="Arial"/>
      <family val="0"/>
      <charset val="1"/>
    </font>
    <font>
      <b val="true"/>
      <sz val="12"/>
      <color rgb="FF1F3864"/>
      <name val="Arial"/>
      <family val="0"/>
      <charset val="1"/>
    </font>
    <font>
      <b val="true"/>
      <sz val="9"/>
      <color rgb="FF7030A0"/>
      <name val="Arial"/>
      <family val="0"/>
      <charset val="1"/>
    </font>
    <font>
      <i val="true"/>
      <sz val="9"/>
      <name val="Arial"/>
      <family val="0"/>
      <charset val="1"/>
    </font>
    <font>
      <b val="true"/>
      <sz val="9"/>
      <color rgb="FFFFFFFF"/>
      <name val="Arial"/>
      <family val="0"/>
      <charset val="1"/>
    </font>
    <font>
      <b val="true"/>
      <sz val="9"/>
      <color rgb="FF000000"/>
      <name val="Arial"/>
      <family val="0"/>
      <charset val="1"/>
    </font>
    <font>
      <sz val="9"/>
      <color rgb="FF000000"/>
      <name val="Arial"/>
      <family val="0"/>
      <charset val="1"/>
    </font>
    <font>
      <sz val="9"/>
      <color rgb="FF1F4E9A"/>
      <name val="Arial"/>
      <family val="0"/>
      <charset val="1"/>
    </font>
    <font>
      <sz val="9"/>
      <color rgb="FF00703C"/>
      <name val="Arial"/>
      <family val="0"/>
      <charset val="1"/>
    </font>
    <font>
      <sz val="9"/>
      <color rgb="FFC00000"/>
      <name val="Arial"/>
      <family val="0"/>
      <charset val="1"/>
    </font>
    <font>
      <sz val="9"/>
      <color rgb="FF002060"/>
      <name val="Arial"/>
      <family val="0"/>
      <charset val="1"/>
    </font>
    <font>
      <sz val="9"/>
      <color rgb="FF7030A0"/>
      <name val="Arial"/>
      <family val="0"/>
      <charset val="1"/>
    </font>
    <font>
      <b val="true"/>
      <sz val="9"/>
      <color rgb="FFC00000"/>
      <name val="Arial"/>
      <family val="0"/>
      <charset val="1"/>
    </font>
    <font>
      <b val="true"/>
      <sz val="9"/>
      <color rgb="FF00703C"/>
      <name val="Arial"/>
      <family val="0"/>
      <charset val="1"/>
    </font>
    <font>
      <strike val="true"/>
      <sz val="9"/>
      <color rgb="FF00703C"/>
      <name val="Arial"/>
      <family val="0"/>
      <charset val="1"/>
    </font>
    <font>
      <strike val="true"/>
      <sz val="9"/>
      <color rgb="FFC00000"/>
      <name val="Arial"/>
      <family val="0"/>
      <charset val="1"/>
    </font>
    <font>
      <b val="true"/>
      <sz val="9"/>
      <color rgb="FF1F4E9A"/>
      <name val="Arial"/>
      <family val="0"/>
      <charset val="1"/>
    </font>
    <font>
      <strike val="true"/>
      <sz val="9"/>
      <color rgb="FF000000"/>
      <name val="Arial"/>
      <family val="0"/>
      <charset val="1"/>
    </font>
    <font>
      <b val="true"/>
      <sz val="9"/>
      <color rgb="FF002060"/>
      <name val="Arial"/>
      <family val="0"/>
      <charset val="1"/>
    </font>
    <font>
      <b val="true"/>
      <sz val="9"/>
      <color rgb="FFB38600"/>
      <name val="Arial"/>
      <family val="0"/>
      <charset val="1"/>
    </font>
    <font>
      <sz val="9"/>
      <color rgb="FFB38600"/>
      <name val="Arial"/>
      <family val="0"/>
      <charset val="1"/>
    </font>
    <font>
      <strike val="true"/>
      <sz val="9"/>
      <color rgb="FFB38600"/>
      <name val="Arial"/>
      <family val="0"/>
      <charset val="1"/>
    </font>
    <font>
      <strike val="true"/>
      <sz val="9"/>
      <color rgb="FF1F4E9A"/>
      <name val="Arial"/>
      <family val="0"/>
      <charset val="1"/>
    </font>
    <font>
      <b val="true"/>
      <sz val="9"/>
      <name val="Arial"/>
      <family val="0"/>
      <charset val="1"/>
    </font>
    <font>
      <b val="true"/>
      <sz val="11"/>
      <color rgb="FFC00000"/>
      <name val="Arial"/>
      <family val="0"/>
      <charset val="1"/>
    </font>
    <font>
      <b val="true"/>
      <sz val="10"/>
      <color rgb="FF002060"/>
      <name val="Arial"/>
      <family val="0"/>
      <charset val="1"/>
    </font>
  </fonts>
  <fills count="8">
    <fill>
      <patternFill patternType="none"/>
    </fill>
    <fill>
      <patternFill patternType="gray125"/>
    </fill>
    <fill>
      <patternFill patternType="solid">
        <fgColor rgb="FF1F3864"/>
        <bgColor rgb="FF1F4E9A"/>
      </patternFill>
    </fill>
    <fill>
      <patternFill patternType="solid">
        <fgColor rgb="FFE4DFEC"/>
        <bgColor rgb="FFDDEBF7"/>
      </patternFill>
    </fill>
    <fill>
      <patternFill patternType="solid">
        <fgColor rgb="FFDDEBF7"/>
        <bgColor rgb="FFE2EFDA"/>
      </patternFill>
    </fill>
    <fill>
      <patternFill patternType="solid">
        <fgColor rgb="FFFFF2CC"/>
        <bgColor rgb="FFE2EFDA"/>
      </patternFill>
    </fill>
    <fill>
      <patternFill patternType="solid">
        <fgColor rgb="FFE2EFDA"/>
        <bgColor rgb="FFDDEBF7"/>
      </patternFill>
    </fill>
    <fill>
      <patternFill patternType="solid">
        <fgColor rgb="FF5B2C8A"/>
        <bgColor rgb="FF7030A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4" fontId="13"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2" borderId="1" xfId="0" applyFont="true" applyBorder="true" applyAlignment="true" applyProtection="false">
      <alignment horizontal="center" vertical="center" textRotation="0" wrapText="true" indent="0" shrinkToFit="false"/>
      <protection locked="true" hidden="false"/>
    </xf>
    <xf numFmtId="164" fontId="15" fillId="3" borderId="1" xfId="0" applyFont="true" applyBorder="true" applyAlignment="true" applyProtection="false">
      <alignment horizontal="general" vertical="center" textRotation="0" wrapText="true" indent="0" shrinkToFit="false"/>
      <protection locked="true" hidden="false"/>
    </xf>
    <xf numFmtId="164" fontId="18" fillId="4" borderId="1" xfId="0" applyFont="true" applyBorder="true" applyAlignment="true" applyProtection="false">
      <alignment horizontal="general" vertical="top" textRotation="0" wrapText="true" indent="0" shrinkToFit="false"/>
      <protection locked="true" hidden="false"/>
    </xf>
    <xf numFmtId="164" fontId="18" fillId="0" borderId="1" xfId="0" applyFont="true" applyBorder="true" applyAlignment="true" applyProtection="false">
      <alignment horizontal="general" vertical="top" textRotation="0" wrapText="true" indent="0" shrinkToFit="false"/>
      <protection locked="true" hidden="false"/>
    </xf>
    <xf numFmtId="164" fontId="20" fillId="0" borderId="1" xfId="0" applyFont="true" applyBorder="true" applyAlignment="true" applyProtection="false">
      <alignment horizontal="general" vertical="top" textRotation="0" wrapText="true" indent="0" shrinkToFit="false"/>
      <protection locked="true" hidden="false"/>
    </xf>
    <xf numFmtId="164" fontId="19" fillId="0" borderId="1" xfId="0" applyFont="true" applyBorder="true" applyAlignment="true" applyProtection="false">
      <alignment horizontal="general" vertical="top" textRotation="0" wrapText="true" indent="0" shrinkToFit="false"/>
      <protection locked="true" hidden="false"/>
    </xf>
    <xf numFmtId="164" fontId="21" fillId="0" borderId="1" xfId="0" applyFont="true" applyBorder="true" applyAlignment="true" applyProtection="false">
      <alignment horizontal="general" vertical="top" textRotation="0" wrapText="true" indent="0" shrinkToFit="false"/>
      <protection locked="true" hidden="false"/>
    </xf>
    <xf numFmtId="164" fontId="22" fillId="0" borderId="1" xfId="0" applyFont="true" applyBorder="true" applyAlignment="true" applyProtection="false">
      <alignment horizontal="center" vertical="center" textRotation="0" wrapText="true" indent="0" shrinkToFit="false"/>
      <protection locked="true" hidden="false"/>
    </xf>
    <xf numFmtId="164" fontId="19" fillId="0" borderId="1" xfId="0" applyFont="true" applyBorder="true" applyAlignment="true" applyProtection="false">
      <alignment horizontal="center" vertical="center" textRotation="0" wrapText="true" indent="0" shrinkToFit="false"/>
      <protection locked="true" hidden="false"/>
    </xf>
    <xf numFmtId="165" fontId="19" fillId="0" borderId="1" xfId="0" applyFont="true" applyBorder="true" applyAlignment="true" applyProtection="false">
      <alignment horizontal="center" vertical="center" textRotation="0" wrapText="true" indent="0" shrinkToFit="false"/>
      <protection locked="true" hidden="false"/>
    </xf>
    <xf numFmtId="165" fontId="22" fillId="0" borderId="1" xfId="0" applyFont="true" applyBorder="true" applyAlignment="true" applyProtection="false">
      <alignment horizontal="center" vertical="center" textRotation="0" wrapText="true" indent="0" shrinkToFit="false"/>
      <protection locked="true" hidden="false"/>
    </xf>
    <xf numFmtId="164" fontId="23" fillId="0" borderId="1" xfId="0" applyFont="true" applyBorder="true" applyAlignment="true" applyProtection="false">
      <alignment horizontal="general" vertical="top" textRotation="0" wrapText="true" indent="0" shrinkToFit="false"/>
      <protection locked="true" hidden="false"/>
    </xf>
    <xf numFmtId="164" fontId="24" fillId="0" borderId="1" xfId="0" applyFont="true" applyBorder="true" applyAlignment="true" applyProtection="false">
      <alignment horizontal="general" vertical="top" textRotation="0" wrapText="true" indent="0" shrinkToFit="false"/>
      <protection locked="true" hidden="false"/>
    </xf>
    <xf numFmtId="164" fontId="29" fillId="0" borderId="1" xfId="0" applyFont="true" applyBorder="true" applyAlignment="true" applyProtection="false">
      <alignment horizontal="general" vertical="top" textRotation="0" wrapText="true" indent="0" shrinkToFit="false"/>
      <protection locked="true" hidden="false"/>
    </xf>
    <xf numFmtId="164" fontId="26" fillId="0" borderId="1" xfId="0" applyFont="true" applyBorder="true" applyAlignment="true" applyProtection="false">
      <alignment horizontal="general" vertical="top" textRotation="0" wrapText="true" indent="0" shrinkToFit="false"/>
      <protection locked="true" hidden="false"/>
    </xf>
    <xf numFmtId="164" fontId="32" fillId="0" borderId="1" xfId="0" applyFont="true" applyBorder="true" applyAlignment="true" applyProtection="false">
      <alignment horizontal="general" vertical="top" textRotation="0" wrapText="true" indent="0" shrinkToFit="false"/>
      <protection locked="true" hidden="false"/>
    </xf>
    <xf numFmtId="164" fontId="22" fillId="0" borderId="1" xfId="0" applyFont="true" applyBorder="true" applyAlignment="true" applyProtection="false">
      <alignment horizontal="general" vertical="center" textRotation="0" wrapText="true" indent="0" shrinkToFit="false"/>
      <protection locked="true" hidden="false"/>
    </xf>
    <xf numFmtId="164" fontId="19" fillId="0" borderId="1" xfId="0" applyFont="true" applyBorder="true" applyAlignment="true" applyProtection="false">
      <alignment horizontal="general" vertical="center" textRotation="0" wrapText="true" indent="0" shrinkToFit="false"/>
      <protection locked="true" hidden="false"/>
    </xf>
    <xf numFmtId="165" fontId="19" fillId="0" borderId="1" xfId="0" applyFont="true" applyBorder="true" applyAlignment="true" applyProtection="false">
      <alignment horizontal="general" vertical="center" textRotation="0" wrapText="true" indent="0" shrinkToFit="false"/>
      <protection locked="true" hidden="false"/>
    </xf>
    <xf numFmtId="165" fontId="22" fillId="0" borderId="1" xfId="0" applyFont="true" applyBorder="true" applyAlignment="true" applyProtection="false">
      <alignment horizontal="general" vertical="center" textRotation="0" wrapText="true" indent="0" shrinkToFit="false"/>
      <protection locked="true" hidden="false"/>
    </xf>
    <xf numFmtId="165" fontId="19" fillId="0" borderId="1" xfId="0" applyFont="true" applyBorder="true" applyAlignment="true" applyProtection="false">
      <alignment horizontal="general" vertical="top" textRotation="0" wrapText="true" indent="0" shrinkToFit="false"/>
      <protection locked="true" hidden="false"/>
    </xf>
    <xf numFmtId="164" fontId="22" fillId="0" borderId="1" xfId="0" applyFont="true" applyBorder="true" applyAlignment="true" applyProtection="false">
      <alignment horizontal="general" vertical="top" textRotation="0" wrapText="true" indent="0" shrinkToFit="false"/>
      <protection locked="true" hidden="false"/>
    </xf>
    <xf numFmtId="165" fontId="22" fillId="0" borderId="1" xfId="0" applyFont="true" applyBorder="true" applyAlignment="true" applyProtection="false">
      <alignment horizontal="general" vertical="top" textRotation="0" wrapText="true" indent="0" shrinkToFit="false"/>
      <protection locked="true" hidden="false"/>
    </xf>
    <xf numFmtId="164" fontId="18" fillId="5" borderId="1" xfId="0" applyFont="true" applyBorder="true" applyAlignment="true" applyProtection="false">
      <alignment horizontal="general" vertical="top" textRotation="0" wrapText="true" indent="0" shrinkToFit="false"/>
      <protection locked="true" hidden="false"/>
    </xf>
    <xf numFmtId="164" fontId="33" fillId="0" borderId="1" xfId="0" applyFont="true" applyBorder="true" applyAlignment="true" applyProtection="false">
      <alignment horizontal="general" vertical="top" textRotation="0" wrapText="true" indent="0" shrinkToFit="false"/>
      <protection locked="true" hidden="false"/>
    </xf>
    <xf numFmtId="164" fontId="36" fillId="6" borderId="0" xfId="0" applyFont="true" applyBorder="false" applyAlignment="false" applyProtection="false">
      <alignment horizontal="general" vertical="bottom" textRotation="0" wrapText="false" indent="0" shrinkToFit="false"/>
      <protection locked="true" hidden="false"/>
    </xf>
    <xf numFmtId="165" fontId="36" fillId="6" borderId="0" xfId="0" applyFont="true" applyBorder="false" applyAlignment="false" applyProtection="false">
      <alignment horizontal="general" vertical="bottom" textRotation="0" wrapText="false" indent="0" shrinkToFit="false"/>
      <protection locked="true" hidden="false"/>
    </xf>
    <xf numFmtId="164" fontId="36" fillId="6" borderId="0" xfId="0" applyFont="true" applyBorder="false" applyAlignment="true" applyProtection="false">
      <alignment horizontal="general" vertical="bottom"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7" fillId="2" borderId="1" xfId="0" applyFont="true" applyBorder="true" applyAlignment="true" applyProtection="false">
      <alignment horizontal="general" vertical="center" textRotation="0" wrapText="true" indent="0" shrinkToFit="false"/>
      <protection locked="true" hidden="false"/>
    </xf>
    <xf numFmtId="166" fontId="19" fillId="0" borderId="1" xfId="0" applyFont="true" applyBorder="true" applyAlignment="true" applyProtection="false">
      <alignment horizontal="general" vertical="top" textRotation="0" wrapText="true" indent="0" shrinkToFit="false"/>
      <protection locked="true" hidden="false"/>
    </xf>
    <xf numFmtId="166" fontId="23" fillId="0" borderId="1" xfId="0" applyFont="true" applyBorder="true" applyAlignment="true" applyProtection="false">
      <alignment horizontal="general" vertical="top" textRotation="0" wrapText="tru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37" fillId="0" borderId="0" xfId="0" applyFont="true" applyBorder="false" applyAlignment="false" applyProtection="false">
      <alignment horizontal="general" vertical="bottom" textRotation="0" wrapText="false" indent="0" shrinkToFit="false"/>
      <protection locked="true" hidden="false"/>
    </xf>
    <xf numFmtId="164" fontId="17" fillId="2" borderId="0" xfId="0" applyFont="true" applyBorder="false" applyAlignment="true" applyProtection="false">
      <alignment horizontal="general" vertical="bottom" textRotation="0" wrapText="true" indent="0" shrinkToFit="false"/>
      <protection locked="true" hidden="false"/>
    </xf>
    <xf numFmtId="164" fontId="22" fillId="0" borderId="0" xfId="0" applyFont="true" applyBorder="false" applyAlignment="true" applyProtection="false">
      <alignment horizontal="general" vertical="top" textRotation="0" wrapText="true" indent="0" shrinkToFit="false"/>
      <protection locked="true" hidden="false"/>
    </xf>
    <xf numFmtId="166" fontId="22" fillId="0" borderId="0" xfId="0" applyFont="true" applyBorder="false" applyAlignment="true" applyProtection="false">
      <alignment horizontal="general" vertical="top" textRotation="0" wrapText="true" indent="0" shrinkToFit="false"/>
      <protection locked="true" hidden="false"/>
    </xf>
    <xf numFmtId="165" fontId="36" fillId="0" borderId="0" xfId="0" applyFont="true" applyBorder="false" applyAlignment="false" applyProtection="false">
      <alignment horizontal="general" vertical="bottom" textRotation="0" wrapText="false" indent="0" shrinkToFit="false"/>
      <protection locked="true" hidden="false"/>
    </xf>
    <xf numFmtId="165" fontId="36" fillId="0" borderId="0" xfId="0" applyFont="true" applyBorder="true" applyAlignment="true" applyProtection="false">
      <alignment horizontal="center" vertical="bottom" textRotation="0" wrapText="false" indent="0" shrinkToFit="false"/>
      <protection locked="true" hidden="false"/>
    </xf>
    <xf numFmtId="164" fontId="38" fillId="0" borderId="0" xfId="0" applyFont="true" applyBorder="false" applyAlignment="false" applyProtection="false">
      <alignment horizontal="general" vertical="bottom" textRotation="0" wrapText="false" indent="0" shrinkToFit="false"/>
      <protection locked="true" hidden="false"/>
    </xf>
    <xf numFmtId="164" fontId="17" fillId="7" borderId="1"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1F3864"/>
          <bgColor rgb="FF000000"/>
        </patternFill>
      </fill>
    </dxf>
    <dxf>
      <fill>
        <patternFill patternType="solid">
          <fgColor rgb="FFDDEBF7"/>
          <bgColor rgb="FF000000"/>
        </patternFill>
      </fill>
    </dxf>
    <dxf>
      <fill>
        <patternFill patternType="solid">
          <fgColor rgb="FFFFF2CC"/>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1F4E9A"/>
          <bgColor rgb="FF000000"/>
        </patternFill>
      </fill>
    </dxf>
    <dxf>
      <fill>
        <patternFill patternType="solid">
          <fgColor rgb="FFB38600"/>
          <bgColor rgb="FF000000"/>
        </patternFill>
      </fill>
    </dxf>
    <dxf>
      <fill>
        <patternFill patternType="solid">
          <fgColor rgb="FF00703C"/>
          <bgColor rgb="FF000000"/>
        </patternFill>
      </fill>
    </dxf>
    <dxf>
      <fill>
        <patternFill patternType="solid">
          <fgColor rgb="FFC00000"/>
          <bgColor rgb="FF000000"/>
        </patternFill>
      </fill>
    </dxf>
    <dxf>
      <fill>
        <patternFill patternType="solid">
          <fgColor rgb="FFE4DFEC"/>
          <bgColor rgb="FF000000"/>
        </patternFill>
      </fill>
    </dxf>
    <dxf>
      <fill>
        <patternFill patternType="solid">
          <fgColor rgb="FF002060"/>
          <bgColor rgb="FF000000"/>
        </patternFill>
      </fill>
    </dxf>
    <dxf>
      <fill>
        <patternFill patternType="solid">
          <fgColor rgb="FF7030A0"/>
          <bgColor rgb="FF000000"/>
        </patternFill>
      </fill>
    </dxf>
  </dxfs>
  <colors>
    <indexedColors>
      <rgbColor rgb="FF000000"/>
      <rgbColor rgb="FFFFFFFF"/>
      <rgbColor rgb="FFC00000"/>
      <rgbColor rgb="FF00FF00"/>
      <rgbColor rgb="FF0000FF"/>
      <rgbColor rgb="FFFFFF00"/>
      <rgbColor rgb="FFFF00FF"/>
      <rgbColor rgb="FF00FFFF"/>
      <rgbColor rgb="FF800000"/>
      <rgbColor rgb="FF00703C"/>
      <rgbColor rgb="FF000080"/>
      <rgbColor rgb="FFB38600"/>
      <rgbColor rgb="FF800080"/>
      <rgbColor rgb="FF008080"/>
      <rgbColor rgb="FFBFBFBF"/>
      <rgbColor rgb="FF808080"/>
      <rgbColor rgb="FF9999FF"/>
      <rgbColor rgb="FF7030A0"/>
      <rgbColor rgb="FFFFF2CC"/>
      <rgbColor rgb="FFDDEBF7"/>
      <rgbColor rgb="FF660066"/>
      <rgbColor rgb="FFFF8080"/>
      <rgbColor rgb="FF1F4E9A"/>
      <rgbColor rgb="FFE4DFEC"/>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2060"/>
      <rgbColor rgb="FF339966"/>
      <rgbColor rgb="FF003300"/>
      <rgbColor rgb="FF333300"/>
      <rgbColor rgb="FF993300"/>
      <rgbColor rgb="FF993366"/>
      <rgbColor rgb="FF5B2C8A"/>
      <rgbColor rgb="FF1F386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4.25" zeroHeight="false" outlineLevelRow="0" outlineLevelCol="0"/>
  <cols>
    <col collapsed="false" customWidth="true" hidden="false" outlineLevel="0" max="1" min="1" style="0" width="160"/>
  </cols>
  <sheetData>
    <row r="1" customFormat="false" ht="14.25" hidden="false" customHeight="false" outlineLevel="0" collapsed="false">
      <c r="A1" s="1" t="s">
        <v>0</v>
      </c>
    </row>
    <row r="2" customFormat="false" ht="14.25" hidden="false" customHeight="false" outlineLevel="0" collapsed="false">
      <c r="A2" s="2"/>
    </row>
    <row r="3" customFormat="false" ht="14.25" hidden="false" customHeight="false" outlineLevel="0" collapsed="false">
      <c r="A3" s="3" t="s">
        <v>1</v>
      </c>
    </row>
    <row r="4" customFormat="false" ht="14.25" hidden="false" customHeight="false" outlineLevel="0" collapsed="false">
      <c r="A4" s="2" t="s">
        <v>2</v>
      </c>
    </row>
    <row r="5" customFormat="false" ht="14.25" hidden="false" customHeight="false" outlineLevel="0" collapsed="false">
      <c r="A5" s="4" t="s">
        <v>3</v>
      </c>
    </row>
    <row r="6" customFormat="false" ht="14.25" hidden="false" customHeight="false" outlineLevel="0" collapsed="false">
      <c r="A6" s="5" t="s">
        <v>4</v>
      </c>
    </row>
    <row r="7" customFormat="false" ht="26.25" hidden="false" customHeight="true" outlineLevel="0" collapsed="false">
      <c r="A7" s="6" t="s">
        <v>5</v>
      </c>
    </row>
    <row r="8" customFormat="false" ht="14.25" hidden="false" customHeight="false" outlineLevel="0" collapsed="false">
      <c r="A8" s="7" t="s">
        <v>6</v>
      </c>
    </row>
    <row r="9" customFormat="false" ht="14.25" hidden="false" customHeight="false" outlineLevel="0" collapsed="false">
      <c r="A9" s="2"/>
    </row>
    <row r="10" customFormat="false" ht="26.25" hidden="false" customHeight="true" outlineLevel="0" collapsed="false">
      <c r="A10" s="2" t="s">
        <v>7</v>
      </c>
    </row>
    <row r="11" customFormat="false" ht="26.25" hidden="false" customHeight="true" outlineLevel="0" collapsed="false">
      <c r="A11" s="2" t="s">
        <v>8</v>
      </c>
    </row>
    <row r="12" customFormat="false" ht="26.25" hidden="false" customHeight="true" outlineLevel="0" collapsed="false">
      <c r="A12" s="2" t="s">
        <v>9</v>
      </c>
    </row>
    <row r="13" customFormat="false" ht="14.25" hidden="false" customHeight="false" outlineLevel="0" collapsed="false">
      <c r="A13" s="2" t="s">
        <v>10</v>
      </c>
    </row>
    <row r="14" customFormat="false" ht="14.25" hidden="false" customHeight="false" outlineLevel="0" collapsed="false">
      <c r="A14" s="2" t="s">
        <v>11</v>
      </c>
    </row>
    <row r="15" customFormat="false" ht="14.25" hidden="false" customHeight="false" outlineLevel="0" collapsed="false">
      <c r="A15" s="2" t="s">
        <v>12</v>
      </c>
    </row>
    <row r="16" customFormat="false" ht="26.25" hidden="false" customHeight="true" outlineLevel="0" collapsed="false">
      <c r="A16" s="2" t="s">
        <v>13</v>
      </c>
    </row>
    <row r="17" customFormat="false" ht="14.25" hidden="false" customHeight="false" outlineLevel="0" collapsed="false">
      <c r="A17" s="2"/>
    </row>
    <row r="18" customFormat="false" ht="26.25" hidden="false" customHeight="true" outlineLevel="0" collapsed="false">
      <c r="A18" s="2" t="s">
        <v>14</v>
      </c>
    </row>
    <row r="19" customFormat="false" ht="14.25" hidden="false" customHeight="false" outlineLevel="0" collapsed="false">
      <c r="A19" s="2" t="s">
        <v>15</v>
      </c>
    </row>
    <row r="20" customFormat="false" ht="14.25" hidden="false" customHeight="false" outlineLevel="0" collapsed="false">
      <c r="A20" s="2"/>
    </row>
    <row r="21" customFormat="false" ht="14.25" hidden="false" customHeight="false" outlineLevel="0" collapsed="false">
      <c r="A21" s="8" t="s">
        <v>16</v>
      </c>
    </row>
    <row r="22" customFormat="false" ht="23.85" hidden="false" customHeight="false" outlineLevel="0" collapsed="false">
      <c r="A22" s="9" t="s">
        <v>17</v>
      </c>
    </row>
    <row r="23" customFormat="false" ht="23.85" hidden="false" customHeight="false" outlineLevel="0" collapsed="false">
      <c r="A23" s="10" t="s">
        <v>18</v>
      </c>
    </row>
    <row r="24" customFormat="false" ht="46.25" hidden="false" customHeight="false" outlineLevel="0" collapsed="false">
      <c r="A24" s="2" t="s">
        <v>19</v>
      </c>
    </row>
    <row r="25" customFormat="false" ht="23.85" hidden="false" customHeight="false" outlineLevel="0" collapsed="false">
      <c r="A25" s="10" t="s">
        <v>20</v>
      </c>
    </row>
    <row r="26" customFormat="false" ht="35.05" hidden="false" customHeight="false" outlineLevel="0" collapsed="false">
      <c r="A26" s="10" t="s">
        <v>21</v>
      </c>
    </row>
    <row r="27" customFormat="false" ht="23.85" hidden="false" customHeight="false" outlineLevel="0" collapsed="false">
      <c r="A27" s="2" t="s">
        <v>22</v>
      </c>
    </row>
    <row r="28" customFormat="false" ht="14.25" hidden="false" customHeight="false" outlineLevel="0" collapsed="false">
      <c r="A28" s="10" t="s">
        <v>23</v>
      </c>
    </row>
    <row r="29" customFormat="false" ht="23.85" hidden="false" customHeight="false" outlineLevel="0" collapsed="false">
      <c r="A29" s="10" t="s">
        <v>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X16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C126" activeCellId="0" sqref="C126"/>
    </sheetView>
  </sheetViews>
  <sheetFormatPr defaultColWidth="8.6796875" defaultRowHeight="14.25" zeroHeight="false" outlineLevelRow="0" outlineLevelCol="0"/>
  <cols>
    <col collapsed="false" customWidth="true" hidden="false" outlineLevel="0" max="1" min="1" style="0" width="8"/>
    <col collapsed="false" customWidth="true" hidden="false" outlineLevel="0" max="2" min="2" style="0" width="13.56"/>
    <col collapsed="false" customWidth="true" hidden="false" outlineLevel="0" max="3" min="3" style="0" width="28.11"/>
    <col collapsed="false" customWidth="true" hidden="false" outlineLevel="0" max="4" min="4" style="11" width="89.22"/>
    <col collapsed="false" customWidth="true" hidden="false" outlineLevel="0" max="5" min="5" style="0" width="18"/>
    <col collapsed="false" customWidth="true" hidden="false" outlineLevel="0" max="6" min="6" style="0" width="22"/>
    <col collapsed="false" customWidth="true" hidden="false" outlineLevel="0" max="7" min="7" style="0" width="26"/>
    <col collapsed="false" customWidth="true" hidden="false" outlineLevel="0" max="8" min="8" style="0" width="22"/>
    <col collapsed="false" customWidth="true" hidden="false" outlineLevel="0" max="9" min="9" style="0" width="24"/>
    <col collapsed="false" customWidth="true" hidden="false" outlineLevel="0" max="11" min="10" style="0" width="13"/>
    <col collapsed="false" customWidth="true" hidden="false" outlineLevel="0" max="12" min="12" style="0" width="12"/>
    <col collapsed="false" customWidth="true" hidden="false" outlineLevel="0" max="13" min="13" style="0" width="28"/>
    <col collapsed="false" customWidth="true" hidden="false" outlineLevel="0" max="14" min="14" style="0" width="7"/>
    <col collapsed="false" customWidth="true" hidden="false" outlineLevel="0" max="15" min="15" style="0" width="14"/>
    <col collapsed="false" customWidth="true" hidden="false" outlineLevel="0" max="17" min="16" style="0" width="15"/>
    <col collapsed="false" customWidth="true" hidden="false" outlineLevel="0" max="18" min="18" style="0" width="14"/>
    <col collapsed="false" customWidth="true" hidden="false" outlineLevel="0" max="19" min="19" style="0" width="38.33"/>
    <col collapsed="false" customWidth="true" hidden="false" outlineLevel="0" max="20" min="20" style="0" width="80"/>
    <col collapsed="false" customWidth="true" hidden="false" outlineLevel="0" max="21" min="21" style="0" width="18"/>
    <col collapsed="false" customWidth="true" hidden="false" outlineLevel="0" max="23" min="22" style="0" width="60"/>
    <col collapsed="false" customWidth="true" hidden="false" outlineLevel="0" max="24" min="24" style="0" width="120"/>
  </cols>
  <sheetData>
    <row r="1" customFormat="false" ht="15" hidden="false" customHeight="true" outlineLevel="0" collapsed="false">
      <c r="A1" s="12" t="s">
        <v>25</v>
      </c>
      <c r="X1" s="13" t="s">
        <v>26</v>
      </c>
    </row>
    <row r="2" customFormat="false" ht="14.25" hidden="false" customHeight="false" outlineLevel="0" collapsed="false">
      <c r="A2" s="14" t="s">
        <v>27</v>
      </c>
    </row>
    <row r="3" customFormat="false" ht="48" hidden="false" customHeight="true" outlineLevel="0" collapsed="false">
      <c r="A3" s="15" t="s">
        <v>28</v>
      </c>
      <c r="B3" s="15" t="s">
        <v>29</v>
      </c>
      <c r="C3" s="15" t="s">
        <v>30</v>
      </c>
      <c r="D3" s="15" t="s">
        <v>31</v>
      </c>
      <c r="E3" s="15" t="s">
        <v>32</v>
      </c>
      <c r="F3" s="15" t="s">
        <v>33</v>
      </c>
      <c r="G3" s="15" t="s">
        <v>34</v>
      </c>
      <c r="H3" s="15" t="s">
        <v>35</v>
      </c>
      <c r="I3" s="15" t="s">
        <v>36</v>
      </c>
      <c r="J3" s="15" t="s">
        <v>37</v>
      </c>
      <c r="K3" s="15" t="s">
        <v>38</v>
      </c>
      <c r="L3" s="15" t="s">
        <v>39</v>
      </c>
      <c r="M3" s="15" t="s">
        <v>40</v>
      </c>
      <c r="N3" s="15" t="s">
        <v>41</v>
      </c>
      <c r="O3" s="15" t="s">
        <v>42</v>
      </c>
      <c r="P3" s="15" t="s">
        <v>43</v>
      </c>
      <c r="Q3" s="15" t="s">
        <v>44</v>
      </c>
      <c r="R3" s="15" t="s">
        <v>45</v>
      </c>
      <c r="S3" s="15" t="s">
        <v>46</v>
      </c>
      <c r="T3" s="15" t="s">
        <v>47</v>
      </c>
      <c r="U3" s="15" t="s">
        <v>48</v>
      </c>
      <c r="V3" s="16" t="s">
        <v>49</v>
      </c>
      <c r="W3" s="16" t="s">
        <v>50</v>
      </c>
      <c r="X3" s="16" t="s">
        <v>51</v>
      </c>
    </row>
    <row r="4" customFormat="false" ht="65.25" hidden="false" customHeight="true" outlineLevel="0" collapsed="false">
      <c r="A4" s="17" t="s">
        <v>52</v>
      </c>
      <c r="B4" s="17" t="s">
        <v>53</v>
      </c>
      <c r="C4" s="17" t="s">
        <v>54</v>
      </c>
      <c r="D4" s="18" t="s">
        <v>55</v>
      </c>
      <c r="E4" s="19" t="s">
        <v>56</v>
      </c>
      <c r="F4" s="19" t="s">
        <v>57</v>
      </c>
      <c r="G4" s="20" t="s">
        <v>58</v>
      </c>
      <c r="H4" s="19" t="s">
        <v>59</v>
      </c>
      <c r="I4" s="21" t="s">
        <v>60</v>
      </c>
      <c r="J4" s="19" t="s">
        <v>61</v>
      </c>
      <c r="K4" s="22" t="s">
        <v>62</v>
      </c>
      <c r="L4" s="22" t="s">
        <v>63</v>
      </c>
      <c r="M4" s="22" t="s">
        <v>64</v>
      </c>
      <c r="N4" s="23" t="n">
        <v>1</v>
      </c>
      <c r="O4" s="24" t="n">
        <v>393500</v>
      </c>
      <c r="P4" s="24" t="n">
        <v>393500</v>
      </c>
      <c r="Q4" s="25" t="n">
        <v>393500</v>
      </c>
      <c r="R4" s="24" t="n">
        <f aca="false">Q4-P4</f>
        <v>0</v>
      </c>
      <c r="S4" s="23" t="s">
        <v>65</v>
      </c>
      <c r="T4" s="20" t="s">
        <v>66</v>
      </c>
      <c r="U4" s="20" t="s">
        <v>67</v>
      </c>
      <c r="V4" s="26" t="s">
        <v>68</v>
      </c>
      <c r="W4" s="27" t="s">
        <v>69</v>
      </c>
      <c r="X4" s="18" t="s">
        <v>70</v>
      </c>
    </row>
    <row r="5" customFormat="false" ht="23.25" hidden="false" customHeight="true" outlineLevel="0" collapsed="false">
      <c r="A5" s="20" t="s">
        <v>52</v>
      </c>
      <c r="B5" s="20" t="s">
        <v>71</v>
      </c>
      <c r="C5" s="20" t="s">
        <v>72</v>
      </c>
      <c r="D5" s="28" t="s">
        <v>73</v>
      </c>
      <c r="E5" s="19" t="s">
        <v>74</v>
      </c>
      <c r="F5" s="19" t="s">
        <v>75</v>
      </c>
      <c r="G5" s="19" t="s">
        <v>76</v>
      </c>
      <c r="H5" s="19" t="s">
        <v>77</v>
      </c>
      <c r="I5" s="21" t="s">
        <v>78</v>
      </c>
      <c r="J5" s="19" t="s">
        <v>79</v>
      </c>
      <c r="K5" s="22"/>
      <c r="L5" s="22"/>
      <c r="M5" s="22"/>
      <c r="N5" s="22"/>
      <c r="O5" s="22"/>
      <c r="P5" s="22"/>
      <c r="Q5" s="22"/>
      <c r="R5" s="22"/>
      <c r="S5" s="22"/>
      <c r="T5" s="20" t="s">
        <v>80</v>
      </c>
      <c r="U5" s="20" t="s">
        <v>81</v>
      </c>
      <c r="V5" s="26" t="s">
        <v>82</v>
      </c>
      <c r="W5" s="27" t="s">
        <v>83</v>
      </c>
      <c r="X5" s="18"/>
    </row>
    <row r="6" customFormat="false" ht="22.5" hidden="false" customHeight="true" outlineLevel="0" collapsed="false">
      <c r="A6" s="20" t="s">
        <v>52</v>
      </c>
      <c r="B6" s="20" t="s">
        <v>71</v>
      </c>
      <c r="C6" s="20" t="s">
        <v>84</v>
      </c>
      <c r="D6" s="28" t="s">
        <v>85</v>
      </c>
      <c r="E6" s="19" t="s">
        <v>86</v>
      </c>
      <c r="F6" s="19" t="s">
        <v>87</v>
      </c>
      <c r="G6" s="19" t="s">
        <v>88</v>
      </c>
      <c r="H6" s="19" t="s">
        <v>89</v>
      </c>
      <c r="I6" s="21" t="s">
        <v>78</v>
      </c>
      <c r="J6" s="19" t="s">
        <v>90</v>
      </c>
      <c r="K6" s="22"/>
      <c r="L6" s="22"/>
      <c r="M6" s="22"/>
      <c r="N6" s="22"/>
      <c r="O6" s="22"/>
      <c r="P6" s="22"/>
      <c r="Q6" s="22"/>
      <c r="R6" s="22"/>
      <c r="S6" s="22"/>
      <c r="T6" s="20" t="s">
        <v>91</v>
      </c>
      <c r="U6" s="20" t="s">
        <v>92</v>
      </c>
      <c r="V6" s="26" t="s">
        <v>93</v>
      </c>
      <c r="W6" s="27" t="s">
        <v>94</v>
      </c>
      <c r="X6" s="18"/>
    </row>
    <row r="7" customFormat="false" ht="89.25" hidden="false" customHeight="true" outlineLevel="0" collapsed="false">
      <c r="A7" s="17" t="s">
        <v>95</v>
      </c>
      <c r="B7" s="17" t="s">
        <v>53</v>
      </c>
      <c r="C7" s="17" t="s">
        <v>96</v>
      </c>
      <c r="D7" s="18" t="s">
        <v>97</v>
      </c>
      <c r="E7" s="19" t="s">
        <v>98</v>
      </c>
      <c r="F7" s="19" t="s">
        <v>99</v>
      </c>
      <c r="G7" s="19" t="s">
        <v>100</v>
      </c>
      <c r="H7" s="19" t="s">
        <v>101</v>
      </c>
      <c r="I7" s="21" t="s">
        <v>102</v>
      </c>
      <c r="J7" s="19" t="s">
        <v>103</v>
      </c>
      <c r="K7" s="22" t="s">
        <v>104</v>
      </c>
      <c r="L7" s="22" t="s">
        <v>105</v>
      </c>
      <c r="M7" s="22" t="s">
        <v>106</v>
      </c>
      <c r="N7" s="23" t="n">
        <v>2</v>
      </c>
      <c r="O7" s="24" t="n">
        <v>407600.52</v>
      </c>
      <c r="P7" s="24" t="n">
        <v>815201.04</v>
      </c>
      <c r="Q7" s="25" t="n">
        <v>815201.04</v>
      </c>
      <c r="R7" s="24" t="n">
        <f aca="false">Q7-P7</f>
        <v>0</v>
      </c>
      <c r="S7" s="23" t="s">
        <v>107</v>
      </c>
      <c r="T7" s="20" t="s">
        <v>108</v>
      </c>
      <c r="U7" s="20" t="s">
        <v>109</v>
      </c>
      <c r="V7" s="26" t="s">
        <v>110</v>
      </c>
      <c r="W7" s="27" t="s">
        <v>111</v>
      </c>
      <c r="X7" s="18" t="s">
        <v>112</v>
      </c>
    </row>
    <row r="8" customFormat="false" ht="57.75" hidden="false" customHeight="true" outlineLevel="0" collapsed="false">
      <c r="A8" s="20" t="s">
        <v>95</v>
      </c>
      <c r="B8" s="20" t="s">
        <v>71</v>
      </c>
      <c r="C8" s="20" t="s">
        <v>113</v>
      </c>
      <c r="D8" s="29" t="s">
        <v>114</v>
      </c>
      <c r="E8" s="19" t="s">
        <v>115</v>
      </c>
      <c r="F8" s="19" t="s">
        <v>99</v>
      </c>
      <c r="G8" s="19" t="s">
        <v>116</v>
      </c>
      <c r="H8" s="19" t="s">
        <v>117</v>
      </c>
      <c r="I8" s="21" t="s">
        <v>118</v>
      </c>
      <c r="J8" s="19" t="s">
        <v>119</v>
      </c>
      <c r="K8" s="22"/>
      <c r="L8" s="22"/>
      <c r="M8" s="22"/>
      <c r="N8" s="22"/>
      <c r="O8" s="22"/>
      <c r="P8" s="22"/>
      <c r="Q8" s="22"/>
      <c r="R8" s="22"/>
      <c r="S8" s="22"/>
      <c r="T8" s="20" t="s">
        <v>120</v>
      </c>
      <c r="U8" s="20" t="s">
        <v>121</v>
      </c>
      <c r="V8" s="26" t="s">
        <v>122</v>
      </c>
      <c r="W8" s="27" t="s">
        <v>123</v>
      </c>
      <c r="X8" s="18"/>
    </row>
    <row r="9" customFormat="false" ht="37.5" hidden="false" customHeight="true" outlineLevel="0" collapsed="false">
      <c r="A9" s="20" t="s">
        <v>95</v>
      </c>
      <c r="B9" s="20" t="s">
        <v>71</v>
      </c>
      <c r="C9" s="20" t="s">
        <v>124</v>
      </c>
      <c r="D9" s="29" t="s">
        <v>125</v>
      </c>
      <c r="E9" s="19" t="s">
        <v>115</v>
      </c>
      <c r="F9" s="19" t="s">
        <v>99</v>
      </c>
      <c r="G9" s="19" t="s">
        <v>116</v>
      </c>
      <c r="H9" s="19" t="s">
        <v>126</v>
      </c>
      <c r="I9" s="21" t="s">
        <v>127</v>
      </c>
      <c r="J9" s="19" t="s">
        <v>128</v>
      </c>
      <c r="K9" s="22"/>
      <c r="L9" s="22"/>
      <c r="M9" s="22"/>
      <c r="N9" s="22"/>
      <c r="O9" s="22"/>
      <c r="P9" s="22"/>
      <c r="Q9" s="22"/>
      <c r="R9" s="22"/>
      <c r="S9" s="22"/>
      <c r="T9" s="20" t="s">
        <v>129</v>
      </c>
      <c r="U9" s="20" t="s">
        <v>130</v>
      </c>
      <c r="V9" s="26" t="s">
        <v>122</v>
      </c>
      <c r="W9" s="27" t="s">
        <v>131</v>
      </c>
      <c r="X9" s="18"/>
    </row>
    <row r="10" customFormat="false" ht="30" hidden="false" customHeight="true" outlineLevel="0" collapsed="false">
      <c r="A10" s="20" t="s">
        <v>95</v>
      </c>
      <c r="B10" s="20" t="s">
        <v>71</v>
      </c>
      <c r="C10" s="20" t="s">
        <v>132</v>
      </c>
      <c r="D10" s="30" t="s">
        <v>133</v>
      </c>
      <c r="E10" s="19" t="s">
        <v>134</v>
      </c>
      <c r="F10" s="19" t="s">
        <v>135</v>
      </c>
      <c r="G10" s="19" t="s">
        <v>136</v>
      </c>
      <c r="H10" s="19" t="s">
        <v>137</v>
      </c>
      <c r="I10" s="21" t="s">
        <v>138</v>
      </c>
      <c r="J10" s="19" t="s">
        <v>79</v>
      </c>
      <c r="K10" s="22"/>
      <c r="L10" s="22"/>
      <c r="M10" s="22"/>
      <c r="N10" s="22"/>
      <c r="O10" s="22"/>
      <c r="P10" s="22"/>
      <c r="Q10" s="22"/>
      <c r="R10" s="22"/>
      <c r="S10" s="23"/>
      <c r="T10" s="20" t="s">
        <v>139</v>
      </c>
      <c r="U10" s="20" t="s">
        <v>140</v>
      </c>
      <c r="V10" s="26" t="s">
        <v>141</v>
      </c>
      <c r="W10" s="27" t="s">
        <v>142</v>
      </c>
      <c r="X10" s="18"/>
    </row>
    <row r="11" customFormat="false" ht="80.25" hidden="false" customHeight="true" outlineLevel="0" collapsed="false">
      <c r="A11" s="17" t="s">
        <v>143</v>
      </c>
      <c r="B11" s="17" t="s">
        <v>53</v>
      </c>
      <c r="C11" s="17" t="s">
        <v>144</v>
      </c>
      <c r="D11" s="18" t="s">
        <v>145</v>
      </c>
      <c r="E11" s="19" t="s">
        <v>146</v>
      </c>
      <c r="F11" s="20" t="s">
        <v>147</v>
      </c>
      <c r="G11" s="19" t="s">
        <v>148</v>
      </c>
      <c r="H11" s="19" t="s">
        <v>149</v>
      </c>
      <c r="I11" s="21" t="s">
        <v>150</v>
      </c>
      <c r="J11" s="19" t="s">
        <v>151</v>
      </c>
      <c r="K11" s="31" t="s">
        <v>104</v>
      </c>
      <c r="L11" s="31" t="s">
        <v>105</v>
      </c>
      <c r="M11" s="31" t="s">
        <v>106</v>
      </c>
      <c r="N11" s="32" t="n">
        <v>1</v>
      </c>
      <c r="O11" s="33" t="n">
        <v>34798.96</v>
      </c>
      <c r="P11" s="33" t="n">
        <v>34798.96</v>
      </c>
      <c r="Q11" s="34" t="n">
        <v>34798.96</v>
      </c>
      <c r="R11" s="35" t="n">
        <f aca="false">Q11-P11</f>
        <v>0</v>
      </c>
      <c r="S11" s="23"/>
      <c r="T11" s="20" t="s">
        <v>152</v>
      </c>
      <c r="U11" s="20" t="s">
        <v>153</v>
      </c>
      <c r="V11" s="26" t="s">
        <v>154</v>
      </c>
      <c r="W11" s="27" t="s">
        <v>155</v>
      </c>
      <c r="X11" s="18" t="s">
        <v>156</v>
      </c>
    </row>
    <row r="12" customFormat="false" ht="84" hidden="false" customHeight="true" outlineLevel="0" collapsed="false">
      <c r="A12" s="17" t="s">
        <v>157</v>
      </c>
      <c r="B12" s="17" t="s">
        <v>53</v>
      </c>
      <c r="C12" s="17" t="s">
        <v>158</v>
      </c>
      <c r="D12" s="18" t="s">
        <v>159</v>
      </c>
      <c r="E12" s="19" t="s">
        <v>160</v>
      </c>
      <c r="F12" s="20" t="s">
        <v>161</v>
      </c>
      <c r="G12" s="19" t="s">
        <v>162</v>
      </c>
      <c r="H12" s="19" t="s">
        <v>163</v>
      </c>
      <c r="I12" s="21" t="s">
        <v>164</v>
      </c>
      <c r="J12" s="19" t="s">
        <v>165</v>
      </c>
      <c r="K12" s="36" t="s">
        <v>166</v>
      </c>
      <c r="L12" s="36" t="s">
        <v>167</v>
      </c>
      <c r="M12" s="36" t="s">
        <v>168</v>
      </c>
      <c r="N12" s="18" t="n">
        <v>12</v>
      </c>
      <c r="O12" s="35" t="n">
        <v>101981.67</v>
      </c>
      <c r="P12" s="35" t="n">
        <v>1223780.04</v>
      </c>
      <c r="Q12" s="37" t="n">
        <v>1223780.04</v>
      </c>
      <c r="R12" s="35" t="n">
        <f aca="false">Q12-P12</f>
        <v>0</v>
      </c>
      <c r="S12" s="20" t="s">
        <v>169</v>
      </c>
      <c r="T12" s="20" t="s">
        <v>170</v>
      </c>
      <c r="U12" s="20" t="s">
        <v>171</v>
      </c>
      <c r="V12" s="26" t="s">
        <v>172</v>
      </c>
      <c r="W12" s="27" t="s">
        <v>173</v>
      </c>
      <c r="X12" s="18" t="s">
        <v>174</v>
      </c>
    </row>
    <row r="13" customFormat="false" ht="45.75" hidden="false" customHeight="true" outlineLevel="0" collapsed="false">
      <c r="A13" s="20" t="s">
        <v>157</v>
      </c>
      <c r="B13" s="20" t="s">
        <v>71</v>
      </c>
      <c r="C13" s="20" t="s">
        <v>175</v>
      </c>
      <c r="D13" s="30" t="s">
        <v>176</v>
      </c>
      <c r="E13" s="19" t="s">
        <v>160</v>
      </c>
      <c r="F13" s="19" t="s">
        <v>177</v>
      </c>
      <c r="G13" s="19" t="s">
        <v>178</v>
      </c>
      <c r="H13" s="19" t="s">
        <v>179</v>
      </c>
      <c r="I13" s="21" t="s">
        <v>180</v>
      </c>
      <c r="J13" s="19" t="s">
        <v>165</v>
      </c>
      <c r="K13" s="36" t="s">
        <v>181</v>
      </c>
      <c r="L13" s="36"/>
      <c r="M13" s="36"/>
      <c r="N13" s="18"/>
      <c r="O13" s="35" t="n">
        <v>101981.67</v>
      </c>
      <c r="P13" s="35"/>
      <c r="Q13" s="37"/>
      <c r="R13" s="35"/>
      <c r="S13" s="18"/>
      <c r="T13" s="20" t="s">
        <v>182</v>
      </c>
      <c r="U13" s="20" t="s">
        <v>183</v>
      </c>
      <c r="V13" s="26" t="s">
        <v>184</v>
      </c>
      <c r="W13" s="18"/>
      <c r="X13" s="18"/>
    </row>
    <row r="14" customFormat="false" ht="45.75" hidden="false" customHeight="true" outlineLevel="0" collapsed="false">
      <c r="A14" s="20" t="s">
        <v>157</v>
      </c>
      <c r="B14" s="20" t="s">
        <v>71</v>
      </c>
      <c r="C14" s="20" t="s">
        <v>185</v>
      </c>
      <c r="D14" s="30" t="s">
        <v>186</v>
      </c>
      <c r="E14" s="19" t="s">
        <v>160</v>
      </c>
      <c r="F14" s="19" t="s">
        <v>177</v>
      </c>
      <c r="G14" s="19" t="s">
        <v>178</v>
      </c>
      <c r="H14" s="19" t="s">
        <v>187</v>
      </c>
      <c r="I14" s="21" t="s">
        <v>188</v>
      </c>
      <c r="J14" s="19" t="s">
        <v>165</v>
      </c>
      <c r="K14" s="36" t="s">
        <v>181</v>
      </c>
      <c r="L14" s="36"/>
      <c r="M14" s="36"/>
      <c r="N14" s="18"/>
      <c r="O14" s="35" t="n">
        <v>101981.67</v>
      </c>
      <c r="P14" s="35"/>
      <c r="Q14" s="37"/>
      <c r="R14" s="35"/>
      <c r="S14" s="18"/>
      <c r="T14" s="20" t="s">
        <v>189</v>
      </c>
      <c r="U14" s="20" t="s">
        <v>190</v>
      </c>
      <c r="V14" s="26" t="s">
        <v>191</v>
      </c>
      <c r="W14" s="18"/>
      <c r="X14" s="18"/>
    </row>
    <row r="15" customFormat="false" ht="45.75" hidden="false" customHeight="true" outlineLevel="0" collapsed="false">
      <c r="A15" s="20" t="s">
        <v>157</v>
      </c>
      <c r="B15" s="20" t="s">
        <v>71</v>
      </c>
      <c r="C15" s="20" t="s">
        <v>192</v>
      </c>
      <c r="D15" s="30" t="s">
        <v>193</v>
      </c>
      <c r="E15" s="19" t="s">
        <v>160</v>
      </c>
      <c r="F15" s="19" t="s">
        <v>177</v>
      </c>
      <c r="G15" s="19" t="s">
        <v>194</v>
      </c>
      <c r="H15" s="19" t="s">
        <v>195</v>
      </c>
      <c r="I15" s="21" t="s">
        <v>196</v>
      </c>
      <c r="J15" s="19" t="s">
        <v>165</v>
      </c>
      <c r="K15" s="36" t="s">
        <v>181</v>
      </c>
      <c r="L15" s="36"/>
      <c r="M15" s="36"/>
      <c r="N15" s="18"/>
      <c r="O15" s="35" t="n">
        <v>101981.67</v>
      </c>
      <c r="P15" s="35"/>
      <c r="Q15" s="37"/>
      <c r="R15" s="35"/>
      <c r="S15" s="18"/>
      <c r="T15" s="20" t="s">
        <v>197</v>
      </c>
      <c r="U15" s="20" t="s">
        <v>198</v>
      </c>
      <c r="V15" s="26" t="s">
        <v>199</v>
      </c>
      <c r="W15" s="18"/>
      <c r="X15" s="18"/>
    </row>
    <row r="16" customFormat="false" ht="57" hidden="false" customHeight="true" outlineLevel="0" collapsed="false">
      <c r="A16" s="20" t="s">
        <v>157</v>
      </c>
      <c r="B16" s="20" t="s">
        <v>71</v>
      </c>
      <c r="C16" s="20" t="s">
        <v>200</v>
      </c>
      <c r="D16" s="30" t="s">
        <v>201</v>
      </c>
      <c r="E16" s="19" t="s">
        <v>160</v>
      </c>
      <c r="F16" s="19" t="s">
        <v>177</v>
      </c>
      <c r="G16" s="19" t="s">
        <v>194</v>
      </c>
      <c r="H16" s="19" t="s">
        <v>202</v>
      </c>
      <c r="I16" s="21" t="s">
        <v>203</v>
      </c>
      <c r="J16" s="19" t="s">
        <v>165</v>
      </c>
      <c r="K16" s="36" t="s">
        <v>181</v>
      </c>
      <c r="L16" s="36"/>
      <c r="M16" s="36"/>
      <c r="N16" s="18"/>
      <c r="O16" s="35" t="n">
        <v>101981.67</v>
      </c>
      <c r="P16" s="35"/>
      <c r="Q16" s="37"/>
      <c r="R16" s="35"/>
      <c r="S16" s="18"/>
      <c r="T16" s="20" t="s">
        <v>204</v>
      </c>
      <c r="U16" s="20" t="s">
        <v>205</v>
      </c>
      <c r="V16" s="26" t="s">
        <v>206</v>
      </c>
      <c r="W16" s="18"/>
      <c r="X16" s="18"/>
    </row>
    <row r="17" customFormat="false" ht="57" hidden="false" customHeight="true" outlineLevel="0" collapsed="false">
      <c r="A17" s="20" t="s">
        <v>157</v>
      </c>
      <c r="B17" s="20" t="s">
        <v>71</v>
      </c>
      <c r="C17" s="20" t="s">
        <v>207</v>
      </c>
      <c r="D17" s="30" t="s">
        <v>208</v>
      </c>
      <c r="E17" s="19" t="s">
        <v>160</v>
      </c>
      <c r="F17" s="19" t="s">
        <v>177</v>
      </c>
      <c r="G17" s="19" t="s">
        <v>209</v>
      </c>
      <c r="H17" s="19" t="s">
        <v>210</v>
      </c>
      <c r="I17" s="21" t="s">
        <v>211</v>
      </c>
      <c r="J17" s="19" t="s">
        <v>165</v>
      </c>
      <c r="K17" s="36" t="s">
        <v>181</v>
      </c>
      <c r="L17" s="36"/>
      <c r="M17" s="36"/>
      <c r="N17" s="18"/>
      <c r="O17" s="35" t="n">
        <v>101981.67</v>
      </c>
      <c r="P17" s="35"/>
      <c r="Q17" s="37"/>
      <c r="R17" s="35"/>
      <c r="S17" s="18"/>
      <c r="T17" s="20" t="s">
        <v>212</v>
      </c>
      <c r="U17" s="20" t="s">
        <v>213</v>
      </c>
      <c r="V17" s="26" t="s">
        <v>214</v>
      </c>
      <c r="W17" s="18"/>
      <c r="X17" s="18"/>
    </row>
    <row r="18" customFormat="false" ht="57" hidden="false" customHeight="true" outlineLevel="0" collapsed="false">
      <c r="A18" s="20" t="s">
        <v>157</v>
      </c>
      <c r="B18" s="20" t="s">
        <v>71</v>
      </c>
      <c r="C18" s="20" t="s">
        <v>215</v>
      </c>
      <c r="D18" s="30" t="s">
        <v>216</v>
      </c>
      <c r="E18" s="19" t="s">
        <v>160</v>
      </c>
      <c r="F18" s="19" t="s">
        <v>177</v>
      </c>
      <c r="G18" s="19" t="s">
        <v>209</v>
      </c>
      <c r="H18" s="19" t="s">
        <v>217</v>
      </c>
      <c r="I18" s="21" t="s">
        <v>218</v>
      </c>
      <c r="J18" s="19" t="s">
        <v>165</v>
      </c>
      <c r="K18" s="36" t="s">
        <v>181</v>
      </c>
      <c r="L18" s="36"/>
      <c r="M18" s="36"/>
      <c r="N18" s="18"/>
      <c r="O18" s="35" t="n">
        <v>101981.67</v>
      </c>
      <c r="P18" s="35"/>
      <c r="Q18" s="37"/>
      <c r="R18" s="35"/>
      <c r="S18" s="18"/>
      <c r="T18" s="20" t="s">
        <v>212</v>
      </c>
      <c r="U18" s="20" t="s">
        <v>219</v>
      </c>
      <c r="V18" s="26" t="s">
        <v>220</v>
      </c>
      <c r="W18" s="18"/>
      <c r="X18" s="18"/>
    </row>
    <row r="19" customFormat="false" ht="45.75" hidden="false" customHeight="true" outlineLevel="0" collapsed="false">
      <c r="A19" s="20" t="s">
        <v>157</v>
      </c>
      <c r="B19" s="20" t="s">
        <v>71</v>
      </c>
      <c r="C19" s="20" t="s">
        <v>221</v>
      </c>
      <c r="D19" s="30" t="s">
        <v>222</v>
      </c>
      <c r="E19" s="19" t="s">
        <v>160</v>
      </c>
      <c r="F19" s="19" t="s">
        <v>177</v>
      </c>
      <c r="G19" s="19" t="s">
        <v>178</v>
      </c>
      <c r="H19" s="19" t="s">
        <v>223</v>
      </c>
      <c r="I19" s="21" t="s">
        <v>224</v>
      </c>
      <c r="J19" s="19" t="s">
        <v>165</v>
      </c>
      <c r="K19" s="36" t="s">
        <v>181</v>
      </c>
      <c r="L19" s="36"/>
      <c r="M19" s="36"/>
      <c r="N19" s="18"/>
      <c r="O19" s="35" t="n">
        <v>101981.67</v>
      </c>
      <c r="P19" s="35"/>
      <c r="Q19" s="37"/>
      <c r="R19" s="35"/>
      <c r="S19" s="18"/>
      <c r="T19" s="20" t="s">
        <v>225</v>
      </c>
      <c r="U19" s="20" t="s">
        <v>226</v>
      </c>
      <c r="V19" s="26" t="s">
        <v>227</v>
      </c>
      <c r="W19" s="18"/>
      <c r="X19" s="18"/>
    </row>
    <row r="20" customFormat="false" ht="57" hidden="false" customHeight="true" outlineLevel="0" collapsed="false">
      <c r="A20" s="20" t="s">
        <v>157</v>
      </c>
      <c r="B20" s="20" t="s">
        <v>71</v>
      </c>
      <c r="C20" s="20" t="s">
        <v>228</v>
      </c>
      <c r="D20" s="30" t="s">
        <v>229</v>
      </c>
      <c r="E20" s="19" t="s">
        <v>160</v>
      </c>
      <c r="F20" s="19" t="s">
        <v>177</v>
      </c>
      <c r="G20" s="19" t="s">
        <v>194</v>
      </c>
      <c r="H20" s="19" t="s">
        <v>230</v>
      </c>
      <c r="I20" s="21" t="s">
        <v>231</v>
      </c>
      <c r="J20" s="19" t="s">
        <v>165</v>
      </c>
      <c r="K20" s="36" t="s">
        <v>181</v>
      </c>
      <c r="L20" s="36"/>
      <c r="M20" s="36"/>
      <c r="N20" s="18"/>
      <c r="O20" s="35" t="n">
        <v>101981.67</v>
      </c>
      <c r="P20" s="35"/>
      <c r="Q20" s="37"/>
      <c r="R20" s="35"/>
      <c r="S20" s="18"/>
      <c r="T20" s="20" t="s">
        <v>232</v>
      </c>
      <c r="U20" s="20" t="s">
        <v>233</v>
      </c>
      <c r="V20" s="26" t="s">
        <v>234</v>
      </c>
      <c r="W20" s="18"/>
      <c r="X20" s="18"/>
    </row>
    <row r="21" customFormat="false" ht="57" hidden="false" customHeight="true" outlineLevel="0" collapsed="false">
      <c r="A21" s="20" t="s">
        <v>157</v>
      </c>
      <c r="B21" s="20" t="s">
        <v>71</v>
      </c>
      <c r="C21" s="20" t="s">
        <v>235</v>
      </c>
      <c r="D21" s="30" t="s">
        <v>236</v>
      </c>
      <c r="E21" s="19" t="s">
        <v>160</v>
      </c>
      <c r="F21" s="19" t="s">
        <v>237</v>
      </c>
      <c r="G21" s="19" t="s">
        <v>238</v>
      </c>
      <c r="H21" s="19" t="s">
        <v>239</v>
      </c>
      <c r="I21" s="21" t="s">
        <v>240</v>
      </c>
      <c r="J21" s="19" t="s">
        <v>165</v>
      </c>
      <c r="K21" s="36" t="s">
        <v>181</v>
      </c>
      <c r="L21" s="36"/>
      <c r="M21" s="36"/>
      <c r="N21" s="18"/>
      <c r="O21" s="35" t="n">
        <v>101981.67</v>
      </c>
      <c r="P21" s="35"/>
      <c r="Q21" s="37"/>
      <c r="R21" s="35"/>
      <c r="S21" s="18"/>
      <c r="T21" s="20" t="s">
        <v>241</v>
      </c>
      <c r="U21" s="20" t="s">
        <v>242</v>
      </c>
      <c r="V21" s="26" t="s">
        <v>243</v>
      </c>
      <c r="W21" s="18"/>
      <c r="X21" s="18"/>
    </row>
    <row r="22" customFormat="false" ht="45.75" hidden="false" customHeight="true" outlineLevel="0" collapsed="false">
      <c r="A22" s="20" t="s">
        <v>157</v>
      </c>
      <c r="B22" s="20" t="s">
        <v>71</v>
      </c>
      <c r="C22" s="20" t="s">
        <v>244</v>
      </c>
      <c r="D22" s="30" t="s">
        <v>245</v>
      </c>
      <c r="E22" s="19" t="s">
        <v>160</v>
      </c>
      <c r="F22" s="19" t="s">
        <v>246</v>
      </c>
      <c r="G22" s="19" t="s">
        <v>247</v>
      </c>
      <c r="H22" s="19" t="s">
        <v>248</v>
      </c>
      <c r="I22" s="21" t="s">
        <v>249</v>
      </c>
      <c r="J22" s="19" t="s">
        <v>165</v>
      </c>
      <c r="K22" s="36" t="s">
        <v>181</v>
      </c>
      <c r="L22" s="36"/>
      <c r="M22" s="36"/>
      <c r="N22" s="18"/>
      <c r="O22" s="35" t="n">
        <v>101981.67</v>
      </c>
      <c r="P22" s="35"/>
      <c r="Q22" s="37"/>
      <c r="R22" s="35"/>
      <c r="S22" s="18"/>
      <c r="T22" s="20" t="s">
        <v>250</v>
      </c>
      <c r="U22" s="20" t="s">
        <v>251</v>
      </c>
      <c r="V22" s="26" t="s">
        <v>252</v>
      </c>
      <c r="W22" s="18"/>
      <c r="X22" s="18"/>
    </row>
    <row r="23" customFormat="false" ht="57" hidden="false" customHeight="true" outlineLevel="0" collapsed="false">
      <c r="A23" s="20" t="s">
        <v>157</v>
      </c>
      <c r="B23" s="20" t="s">
        <v>71</v>
      </c>
      <c r="C23" s="20" t="s">
        <v>253</v>
      </c>
      <c r="D23" s="30" t="s">
        <v>254</v>
      </c>
      <c r="E23" s="19" t="s">
        <v>160</v>
      </c>
      <c r="F23" s="19" t="s">
        <v>177</v>
      </c>
      <c r="G23" s="19" t="s">
        <v>255</v>
      </c>
      <c r="H23" s="19" t="s">
        <v>256</v>
      </c>
      <c r="I23" s="21" t="s">
        <v>257</v>
      </c>
      <c r="J23" s="19" t="s">
        <v>165</v>
      </c>
      <c r="K23" s="36" t="s">
        <v>181</v>
      </c>
      <c r="L23" s="36"/>
      <c r="M23" s="36"/>
      <c r="N23" s="18"/>
      <c r="O23" s="35" t="n">
        <v>101981.67</v>
      </c>
      <c r="P23" s="35"/>
      <c r="Q23" s="37"/>
      <c r="R23" s="35"/>
      <c r="S23" s="18"/>
      <c r="T23" s="20" t="s">
        <v>258</v>
      </c>
      <c r="U23" s="20" t="s">
        <v>259</v>
      </c>
      <c r="V23" s="26" t="s">
        <v>260</v>
      </c>
      <c r="W23" s="27" t="s">
        <v>261</v>
      </c>
      <c r="X23" s="18"/>
    </row>
    <row r="24" customFormat="false" ht="57" hidden="false" customHeight="true" outlineLevel="0" collapsed="false">
      <c r="A24" s="20" t="s">
        <v>157</v>
      </c>
      <c r="B24" s="20" t="s">
        <v>71</v>
      </c>
      <c r="C24" s="20" t="s">
        <v>262</v>
      </c>
      <c r="D24" s="30" t="s">
        <v>263</v>
      </c>
      <c r="E24" s="19" t="s">
        <v>160</v>
      </c>
      <c r="F24" s="19" t="s">
        <v>177</v>
      </c>
      <c r="G24" s="19" t="s">
        <v>255</v>
      </c>
      <c r="H24" s="19" t="s">
        <v>264</v>
      </c>
      <c r="I24" s="21" t="s">
        <v>265</v>
      </c>
      <c r="J24" s="19" t="s">
        <v>165</v>
      </c>
      <c r="K24" s="36" t="s">
        <v>181</v>
      </c>
      <c r="L24" s="36"/>
      <c r="M24" s="36"/>
      <c r="N24" s="18"/>
      <c r="O24" s="35" t="n">
        <v>101981.67</v>
      </c>
      <c r="P24" s="35"/>
      <c r="Q24" s="37"/>
      <c r="R24" s="35"/>
      <c r="S24" s="18"/>
      <c r="T24" s="20" t="s">
        <v>266</v>
      </c>
      <c r="U24" s="20" t="s">
        <v>267</v>
      </c>
      <c r="V24" s="26" t="s">
        <v>268</v>
      </c>
      <c r="W24" s="27" t="s">
        <v>269</v>
      </c>
      <c r="X24" s="18"/>
    </row>
    <row r="25" customFormat="false" ht="45.75" hidden="false" customHeight="true" outlineLevel="0" collapsed="false">
      <c r="A25" s="17" t="s">
        <v>270</v>
      </c>
      <c r="B25" s="17" t="s">
        <v>53</v>
      </c>
      <c r="C25" s="17" t="s">
        <v>271</v>
      </c>
      <c r="D25" s="18" t="s">
        <v>272</v>
      </c>
      <c r="E25" s="19" t="s">
        <v>160</v>
      </c>
      <c r="F25" s="20" t="s">
        <v>273</v>
      </c>
      <c r="G25" s="19" t="s">
        <v>274</v>
      </c>
      <c r="H25" s="19" t="s">
        <v>275</v>
      </c>
      <c r="I25" s="21" t="s">
        <v>276</v>
      </c>
      <c r="J25" s="19" t="s">
        <v>165</v>
      </c>
      <c r="K25" s="36" t="s">
        <v>277</v>
      </c>
      <c r="L25" s="36" t="s">
        <v>278</v>
      </c>
      <c r="M25" s="36" t="s">
        <v>168</v>
      </c>
      <c r="N25" s="18" t="n">
        <v>1</v>
      </c>
      <c r="O25" s="35" t="n">
        <v>71978.04</v>
      </c>
      <c r="P25" s="35" t="n">
        <v>71978.04</v>
      </c>
      <c r="Q25" s="37" t="n">
        <v>71978.04</v>
      </c>
      <c r="R25" s="35" t="n">
        <f aca="false">Q25-P25</f>
        <v>0</v>
      </c>
      <c r="S25" s="20" t="s">
        <v>279</v>
      </c>
      <c r="T25" s="20" t="s">
        <v>280</v>
      </c>
      <c r="U25" s="20" t="s">
        <v>171</v>
      </c>
      <c r="V25" s="26" t="s">
        <v>281</v>
      </c>
      <c r="W25" s="27" t="s">
        <v>282</v>
      </c>
      <c r="X25" s="18" t="s">
        <v>283</v>
      </c>
    </row>
    <row r="26" customFormat="false" ht="57" hidden="false" customHeight="true" outlineLevel="0" collapsed="false">
      <c r="A26" s="20" t="s">
        <v>270</v>
      </c>
      <c r="B26" s="20" t="s">
        <v>71</v>
      </c>
      <c r="C26" s="20" t="s">
        <v>284</v>
      </c>
      <c r="D26" s="30" t="s">
        <v>285</v>
      </c>
      <c r="E26" s="19" t="s">
        <v>160</v>
      </c>
      <c r="F26" s="19" t="s">
        <v>286</v>
      </c>
      <c r="G26" s="19" t="s">
        <v>287</v>
      </c>
      <c r="H26" s="19" t="s">
        <v>288</v>
      </c>
      <c r="I26" s="21" t="s">
        <v>289</v>
      </c>
      <c r="J26" s="19" t="s">
        <v>165</v>
      </c>
      <c r="K26" s="36" t="s">
        <v>181</v>
      </c>
      <c r="L26" s="36"/>
      <c r="M26" s="36"/>
      <c r="N26" s="18"/>
      <c r="O26" s="35" t="n">
        <v>71978.04</v>
      </c>
      <c r="P26" s="35"/>
      <c r="Q26" s="37"/>
      <c r="R26" s="35"/>
      <c r="S26" s="18"/>
      <c r="T26" s="20" t="s">
        <v>290</v>
      </c>
      <c r="U26" s="20" t="s">
        <v>291</v>
      </c>
      <c r="V26" s="26" t="s">
        <v>292</v>
      </c>
      <c r="W26" s="27" t="s">
        <v>293</v>
      </c>
      <c r="X26" s="18"/>
    </row>
    <row r="27" customFormat="false" ht="45.75" hidden="false" customHeight="true" outlineLevel="0" collapsed="false">
      <c r="A27" s="17" t="s">
        <v>294</v>
      </c>
      <c r="B27" s="17" t="s">
        <v>53</v>
      </c>
      <c r="C27" s="17" t="s">
        <v>295</v>
      </c>
      <c r="D27" s="18" t="s">
        <v>296</v>
      </c>
      <c r="E27" s="19" t="s">
        <v>160</v>
      </c>
      <c r="F27" s="20" t="s">
        <v>161</v>
      </c>
      <c r="G27" s="19" t="s">
        <v>297</v>
      </c>
      <c r="H27" s="19" t="s">
        <v>298</v>
      </c>
      <c r="I27" s="21" t="s">
        <v>299</v>
      </c>
      <c r="J27" s="19" t="s">
        <v>165</v>
      </c>
      <c r="K27" s="36" t="s">
        <v>300</v>
      </c>
      <c r="L27" s="36" t="s">
        <v>301</v>
      </c>
      <c r="M27" s="36" t="s">
        <v>168</v>
      </c>
      <c r="N27" s="18" t="n">
        <v>2</v>
      </c>
      <c r="O27" s="35" t="n">
        <v>87358.35</v>
      </c>
      <c r="P27" s="35" t="n">
        <v>174716.7</v>
      </c>
      <c r="Q27" s="37" t="n">
        <v>174716.7</v>
      </c>
      <c r="R27" s="35" t="n">
        <f aca="false">Q27-P27</f>
        <v>0</v>
      </c>
      <c r="S27" s="20" t="s">
        <v>302</v>
      </c>
      <c r="T27" s="20" t="s">
        <v>303</v>
      </c>
      <c r="U27" s="20" t="s">
        <v>171</v>
      </c>
      <c r="V27" s="26" t="s">
        <v>304</v>
      </c>
      <c r="W27" s="27" t="s">
        <v>305</v>
      </c>
      <c r="X27" s="18" t="s">
        <v>306</v>
      </c>
    </row>
    <row r="28" customFormat="false" ht="57" hidden="false" customHeight="true" outlineLevel="0" collapsed="false">
      <c r="A28" s="20" t="s">
        <v>294</v>
      </c>
      <c r="B28" s="20" t="s">
        <v>71</v>
      </c>
      <c r="C28" s="20" t="s">
        <v>307</v>
      </c>
      <c r="D28" s="30" t="s">
        <v>308</v>
      </c>
      <c r="E28" s="19" t="s">
        <v>160</v>
      </c>
      <c r="F28" s="19" t="s">
        <v>177</v>
      </c>
      <c r="G28" s="19" t="s">
        <v>309</v>
      </c>
      <c r="H28" s="19" t="s">
        <v>310</v>
      </c>
      <c r="I28" s="21" t="s">
        <v>311</v>
      </c>
      <c r="J28" s="19" t="s">
        <v>165</v>
      </c>
      <c r="K28" s="36" t="s">
        <v>181</v>
      </c>
      <c r="L28" s="36"/>
      <c r="M28" s="36"/>
      <c r="N28" s="18"/>
      <c r="O28" s="35" t="n">
        <v>87358.35</v>
      </c>
      <c r="P28" s="35"/>
      <c r="Q28" s="37"/>
      <c r="R28" s="35"/>
      <c r="S28" s="18"/>
      <c r="T28" s="20" t="s">
        <v>312</v>
      </c>
      <c r="U28" s="20" t="s">
        <v>313</v>
      </c>
      <c r="V28" s="26" t="s">
        <v>314</v>
      </c>
      <c r="W28" s="27" t="s">
        <v>315</v>
      </c>
      <c r="X28" s="18"/>
    </row>
    <row r="29" customFormat="false" ht="45.75" hidden="false" customHeight="true" outlineLevel="0" collapsed="false">
      <c r="A29" s="20" t="s">
        <v>294</v>
      </c>
      <c r="B29" s="20" t="s">
        <v>71</v>
      </c>
      <c r="C29" s="20" t="s">
        <v>316</v>
      </c>
      <c r="D29" s="30" t="s">
        <v>317</v>
      </c>
      <c r="E29" s="19" t="s">
        <v>160</v>
      </c>
      <c r="F29" s="19" t="s">
        <v>177</v>
      </c>
      <c r="G29" s="19" t="s">
        <v>309</v>
      </c>
      <c r="H29" s="19" t="s">
        <v>318</v>
      </c>
      <c r="I29" s="21" t="s">
        <v>319</v>
      </c>
      <c r="J29" s="19" t="s">
        <v>165</v>
      </c>
      <c r="K29" s="36" t="s">
        <v>181</v>
      </c>
      <c r="L29" s="36"/>
      <c r="M29" s="36"/>
      <c r="N29" s="18"/>
      <c r="O29" s="35" t="n">
        <v>87358.35</v>
      </c>
      <c r="P29" s="35"/>
      <c r="Q29" s="37"/>
      <c r="R29" s="35"/>
      <c r="S29" s="18"/>
      <c r="T29" s="20" t="s">
        <v>320</v>
      </c>
      <c r="U29" s="20" t="s">
        <v>321</v>
      </c>
      <c r="V29" s="26" t="s">
        <v>322</v>
      </c>
      <c r="W29" s="27" t="s">
        <v>323</v>
      </c>
      <c r="X29" s="18"/>
    </row>
    <row r="30" customFormat="false" ht="45.75" hidden="false" customHeight="true" outlineLevel="0" collapsed="false">
      <c r="A30" s="17" t="s">
        <v>324</v>
      </c>
      <c r="B30" s="17" t="s">
        <v>53</v>
      </c>
      <c r="C30" s="17" t="s">
        <v>325</v>
      </c>
      <c r="D30" s="18" t="s">
        <v>326</v>
      </c>
      <c r="E30" s="19" t="s">
        <v>160</v>
      </c>
      <c r="F30" s="20" t="s">
        <v>327</v>
      </c>
      <c r="G30" s="19" t="s">
        <v>328</v>
      </c>
      <c r="H30" s="19" t="s">
        <v>329</v>
      </c>
      <c r="I30" s="21" t="s">
        <v>299</v>
      </c>
      <c r="J30" s="19" t="s">
        <v>165</v>
      </c>
      <c r="K30" s="36" t="s">
        <v>300</v>
      </c>
      <c r="L30" s="36" t="s">
        <v>301</v>
      </c>
      <c r="M30" s="36" t="s">
        <v>168</v>
      </c>
      <c r="N30" s="18" t="n">
        <v>2</v>
      </c>
      <c r="O30" s="35" t="n">
        <v>80938.11</v>
      </c>
      <c r="P30" s="35" t="n">
        <v>161876.22</v>
      </c>
      <c r="Q30" s="37" t="n">
        <v>161876.22</v>
      </c>
      <c r="R30" s="35" t="n">
        <f aca="false">Q30-P30</f>
        <v>0</v>
      </c>
      <c r="S30" s="20" t="s">
        <v>302</v>
      </c>
      <c r="T30" s="20" t="s">
        <v>330</v>
      </c>
      <c r="U30" s="20" t="s">
        <v>171</v>
      </c>
      <c r="V30" s="26" t="s">
        <v>331</v>
      </c>
      <c r="W30" s="27" t="s">
        <v>332</v>
      </c>
      <c r="X30" s="18" t="s">
        <v>333</v>
      </c>
    </row>
    <row r="31" customFormat="false" ht="60" hidden="false" customHeight="true" outlineLevel="0" collapsed="false">
      <c r="A31" s="20" t="s">
        <v>324</v>
      </c>
      <c r="B31" s="20" t="s">
        <v>71</v>
      </c>
      <c r="C31" s="20" t="s">
        <v>334</v>
      </c>
      <c r="D31" s="30" t="s">
        <v>335</v>
      </c>
      <c r="E31" s="19" t="s">
        <v>160</v>
      </c>
      <c r="F31" s="19" t="s">
        <v>336</v>
      </c>
      <c r="G31" s="19" t="s">
        <v>337</v>
      </c>
      <c r="H31" s="19" t="s">
        <v>338</v>
      </c>
      <c r="I31" s="21" t="s">
        <v>339</v>
      </c>
      <c r="J31" s="19" t="s">
        <v>165</v>
      </c>
      <c r="K31" s="36" t="s">
        <v>181</v>
      </c>
      <c r="L31" s="36"/>
      <c r="M31" s="36"/>
      <c r="N31" s="18"/>
      <c r="O31" s="35" t="n">
        <v>80938.11</v>
      </c>
      <c r="P31" s="35"/>
      <c r="Q31" s="37"/>
      <c r="R31" s="35"/>
      <c r="S31" s="18"/>
      <c r="T31" s="20" t="s">
        <v>340</v>
      </c>
      <c r="U31" s="20" t="s">
        <v>341</v>
      </c>
      <c r="V31" s="26" t="s">
        <v>342</v>
      </c>
      <c r="W31" s="18"/>
      <c r="X31" s="18"/>
    </row>
    <row r="32" customFormat="false" ht="60" hidden="false" customHeight="true" outlineLevel="0" collapsed="false">
      <c r="A32" s="20" t="s">
        <v>324</v>
      </c>
      <c r="B32" s="20" t="s">
        <v>71</v>
      </c>
      <c r="C32" s="20" t="s">
        <v>343</v>
      </c>
      <c r="D32" s="30" t="s">
        <v>344</v>
      </c>
      <c r="E32" s="19" t="s">
        <v>160</v>
      </c>
      <c r="F32" s="19" t="s">
        <v>345</v>
      </c>
      <c r="G32" s="19" t="s">
        <v>337</v>
      </c>
      <c r="H32" s="19" t="s">
        <v>346</v>
      </c>
      <c r="I32" s="21" t="s">
        <v>347</v>
      </c>
      <c r="J32" s="19" t="s">
        <v>165</v>
      </c>
      <c r="K32" s="36" t="s">
        <v>181</v>
      </c>
      <c r="L32" s="36"/>
      <c r="M32" s="36"/>
      <c r="N32" s="18"/>
      <c r="O32" s="35" t="n">
        <v>80938.11</v>
      </c>
      <c r="P32" s="35"/>
      <c r="Q32" s="37"/>
      <c r="R32" s="35"/>
      <c r="S32" s="18"/>
      <c r="T32" s="20" t="s">
        <v>340</v>
      </c>
      <c r="U32" s="20" t="s">
        <v>348</v>
      </c>
      <c r="V32" s="26" t="s">
        <v>349</v>
      </c>
      <c r="W32" s="18"/>
      <c r="X32" s="18"/>
    </row>
    <row r="33" customFormat="false" ht="45.75" hidden="false" customHeight="true" outlineLevel="0" collapsed="false">
      <c r="A33" s="17" t="s">
        <v>350</v>
      </c>
      <c r="B33" s="17" t="s">
        <v>53</v>
      </c>
      <c r="C33" s="17" t="s">
        <v>351</v>
      </c>
      <c r="D33" s="18" t="s">
        <v>352</v>
      </c>
      <c r="E33" s="19" t="s">
        <v>160</v>
      </c>
      <c r="F33" s="20" t="s">
        <v>327</v>
      </c>
      <c r="G33" s="19" t="s">
        <v>353</v>
      </c>
      <c r="H33" s="19" t="s">
        <v>354</v>
      </c>
      <c r="I33" s="21" t="s">
        <v>355</v>
      </c>
      <c r="J33" s="19" t="s">
        <v>165</v>
      </c>
      <c r="K33" s="36" t="s">
        <v>300</v>
      </c>
      <c r="L33" s="36" t="s">
        <v>301</v>
      </c>
      <c r="M33" s="36" t="s">
        <v>168</v>
      </c>
      <c r="N33" s="18" t="n">
        <v>3</v>
      </c>
      <c r="O33" s="35" t="n">
        <v>102853.99</v>
      </c>
      <c r="P33" s="35" t="n">
        <v>308561.97</v>
      </c>
      <c r="Q33" s="37" t="n">
        <v>308561.97</v>
      </c>
      <c r="R33" s="35" t="n">
        <f aca="false">Q33-P33</f>
        <v>0</v>
      </c>
      <c r="S33" s="20" t="s">
        <v>302</v>
      </c>
      <c r="T33" s="20" t="s">
        <v>356</v>
      </c>
      <c r="U33" s="20" t="s">
        <v>171</v>
      </c>
      <c r="V33" s="26" t="s">
        <v>357</v>
      </c>
      <c r="W33" s="27" t="s">
        <v>358</v>
      </c>
      <c r="X33" s="18" t="s">
        <v>359</v>
      </c>
    </row>
    <row r="34" customFormat="false" ht="60.75" hidden="false" customHeight="true" outlineLevel="0" collapsed="false">
      <c r="A34" s="20" t="s">
        <v>350</v>
      </c>
      <c r="B34" s="20" t="s">
        <v>71</v>
      </c>
      <c r="C34" s="20" t="s">
        <v>360</v>
      </c>
      <c r="D34" s="30" t="s">
        <v>361</v>
      </c>
      <c r="E34" s="19" t="s">
        <v>160</v>
      </c>
      <c r="F34" s="19" t="s">
        <v>345</v>
      </c>
      <c r="G34" s="19" t="s">
        <v>362</v>
      </c>
      <c r="H34" s="19" t="s">
        <v>363</v>
      </c>
      <c r="I34" s="21" t="s">
        <v>364</v>
      </c>
      <c r="J34" s="19" t="s">
        <v>165</v>
      </c>
      <c r="K34" s="36" t="s">
        <v>181</v>
      </c>
      <c r="L34" s="36"/>
      <c r="M34" s="36"/>
      <c r="N34" s="18"/>
      <c r="O34" s="35" t="n">
        <v>102853.99</v>
      </c>
      <c r="P34" s="35"/>
      <c r="Q34" s="37"/>
      <c r="R34" s="35"/>
      <c r="S34" s="18"/>
      <c r="T34" s="20" t="s">
        <v>365</v>
      </c>
      <c r="U34" s="20" t="s">
        <v>366</v>
      </c>
      <c r="V34" s="26" t="s">
        <v>367</v>
      </c>
      <c r="W34" s="18"/>
      <c r="X34" s="18"/>
    </row>
    <row r="35" customFormat="false" ht="60.75" hidden="false" customHeight="true" outlineLevel="0" collapsed="false">
      <c r="A35" s="20" t="s">
        <v>350</v>
      </c>
      <c r="B35" s="20" t="s">
        <v>71</v>
      </c>
      <c r="C35" s="20" t="s">
        <v>368</v>
      </c>
      <c r="D35" s="30" t="s">
        <v>369</v>
      </c>
      <c r="E35" s="19" t="s">
        <v>160</v>
      </c>
      <c r="F35" s="19" t="s">
        <v>345</v>
      </c>
      <c r="G35" s="19" t="s">
        <v>370</v>
      </c>
      <c r="H35" s="19" t="s">
        <v>371</v>
      </c>
      <c r="I35" s="21" t="s">
        <v>372</v>
      </c>
      <c r="J35" s="19" t="s">
        <v>165</v>
      </c>
      <c r="K35" s="36" t="s">
        <v>181</v>
      </c>
      <c r="L35" s="36"/>
      <c r="M35" s="36"/>
      <c r="N35" s="18"/>
      <c r="O35" s="35" t="n">
        <v>102853.99</v>
      </c>
      <c r="P35" s="35"/>
      <c r="Q35" s="37"/>
      <c r="R35" s="35"/>
      <c r="S35" s="18"/>
      <c r="T35" s="20" t="s">
        <v>365</v>
      </c>
      <c r="U35" s="20" t="s">
        <v>373</v>
      </c>
      <c r="V35" s="26" t="s">
        <v>374</v>
      </c>
      <c r="W35" s="27" t="s">
        <v>375</v>
      </c>
      <c r="X35" s="18"/>
    </row>
    <row r="36" customFormat="false" ht="60.75" hidden="false" customHeight="true" outlineLevel="0" collapsed="false">
      <c r="A36" s="20" t="s">
        <v>350</v>
      </c>
      <c r="B36" s="20" t="s">
        <v>71</v>
      </c>
      <c r="C36" s="20" t="s">
        <v>376</v>
      </c>
      <c r="D36" s="30" t="s">
        <v>377</v>
      </c>
      <c r="E36" s="19" t="s">
        <v>160</v>
      </c>
      <c r="F36" s="19" t="s">
        <v>345</v>
      </c>
      <c r="G36" s="19" t="s">
        <v>378</v>
      </c>
      <c r="H36" s="19" t="s">
        <v>379</v>
      </c>
      <c r="I36" s="21" t="s">
        <v>380</v>
      </c>
      <c r="J36" s="19" t="s">
        <v>165</v>
      </c>
      <c r="K36" s="36" t="s">
        <v>181</v>
      </c>
      <c r="L36" s="36"/>
      <c r="M36" s="36"/>
      <c r="N36" s="18"/>
      <c r="O36" s="35" t="n">
        <v>102853.99</v>
      </c>
      <c r="P36" s="35"/>
      <c r="Q36" s="37"/>
      <c r="R36" s="35"/>
      <c r="S36" s="18"/>
      <c r="T36" s="20" t="s">
        <v>381</v>
      </c>
      <c r="U36" s="20" t="s">
        <v>382</v>
      </c>
      <c r="V36" s="26" t="s">
        <v>383</v>
      </c>
      <c r="W36" s="18"/>
      <c r="X36" s="18"/>
    </row>
    <row r="37" customFormat="false" ht="45.75" hidden="false" customHeight="true" outlineLevel="0" collapsed="false">
      <c r="A37" s="17" t="s">
        <v>384</v>
      </c>
      <c r="B37" s="17" t="s">
        <v>53</v>
      </c>
      <c r="C37" s="17" t="s">
        <v>385</v>
      </c>
      <c r="D37" s="18" t="s">
        <v>386</v>
      </c>
      <c r="E37" s="19" t="s">
        <v>160</v>
      </c>
      <c r="F37" s="20" t="s">
        <v>327</v>
      </c>
      <c r="G37" s="19" t="s">
        <v>387</v>
      </c>
      <c r="H37" s="19" t="s">
        <v>388</v>
      </c>
      <c r="I37" s="21" t="s">
        <v>276</v>
      </c>
      <c r="J37" s="19" t="s">
        <v>165</v>
      </c>
      <c r="K37" s="36" t="s">
        <v>300</v>
      </c>
      <c r="L37" s="36" t="s">
        <v>301</v>
      </c>
      <c r="M37" s="36" t="s">
        <v>168</v>
      </c>
      <c r="N37" s="18" t="n">
        <v>1</v>
      </c>
      <c r="O37" s="35" t="n">
        <v>102010.24</v>
      </c>
      <c r="P37" s="35" t="n">
        <v>102010.24</v>
      </c>
      <c r="Q37" s="37" t="n">
        <v>102010.24</v>
      </c>
      <c r="R37" s="35" t="n">
        <f aca="false">Q37-P37</f>
        <v>0</v>
      </c>
      <c r="S37" s="20" t="s">
        <v>302</v>
      </c>
      <c r="T37" s="20" t="s">
        <v>389</v>
      </c>
      <c r="U37" s="20" t="s">
        <v>171</v>
      </c>
      <c r="V37" s="26" t="s">
        <v>390</v>
      </c>
      <c r="W37" s="27" t="s">
        <v>391</v>
      </c>
      <c r="X37" s="18" t="s">
        <v>392</v>
      </c>
    </row>
    <row r="38" customFormat="false" ht="60" hidden="false" customHeight="true" outlineLevel="0" collapsed="false">
      <c r="A38" s="20" t="s">
        <v>384</v>
      </c>
      <c r="B38" s="20" t="s">
        <v>71</v>
      </c>
      <c r="C38" s="20" t="s">
        <v>393</v>
      </c>
      <c r="D38" s="30" t="s">
        <v>394</v>
      </c>
      <c r="E38" s="19" t="s">
        <v>160</v>
      </c>
      <c r="F38" s="19" t="s">
        <v>345</v>
      </c>
      <c r="G38" s="19" t="s">
        <v>378</v>
      </c>
      <c r="H38" s="19" t="s">
        <v>388</v>
      </c>
      <c r="I38" s="21" t="s">
        <v>395</v>
      </c>
      <c r="J38" s="19" t="s">
        <v>165</v>
      </c>
      <c r="K38" s="36" t="s">
        <v>181</v>
      </c>
      <c r="L38" s="36"/>
      <c r="M38" s="36"/>
      <c r="N38" s="18"/>
      <c r="O38" s="35" t="n">
        <v>102010.24</v>
      </c>
      <c r="P38" s="35"/>
      <c r="Q38" s="37"/>
      <c r="R38" s="35"/>
      <c r="S38" s="18"/>
      <c r="T38" s="20" t="s">
        <v>381</v>
      </c>
      <c r="U38" s="20" t="s">
        <v>396</v>
      </c>
      <c r="V38" s="26" t="s">
        <v>397</v>
      </c>
      <c r="W38" s="27" t="s">
        <v>398</v>
      </c>
      <c r="X38" s="18"/>
    </row>
    <row r="39" customFormat="false" ht="57" hidden="false" customHeight="true" outlineLevel="0" collapsed="false">
      <c r="A39" s="17" t="s">
        <v>399</v>
      </c>
      <c r="B39" s="17" t="s">
        <v>53</v>
      </c>
      <c r="C39" s="17" t="s">
        <v>400</v>
      </c>
      <c r="D39" s="18" t="s">
        <v>401</v>
      </c>
      <c r="E39" s="19" t="s">
        <v>160</v>
      </c>
      <c r="F39" s="20" t="s">
        <v>402</v>
      </c>
      <c r="G39" s="19" t="s">
        <v>403</v>
      </c>
      <c r="H39" s="19" t="s">
        <v>404</v>
      </c>
      <c r="I39" s="21" t="s">
        <v>138</v>
      </c>
      <c r="J39" s="19" t="s">
        <v>165</v>
      </c>
      <c r="K39" s="36" t="s">
        <v>300</v>
      </c>
      <c r="L39" s="36" t="s">
        <v>301</v>
      </c>
      <c r="M39" s="36" t="s">
        <v>168</v>
      </c>
      <c r="N39" s="18" t="n">
        <v>2</v>
      </c>
      <c r="O39" s="35" t="n">
        <v>94086.2</v>
      </c>
      <c r="P39" s="35" t="n">
        <v>188172.4</v>
      </c>
      <c r="Q39" s="37" t="n">
        <v>188172.4</v>
      </c>
      <c r="R39" s="35" t="n">
        <f aca="false">Q39-P39</f>
        <v>0</v>
      </c>
      <c r="S39" s="20" t="s">
        <v>302</v>
      </c>
      <c r="T39" s="20" t="s">
        <v>405</v>
      </c>
      <c r="U39" s="20" t="s">
        <v>171</v>
      </c>
      <c r="V39" s="26" t="s">
        <v>406</v>
      </c>
      <c r="W39" s="27" t="s">
        <v>407</v>
      </c>
      <c r="X39" s="18" t="s">
        <v>408</v>
      </c>
    </row>
    <row r="40" customFormat="false" ht="34.5" hidden="false" customHeight="true" outlineLevel="0" collapsed="false">
      <c r="A40" s="20" t="s">
        <v>399</v>
      </c>
      <c r="B40" s="20" t="s">
        <v>71</v>
      </c>
      <c r="C40" s="20" t="s">
        <v>409</v>
      </c>
      <c r="D40" s="30" t="s">
        <v>410</v>
      </c>
      <c r="E40" s="19" t="s">
        <v>160</v>
      </c>
      <c r="F40" s="19" t="s">
        <v>411</v>
      </c>
      <c r="G40" s="19" t="s">
        <v>412</v>
      </c>
      <c r="H40" s="19" t="s">
        <v>413</v>
      </c>
      <c r="I40" s="21" t="s">
        <v>138</v>
      </c>
      <c r="J40" s="19" t="s">
        <v>165</v>
      </c>
      <c r="K40" s="36" t="s">
        <v>181</v>
      </c>
      <c r="L40" s="36"/>
      <c r="M40" s="36"/>
      <c r="N40" s="18"/>
      <c r="O40" s="35" t="n">
        <v>94086.2</v>
      </c>
      <c r="P40" s="35"/>
      <c r="Q40" s="37"/>
      <c r="R40" s="35"/>
      <c r="S40" s="18"/>
      <c r="T40" s="20" t="s">
        <v>414</v>
      </c>
      <c r="U40" s="20" t="s">
        <v>415</v>
      </c>
      <c r="V40" s="26" t="s">
        <v>416</v>
      </c>
      <c r="W40" s="18"/>
      <c r="X40" s="18"/>
    </row>
    <row r="41" customFormat="false" ht="34.5" hidden="false" customHeight="true" outlineLevel="0" collapsed="false">
      <c r="A41" s="20" t="s">
        <v>399</v>
      </c>
      <c r="B41" s="20" t="s">
        <v>71</v>
      </c>
      <c r="C41" s="20" t="s">
        <v>417</v>
      </c>
      <c r="D41" s="30" t="s">
        <v>418</v>
      </c>
      <c r="E41" s="19" t="s">
        <v>160</v>
      </c>
      <c r="F41" s="19" t="s">
        <v>411</v>
      </c>
      <c r="G41" s="19" t="s">
        <v>412</v>
      </c>
      <c r="H41" s="19" t="s">
        <v>419</v>
      </c>
      <c r="I41" s="21" t="s">
        <v>138</v>
      </c>
      <c r="J41" s="19" t="s">
        <v>165</v>
      </c>
      <c r="K41" s="36" t="s">
        <v>181</v>
      </c>
      <c r="L41" s="36"/>
      <c r="M41" s="36"/>
      <c r="N41" s="18"/>
      <c r="O41" s="35" t="n">
        <v>94086.2</v>
      </c>
      <c r="P41" s="35"/>
      <c r="Q41" s="37"/>
      <c r="R41" s="35"/>
      <c r="S41" s="18"/>
      <c r="T41" s="20" t="s">
        <v>414</v>
      </c>
      <c r="U41" s="20" t="s">
        <v>420</v>
      </c>
      <c r="V41" s="26" t="s">
        <v>416</v>
      </c>
      <c r="W41" s="18"/>
      <c r="X41" s="18"/>
    </row>
    <row r="42" customFormat="false" ht="45.75" hidden="false" customHeight="true" outlineLevel="0" collapsed="false">
      <c r="A42" s="17" t="s">
        <v>421</v>
      </c>
      <c r="B42" s="17" t="s">
        <v>53</v>
      </c>
      <c r="C42" s="17" t="s">
        <v>400</v>
      </c>
      <c r="D42" s="18" t="s">
        <v>422</v>
      </c>
      <c r="E42" s="19" t="s">
        <v>160</v>
      </c>
      <c r="F42" s="20" t="s">
        <v>402</v>
      </c>
      <c r="G42" s="19" t="s">
        <v>423</v>
      </c>
      <c r="H42" s="19" t="s">
        <v>424</v>
      </c>
      <c r="I42" s="21" t="s">
        <v>138</v>
      </c>
      <c r="J42" s="19" t="s">
        <v>165</v>
      </c>
      <c r="K42" s="36" t="s">
        <v>425</v>
      </c>
      <c r="L42" s="36" t="s">
        <v>426</v>
      </c>
      <c r="M42" s="36" t="s">
        <v>106</v>
      </c>
      <c r="N42" s="18" t="n">
        <v>2</v>
      </c>
      <c r="O42" s="35" t="n">
        <v>81243.34</v>
      </c>
      <c r="P42" s="35" t="n">
        <v>162486.68</v>
      </c>
      <c r="Q42" s="37" t="n">
        <v>233546.68</v>
      </c>
      <c r="R42" s="35" t="n">
        <f aca="false">Q42-P42</f>
        <v>71060</v>
      </c>
      <c r="S42" s="20" t="s">
        <v>427</v>
      </c>
      <c r="T42" s="20" t="s">
        <v>428</v>
      </c>
      <c r="U42" s="20" t="s">
        <v>171</v>
      </c>
      <c r="V42" s="26" t="s">
        <v>429</v>
      </c>
      <c r="W42" s="27" t="s">
        <v>430</v>
      </c>
      <c r="X42" s="18" t="s">
        <v>431</v>
      </c>
    </row>
    <row r="43" customFormat="false" ht="38.25" hidden="false" customHeight="true" outlineLevel="0" collapsed="false">
      <c r="A43" s="20" t="s">
        <v>421</v>
      </c>
      <c r="B43" s="20" t="s">
        <v>71</v>
      </c>
      <c r="C43" s="20" t="s">
        <v>432</v>
      </c>
      <c r="D43" s="30" t="s">
        <v>433</v>
      </c>
      <c r="E43" s="19" t="s">
        <v>160</v>
      </c>
      <c r="F43" s="19" t="s">
        <v>411</v>
      </c>
      <c r="G43" s="19" t="s">
        <v>434</v>
      </c>
      <c r="H43" s="19" t="s">
        <v>435</v>
      </c>
      <c r="I43" s="21" t="s">
        <v>138</v>
      </c>
      <c r="J43" s="19" t="s">
        <v>165</v>
      </c>
      <c r="K43" s="36" t="s">
        <v>181</v>
      </c>
      <c r="L43" s="36"/>
      <c r="M43" s="36"/>
      <c r="N43" s="18"/>
      <c r="O43" s="35" t="n">
        <v>81243.34</v>
      </c>
      <c r="P43" s="35"/>
      <c r="Q43" s="37"/>
      <c r="R43" s="35"/>
      <c r="S43" s="18"/>
      <c r="T43" s="20" t="s">
        <v>414</v>
      </c>
      <c r="U43" s="20" t="s">
        <v>436</v>
      </c>
      <c r="V43" s="26" t="s">
        <v>437</v>
      </c>
      <c r="W43" s="18"/>
      <c r="X43" s="18"/>
    </row>
    <row r="44" customFormat="false" ht="38.25" hidden="false" customHeight="true" outlineLevel="0" collapsed="false">
      <c r="A44" s="20" t="s">
        <v>421</v>
      </c>
      <c r="B44" s="20" t="s">
        <v>71</v>
      </c>
      <c r="C44" s="20" t="s">
        <v>438</v>
      </c>
      <c r="D44" s="30" t="s">
        <v>439</v>
      </c>
      <c r="E44" s="19" t="s">
        <v>160</v>
      </c>
      <c r="F44" s="19" t="s">
        <v>411</v>
      </c>
      <c r="G44" s="19" t="s">
        <v>434</v>
      </c>
      <c r="H44" s="19" t="s">
        <v>440</v>
      </c>
      <c r="I44" s="21" t="s">
        <v>138</v>
      </c>
      <c r="J44" s="19" t="s">
        <v>165</v>
      </c>
      <c r="K44" s="36" t="s">
        <v>181</v>
      </c>
      <c r="L44" s="36"/>
      <c r="M44" s="36"/>
      <c r="N44" s="18"/>
      <c r="O44" s="35" t="n">
        <v>81243.34</v>
      </c>
      <c r="P44" s="35"/>
      <c r="Q44" s="37"/>
      <c r="R44" s="35"/>
      <c r="S44" s="18"/>
      <c r="T44" s="20" t="s">
        <v>414</v>
      </c>
      <c r="U44" s="20" t="s">
        <v>441</v>
      </c>
      <c r="V44" s="26" t="s">
        <v>437</v>
      </c>
      <c r="W44" s="18"/>
      <c r="X44" s="18"/>
    </row>
    <row r="45" customFormat="false" ht="77.25" hidden="false" customHeight="true" outlineLevel="0" collapsed="false">
      <c r="A45" s="17" t="s">
        <v>442</v>
      </c>
      <c r="B45" s="17" t="s">
        <v>53</v>
      </c>
      <c r="C45" s="17" t="s">
        <v>443</v>
      </c>
      <c r="D45" s="18" t="s">
        <v>444</v>
      </c>
      <c r="E45" s="19" t="s">
        <v>160</v>
      </c>
      <c r="F45" s="20" t="s">
        <v>445</v>
      </c>
      <c r="G45" s="19" t="s">
        <v>446</v>
      </c>
      <c r="H45" s="19" t="s">
        <v>447</v>
      </c>
      <c r="I45" s="21" t="s">
        <v>138</v>
      </c>
      <c r="J45" s="19" t="s">
        <v>165</v>
      </c>
      <c r="K45" s="36" t="s">
        <v>277</v>
      </c>
      <c r="L45" s="36" t="s">
        <v>278</v>
      </c>
      <c r="M45" s="36" t="s">
        <v>168</v>
      </c>
      <c r="N45" s="18" t="n">
        <v>1</v>
      </c>
      <c r="O45" s="35" t="n">
        <v>76802.33</v>
      </c>
      <c r="P45" s="35" t="n">
        <v>76802.33</v>
      </c>
      <c r="Q45" s="37" t="n">
        <v>76802.33</v>
      </c>
      <c r="R45" s="35" t="n">
        <f aca="false">Q45-P45</f>
        <v>0</v>
      </c>
      <c r="S45" s="20" t="s">
        <v>279</v>
      </c>
      <c r="T45" s="20" t="s">
        <v>448</v>
      </c>
      <c r="U45" s="20" t="s">
        <v>171</v>
      </c>
      <c r="V45" s="26" t="s">
        <v>449</v>
      </c>
      <c r="W45" s="27" t="s">
        <v>450</v>
      </c>
      <c r="X45" s="18" t="s">
        <v>451</v>
      </c>
    </row>
    <row r="46" customFormat="false" ht="23.25" hidden="false" customHeight="true" outlineLevel="0" collapsed="false">
      <c r="A46" s="20" t="s">
        <v>442</v>
      </c>
      <c r="B46" s="20" t="s">
        <v>71</v>
      </c>
      <c r="C46" s="20" t="s">
        <v>452</v>
      </c>
      <c r="D46" s="30" t="s">
        <v>453</v>
      </c>
      <c r="E46" s="19" t="s">
        <v>160</v>
      </c>
      <c r="F46" s="19" t="s">
        <v>454</v>
      </c>
      <c r="G46" s="19" t="s">
        <v>446</v>
      </c>
      <c r="H46" s="19" t="s">
        <v>447</v>
      </c>
      <c r="I46" s="21" t="s">
        <v>138</v>
      </c>
      <c r="J46" s="19" t="s">
        <v>165</v>
      </c>
      <c r="K46" s="36" t="s">
        <v>181</v>
      </c>
      <c r="L46" s="36"/>
      <c r="M46" s="36"/>
      <c r="N46" s="18"/>
      <c r="O46" s="35" t="n">
        <v>76802.33</v>
      </c>
      <c r="P46" s="35"/>
      <c r="Q46" s="37"/>
      <c r="R46" s="35"/>
      <c r="S46" s="18"/>
      <c r="T46" s="20" t="s">
        <v>455</v>
      </c>
      <c r="U46" s="20" t="s">
        <v>456</v>
      </c>
      <c r="V46" s="26" t="s">
        <v>457</v>
      </c>
      <c r="W46" s="27" t="s">
        <v>458</v>
      </c>
      <c r="X46" s="18"/>
    </row>
    <row r="47" customFormat="false" ht="53.25" hidden="false" customHeight="true" outlineLevel="0" collapsed="false">
      <c r="A47" s="17" t="s">
        <v>459</v>
      </c>
      <c r="B47" s="17" t="s">
        <v>53</v>
      </c>
      <c r="C47" s="17" t="s">
        <v>460</v>
      </c>
      <c r="D47" s="18" t="s">
        <v>461</v>
      </c>
      <c r="E47" s="19" t="s">
        <v>160</v>
      </c>
      <c r="F47" s="20" t="s">
        <v>462</v>
      </c>
      <c r="G47" s="19" t="s">
        <v>463</v>
      </c>
      <c r="H47" s="19" t="s">
        <v>464</v>
      </c>
      <c r="I47" s="21" t="s">
        <v>299</v>
      </c>
      <c r="J47" s="19" t="s">
        <v>165</v>
      </c>
      <c r="K47" s="36" t="s">
        <v>277</v>
      </c>
      <c r="L47" s="36" t="s">
        <v>278</v>
      </c>
      <c r="M47" s="36" t="s">
        <v>168</v>
      </c>
      <c r="N47" s="18" t="n">
        <v>2</v>
      </c>
      <c r="O47" s="35" t="n">
        <v>80053.43</v>
      </c>
      <c r="P47" s="35" t="n">
        <v>160106.86</v>
      </c>
      <c r="Q47" s="37" t="n">
        <v>160106.86</v>
      </c>
      <c r="R47" s="35" t="n">
        <f aca="false">Q47-P47</f>
        <v>0</v>
      </c>
      <c r="S47" s="20" t="s">
        <v>279</v>
      </c>
      <c r="T47" s="20" t="s">
        <v>465</v>
      </c>
      <c r="U47" s="20" t="s">
        <v>171</v>
      </c>
      <c r="V47" s="26" t="s">
        <v>466</v>
      </c>
      <c r="W47" s="27" t="s">
        <v>467</v>
      </c>
      <c r="X47" s="18" t="s">
        <v>468</v>
      </c>
    </row>
    <row r="48" customFormat="false" ht="60.75" hidden="false" customHeight="true" outlineLevel="0" collapsed="false">
      <c r="A48" s="20" t="s">
        <v>459</v>
      </c>
      <c r="B48" s="20" t="s">
        <v>71</v>
      </c>
      <c r="C48" s="20" t="s">
        <v>469</v>
      </c>
      <c r="D48" s="30" t="s">
        <v>470</v>
      </c>
      <c r="E48" s="19" t="s">
        <v>160</v>
      </c>
      <c r="F48" s="19" t="s">
        <v>471</v>
      </c>
      <c r="G48" s="19" t="s">
        <v>472</v>
      </c>
      <c r="H48" s="19" t="s">
        <v>473</v>
      </c>
      <c r="I48" s="21" t="s">
        <v>474</v>
      </c>
      <c r="J48" s="19" t="s">
        <v>165</v>
      </c>
      <c r="K48" s="36" t="s">
        <v>181</v>
      </c>
      <c r="L48" s="36"/>
      <c r="M48" s="36"/>
      <c r="N48" s="18"/>
      <c r="O48" s="35" t="n">
        <v>80053.43</v>
      </c>
      <c r="P48" s="35"/>
      <c r="Q48" s="37"/>
      <c r="R48" s="35"/>
      <c r="S48" s="18"/>
      <c r="T48" s="20" t="s">
        <v>475</v>
      </c>
      <c r="U48" s="20" t="s">
        <v>476</v>
      </c>
      <c r="V48" s="26" t="s">
        <v>477</v>
      </c>
      <c r="W48" s="27" t="s">
        <v>478</v>
      </c>
      <c r="X48" s="18"/>
    </row>
    <row r="49" customFormat="false" ht="57.75" hidden="false" customHeight="true" outlineLevel="0" collapsed="false">
      <c r="A49" s="20" t="s">
        <v>459</v>
      </c>
      <c r="B49" s="20" t="s">
        <v>71</v>
      </c>
      <c r="C49" s="20" t="s">
        <v>479</v>
      </c>
      <c r="D49" s="30" t="s">
        <v>480</v>
      </c>
      <c r="E49" s="19" t="s">
        <v>160</v>
      </c>
      <c r="F49" s="19" t="s">
        <v>471</v>
      </c>
      <c r="G49" s="19" t="s">
        <v>472</v>
      </c>
      <c r="H49" s="19" t="s">
        <v>481</v>
      </c>
      <c r="I49" s="21" t="s">
        <v>482</v>
      </c>
      <c r="J49" s="19" t="s">
        <v>165</v>
      </c>
      <c r="K49" s="36" t="s">
        <v>181</v>
      </c>
      <c r="L49" s="36"/>
      <c r="M49" s="36"/>
      <c r="N49" s="18"/>
      <c r="O49" s="35" t="n">
        <v>80053.43</v>
      </c>
      <c r="P49" s="35"/>
      <c r="Q49" s="37"/>
      <c r="R49" s="35"/>
      <c r="S49" s="18"/>
      <c r="T49" s="20" t="s">
        <v>483</v>
      </c>
      <c r="U49" s="20" t="s">
        <v>484</v>
      </c>
      <c r="V49" s="26" t="s">
        <v>477</v>
      </c>
      <c r="W49" s="27" t="s">
        <v>485</v>
      </c>
      <c r="X49" s="18"/>
    </row>
    <row r="50" customFormat="false" ht="113.25" hidden="false" customHeight="true" outlineLevel="0" collapsed="false">
      <c r="A50" s="38" t="s">
        <v>486</v>
      </c>
      <c r="B50" s="38" t="s">
        <v>487</v>
      </c>
      <c r="C50" s="38" t="s">
        <v>488</v>
      </c>
      <c r="D50" s="18" t="s">
        <v>489</v>
      </c>
      <c r="E50" s="19" t="s">
        <v>490</v>
      </c>
      <c r="F50" s="19"/>
      <c r="G50" s="19"/>
      <c r="H50" s="19"/>
      <c r="I50" s="21" t="s">
        <v>138</v>
      </c>
      <c r="J50" s="19" t="s">
        <v>165</v>
      </c>
      <c r="K50" s="36" t="s">
        <v>491</v>
      </c>
      <c r="L50" s="36" t="s">
        <v>492</v>
      </c>
      <c r="M50" s="36" t="s">
        <v>493</v>
      </c>
      <c r="N50" s="18"/>
      <c r="O50" s="35"/>
      <c r="P50" s="35"/>
      <c r="Q50" s="37" t="n">
        <v>7344806.15</v>
      </c>
      <c r="R50" s="35" t="n">
        <f aca="false">Q50+Q72-SUM(P51,P58,P62,P72,P73)</f>
        <v>80487.0600000005</v>
      </c>
      <c r="S50" s="20" t="s">
        <v>494</v>
      </c>
      <c r="T50" s="20" t="s">
        <v>495</v>
      </c>
      <c r="U50" s="18"/>
      <c r="V50" s="26" t="s">
        <v>496</v>
      </c>
      <c r="W50" s="27" t="s">
        <v>497</v>
      </c>
      <c r="X50" s="18" t="s">
        <v>498</v>
      </c>
    </row>
    <row r="51" customFormat="false" ht="99" hidden="false" customHeight="true" outlineLevel="0" collapsed="false">
      <c r="A51" s="17" t="s">
        <v>499</v>
      </c>
      <c r="B51" s="17" t="s">
        <v>53</v>
      </c>
      <c r="C51" s="17" t="s">
        <v>500</v>
      </c>
      <c r="D51" s="18" t="s">
        <v>501</v>
      </c>
      <c r="E51" s="19" t="s">
        <v>502</v>
      </c>
      <c r="F51" s="19" t="s">
        <v>503</v>
      </c>
      <c r="G51" s="20" t="s">
        <v>504</v>
      </c>
      <c r="H51" s="19" t="s">
        <v>505</v>
      </c>
      <c r="I51" s="21" t="s">
        <v>138</v>
      </c>
      <c r="J51" s="19" t="s">
        <v>165</v>
      </c>
      <c r="K51" s="36"/>
      <c r="L51" s="36"/>
      <c r="M51" s="36"/>
      <c r="N51" s="18" t="n">
        <v>1</v>
      </c>
      <c r="O51" s="35" t="n">
        <v>2273264.11</v>
      </c>
      <c r="P51" s="35" t="n">
        <v>2273264.11</v>
      </c>
      <c r="Q51" s="37"/>
      <c r="R51" s="35"/>
      <c r="S51" s="18"/>
      <c r="T51" s="20" t="s">
        <v>506</v>
      </c>
      <c r="U51" s="20" t="s">
        <v>507</v>
      </c>
      <c r="V51" s="26" t="s">
        <v>508</v>
      </c>
      <c r="W51" s="27" t="s">
        <v>509</v>
      </c>
      <c r="X51" s="18" t="s">
        <v>510</v>
      </c>
    </row>
    <row r="52" customFormat="false" ht="22.5" hidden="false" customHeight="true" outlineLevel="0" collapsed="false">
      <c r="A52" s="20" t="s">
        <v>499</v>
      </c>
      <c r="B52" s="20" t="s">
        <v>71</v>
      </c>
      <c r="C52" s="20" t="s">
        <v>511</v>
      </c>
      <c r="D52" s="28" t="s">
        <v>512</v>
      </c>
      <c r="E52" s="19" t="s">
        <v>513</v>
      </c>
      <c r="F52" s="19" t="s">
        <v>514</v>
      </c>
      <c r="G52" s="19" t="s">
        <v>515</v>
      </c>
      <c r="H52" s="19" t="s">
        <v>516</v>
      </c>
      <c r="I52" s="21" t="s">
        <v>138</v>
      </c>
      <c r="J52" s="19" t="s">
        <v>165</v>
      </c>
      <c r="K52" s="36" t="s">
        <v>181</v>
      </c>
      <c r="L52" s="36"/>
      <c r="M52" s="36"/>
      <c r="N52" s="18"/>
      <c r="O52" s="35"/>
      <c r="P52" s="35"/>
      <c r="Q52" s="37"/>
      <c r="R52" s="35"/>
      <c r="S52" s="18"/>
      <c r="T52" s="20" t="s">
        <v>517</v>
      </c>
      <c r="U52" s="20" t="s">
        <v>518</v>
      </c>
      <c r="V52" s="18"/>
      <c r="W52" s="27" t="s">
        <v>519</v>
      </c>
      <c r="X52" s="18"/>
    </row>
    <row r="53" customFormat="false" ht="22.5" hidden="false" customHeight="true" outlineLevel="0" collapsed="false">
      <c r="A53" s="20" t="s">
        <v>499</v>
      </c>
      <c r="B53" s="20" t="s">
        <v>71</v>
      </c>
      <c r="C53" s="20" t="s">
        <v>520</v>
      </c>
      <c r="D53" s="28" t="s">
        <v>521</v>
      </c>
      <c r="E53" s="19" t="s">
        <v>513</v>
      </c>
      <c r="F53" s="19" t="s">
        <v>514</v>
      </c>
      <c r="G53" s="19" t="s">
        <v>515</v>
      </c>
      <c r="H53" s="19" t="s">
        <v>522</v>
      </c>
      <c r="I53" s="21" t="s">
        <v>138</v>
      </c>
      <c r="J53" s="19" t="s">
        <v>165</v>
      </c>
      <c r="K53" s="36" t="s">
        <v>181</v>
      </c>
      <c r="L53" s="36"/>
      <c r="M53" s="36"/>
      <c r="N53" s="18"/>
      <c r="O53" s="35"/>
      <c r="P53" s="35"/>
      <c r="Q53" s="37"/>
      <c r="R53" s="35"/>
      <c r="S53" s="18"/>
      <c r="T53" s="20" t="s">
        <v>517</v>
      </c>
      <c r="U53" s="20" t="s">
        <v>523</v>
      </c>
      <c r="V53" s="18"/>
      <c r="W53" s="18"/>
      <c r="X53" s="18"/>
    </row>
    <row r="54" customFormat="false" ht="22.5" hidden="false" customHeight="true" outlineLevel="0" collapsed="false">
      <c r="A54" s="20" t="s">
        <v>499</v>
      </c>
      <c r="B54" s="20" t="s">
        <v>71</v>
      </c>
      <c r="C54" s="20" t="s">
        <v>524</v>
      </c>
      <c r="D54" s="28" t="s">
        <v>525</v>
      </c>
      <c r="E54" s="19" t="s">
        <v>513</v>
      </c>
      <c r="F54" s="19" t="s">
        <v>514</v>
      </c>
      <c r="G54" s="19" t="s">
        <v>515</v>
      </c>
      <c r="H54" s="19" t="s">
        <v>526</v>
      </c>
      <c r="I54" s="21" t="s">
        <v>138</v>
      </c>
      <c r="J54" s="19" t="s">
        <v>165</v>
      </c>
      <c r="K54" s="36" t="s">
        <v>181</v>
      </c>
      <c r="L54" s="36"/>
      <c r="M54" s="36"/>
      <c r="N54" s="18"/>
      <c r="O54" s="35"/>
      <c r="P54" s="35"/>
      <c r="Q54" s="37"/>
      <c r="R54" s="35"/>
      <c r="S54" s="18"/>
      <c r="T54" s="20" t="s">
        <v>517</v>
      </c>
      <c r="U54" s="20" t="s">
        <v>527</v>
      </c>
      <c r="V54" s="18"/>
      <c r="W54" s="18"/>
      <c r="X54" s="18"/>
    </row>
    <row r="55" customFormat="false" ht="22.5" hidden="false" customHeight="true" outlineLevel="0" collapsed="false">
      <c r="A55" s="20" t="s">
        <v>499</v>
      </c>
      <c r="B55" s="20" t="s">
        <v>71</v>
      </c>
      <c r="C55" s="20" t="s">
        <v>528</v>
      </c>
      <c r="D55" s="28" t="s">
        <v>529</v>
      </c>
      <c r="E55" s="19" t="s">
        <v>513</v>
      </c>
      <c r="F55" s="19" t="s">
        <v>514</v>
      </c>
      <c r="G55" s="19" t="s">
        <v>515</v>
      </c>
      <c r="H55" s="19" t="s">
        <v>530</v>
      </c>
      <c r="I55" s="21" t="s">
        <v>138</v>
      </c>
      <c r="J55" s="19" t="s">
        <v>165</v>
      </c>
      <c r="K55" s="36" t="s">
        <v>181</v>
      </c>
      <c r="L55" s="36"/>
      <c r="M55" s="36"/>
      <c r="N55" s="18"/>
      <c r="O55" s="35"/>
      <c r="P55" s="35"/>
      <c r="Q55" s="37"/>
      <c r="R55" s="35"/>
      <c r="S55" s="18"/>
      <c r="T55" s="20" t="s">
        <v>517</v>
      </c>
      <c r="U55" s="20" t="s">
        <v>531</v>
      </c>
      <c r="V55" s="18"/>
      <c r="W55" s="18"/>
      <c r="X55" s="18"/>
    </row>
    <row r="56" customFormat="false" ht="22.5" hidden="false" customHeight="true" outlineLevel="0" collapsed="false">
      <c r="A56" s="20" t="s">
        <v>499</v>
      </c>
      <c r="B56" s="20" t="s">
        <v>71</v>
      </c>
      <c r="C56" s="20" t="s">
        <v>532</v>
      </c>
      <c r="D56" s="28" t="s">
        <v>533</v>
      </c>
      <c r="E56" s="19" t="s">
        <v>513</v>
      </c>
      <c r="F56" s="19" t="s">
        <v>514</v>
      </c>
      <c r="G56" s="19" t="s">
        <v>515</v>
      </c>
      <c r="H56" s="19" t="s">
        <v>534</v>
      </c>
      <c r="I56" s="21" t="s">
        <v>138</v>
      </c>
      <c r="J56" s="19" t="s">
        <v>165</v>
      </c>
      <c r="K56" s="36" t="s">
        <v>181</v>
      </c>
      <c r="L56" s="36"/>
      <c r="M56" s="36"/>
      <c r="N56" s="18"/>
      <c r="O56" s="35"/>
      <c r="P56" s="35"/>
      <c r="Q56" s="37"/>
      <c r="R56" s="35"/>
      <c r="S56" s="18"/>
      <c r="T56" s="20" t="s">
        <v>517</v>
      </c>
      <c r="U56" s="20" t="s">
        <v>535</v>
      </c>
      <c r="V56" s="18"/>
      <c r="W56" s="18"/>
      <c r="X56" s="18"/>
    </row>
    <row r="57" customFormat="false" ht="22.5" hidden="false" customHeight="true" outlineLevel="0" collapsed="false">
      <c r="A57" s="20" t="s">
        <v>499</v>
      </c>
      <c r="B57" s="20" t="s">
        <v>71</v>
      </c>
      <c r="C57" s="20" t="s">
        <v>536</v>
      </c>
      <c r="D57" s="28" t="s">
        <v>537</v>
      </c>
      <c r="E57" s="19" t="s">
        <v>513</v>
      </c>
      <c r="F57" s="19" t="s">
        <v>514</v>
      </c>
      <c r="G57" s="19" t="s">
        <v>515</v>
      </c>
      <c r="H57" s="19" t="s">
        <v>538</v>
      </c>
      <c r="I57" s="21" t="s">
        <v>138</v>
      </c>
      <c r="J57" s="19" t="s">
        <v>165</v>
      </c>
      <c r="K57" s="36" t="s">
        <v>181</v>
      </c>
      <c r="L57" s="36"/>
      <c r="M57" s="36"/>
      <c r="N57" s="18"/>
      <c r="O57" s="35"/>
      <c r="P57" s="35"/>
      <c r="Q57" s="37"/>
      <c r="R57" s="35"/>
      <c r="S57" s="18"/>
      <c r="T57" s="20" t="s">
        <v>517</v>
      </c>
      <c r="U57" s="20" t="s">
        <v>539</v>
      </c>
      <c r="V57" s="18"/>
      <c r="W57" s="18"/>
      <c r="X57" s="18"/>
    </row>
    <row r="58" customFormat="false" ht="69" hidden="false" customHeight="true" outlineLevel="0" collapsed="false">
      <c r="A58" s="17" t="s">
        <v>540</v>
      </c>
      <c r="B58" s="17" t="s">
        <v>53</v>
      </c>
      <c r="C58" s="17" t="s">
        <v>541</v>
      </c>
      <c r="D58" s="18" t="s">
        <v>542</v>
      </c>
      <c r="E58" s="19" t="s">
        <v>543</v>
      </c>
      <c r="F58" s="19" t="s">
        <v>544</v>
      </c>
      <c r="G58" s="20" t="s">
        <v>504</v>
      </c>
      <c r="H58" s="19" t="s">
        <v>79</v>
      </c>
      <c r="I58" s="21" t="s">
        <v>138</v>
      </c>
      <c r="J58" s="19" t="s">
        <v>79</v>
      </c>
      <c r="K58" s="36"/>
      <c r="L58" s="36"/>
      <c r="M58" s="36"/>
      <c r="N58" s="18" t="n">
        <v>1</v>
      </c>
      <c r="O58" s="35" t="n">
        <v>1917733.79</v>
      </c>
      <c r="P58" s="35" t="n">
        <v>1917733.79</v>
      </c>
      <c r="Q58" s="37"/>
      <c r="R58" s="35"/>
      <c r="S58" s="18"/>
      <c r="T58" s="20" t="s">
        <v>545</v>
      </c>
      <c r="U58" s="20" t="s">
        <v>546</v>
      </c>
      <c r="V58" s="26" t="s">
        <v>547</v>
      </c>
      <c r="W58" s="27" t="s">
        <v>548</v>
      </c>
      <c r="X58" s="18" t="s">
        <v>549</v>
      </c>
    </row>
    <row r="59" customFormat="false" ht="22.5" hidden="false" customHeight="true" outlineLevel="0" collapsed="false">
      <c r="A59" s="20" t="s">
        <v>540</v>
      </c>
      <c r="B59" s="20" t="s">
        <v>71</v>
      </c>
      <c r="C59" s="20" t="s">
        <v>550</v>
      </c>
      <c r="D59" s="28" t="s">
        <v>551</v>
      </c>
      <c r="E59" s="19" t="s">
        <v>552</v>
      </c>
      <c r="F59" s="19" t="s">
        <v>553</v>
      </c>
      <c r="G59" s="19"/>
      <c r="H59" s="19" t="s">
        <v>79</v>
      </c>
      <c r="I59" s="21" t="s">
        <v>138</v>
      </c>
      <c r="J59" s="19" t="s">
        <v>79</v>
      </c>
      <c r="K59" s="36" t="s">
        <v>181</v>
      </c>
      <c r="L59" s="36"/>
      <c r="M59" s="36"/>
      <c r="N59" s="18"/>
      <c r="O59" s="35"/>
      <c r="P59" s="35"/>
      <c r="Q59" s="37"/>
      <c r="R59" s="35"/>
      <c r="S59" s="18"/>
      <c r="T59" s="20" t="s">
        <v>554</v>
      </c>
      <c r="U59" s="20" t="s">
        <v>555</v>
      </c>
      <c r="V59" s="18"/>
      <c r="W59" s="18"/>
      <c r="X59" s="18"/>
    </row>
    <row r="60" customFormat="false" ht="22.5" hidden="false" customHeight="true" outlineLevel="0" collapsed="false">
      <c r="A60" s="20" t="s">
        <v>540</v>
      </c>
      <c r="B60" s="20" t="s">
        <v>71</v>
      </c>
      <c r="C60" s="20" t="s">
        <v>556</v>
      </c>
      <c r="D60" s="28" t="s">
        <v>557</v>
      </c>
      <c r="E60" s="19" t="s">
        <v>552</v>
      </c>
      <c r="F60" s="19" t="s">
        <v>553</v>
      </c>
      <c r="G60" s="19"/>
      <c r="H60" s="19" t="s">
        <v>79</v>
      </c>
      <c r="I60" s="21" t="s">
        <v>138</v>
      </c>
      <c r="J60" s="19" t="s">
        <v>79</v>
      </c>
      <c r="K60" s="36" t="s">
        <v>181</v>
      </c>
      <c r="L60" s="36"/>
      <c r="M60" s="36"/>
      <c r="N60" s="18"/>
      <c r="O60" s="35"/>
      <c r="P60" s="35"/>
      <c r="Q60" s="37"/>
      <c r="R60" s="35"/>
      <c r="S60" s="18"/>
      <c r="T60" s="20" t="s">
        <v>554</v>
      </c>
      <c r="U60" s="20" t="s">
        <v>558</v>
      </c>
      <c r="V60" s="18"/>
      <c r="W60" s="18"/>
      <c r="X60" s="18"/>
    </row>
    <row r="61" customFormat="false" ht="22.5" hidden="false" customHeight="true" outlineLevel="0" collapsed="false">
      <c r="A61" s="20" t="s">
        <v>540</v>
      </c>
      <c r="B61" s="20" t="s">
        <v>71</v>
      </c>
      <c r="C61" s="20" t="s">
        <v>559</v>
      </c>
      <c r="D61" s="28" t="s">
        <v>560</v>
      </c>
      <c r="E61" s="19" t="s">
        <v>552</v>
      </c>
      <c r="F61" s="19" t="s">
        <v>561</v>
      </c>
      <c r="G61" s="19"/>
      <c r="H61" s="19" t="s">
        <v>79</v>
      </c>
      <c r="I61" s="21" t="s">
        <v>138</v>
      </c>
      <c r="J61" s="19" t="s">
        <v>79</v>
      </c>
      <c r="K61" s="36" t="s">
        <v>181</v>
      </c>
      <c r="L61" s="36"/>
      <c r="M61" s="36"/>
      <c r="N61" s="18"/>
      <c r="O61" s="35"/>
      <c r="P61" s="35"/>
      <c r="Q61" s="37"/>
      <c r="R61" s="35"/>
      <c r="S61" s="18"/>
      <c r="T61" s="20" t="s">
        <v>562</v>
      </c>
      <c r="U61" s="20" t="s">
        <v>563</v>
      </c>
      <c r="V61" s="18"/>
      <c r="W61" s="18"/>
      <c r="X61" s="18"/>
    </row>
    <row r="62" customFormat="false" ht="45.75" hidden="false" customHeight="true" outlineLevel="0" collapsed="false">
      <c r="A62" s="17" t="s">
        <v>564</v>
      </c>
      <c r="B62" s="17" t="s">
        <v>53</v>
      </c>
      <c r="C62" s="17" t="s">
        <v>565</v>
      </c>
      <c r="D62" s="18" t="s">
        <v>566</v>
      </c>
      <c r="E62" s="19" t="s">
        <v>567</v>
      </c>
      <c r="F62" s="19" t="s">
        <v>568</v>
      </c>
      <c r="G62" s="19" t="s">
        <v>569</v>
      </c>
      <c r="H62" s="19" t="s">
        <v>570</v>
      </c>
      <c r="I62" s="21" t="s">
        <v>138</v>
      </c>
      <c r="J62" s="19" t="s">
        <v>165</v>
      </c>
      <c r="K62" s="36"/>
      <c r="L62" s="36"/>
      <c r="M62" s="36"/>
      <c r="N62" s="18" t="n">
        <v>1</v>
      </c>
      <c r="O62" s="35" t="n">
        <v>1610488.85</v>
      </c>
      <c r="P62" s="35" t="n">
        <v>1610488.85</v>
      </c>
      <c r="Q62" s="37"/>
      <c r="R62" s="35"/>
      <c r="S62" s="18"/>
      <c r="T62" s="20" t="s">
        <v>571</v>
      </c>
      <c r="U62" s="20" t="s">
        <v>572</v>
      </c>
      <c r="V62" s="26" t="s">
        <v>573</v>
      </c>
      <c r="W62" s="27" t="s">
        <v>574</v>
      </c>
      <c r="X62" s="18" t="s">
        <v>575</v>
      </c>
    </row>
    <row r="63" customFormat="false" ht="33.75" hidden="false" customHeight="true" outlineLevel="0" collapsed="false">
      <c r="A63" s="20" t="s">
        <v>564</v>
      </c>
      <c r="B63" s="20" t="s">
        <v>71</v>
      </c>
      <c r="C63" s="20" t="s">
        <v>576</v>
      </c>
      <c r="D63" s="28" t="s">
        <v>577</v>
      </c>
      <c r="E63" s="19" t="s">
        <v>567</v>
      </c>
      <c r="F63" s="19" t="s">
        <v>578</v>
      </c>
      <c r="G63" s="19" t="s">
        <v>579</v>
      </c>
      <c r="H63" s="19" t="s">
        <v>580</v>
      </c>
      <c r="I63" s="21" t="s">
        <v>138</v>
      </c>
      <c r="J63" s="19" t="s">
        <v>165</v>
      </c>
      <c r="K63" s="36" t="s">
        <v>181</v>
      </c>
      <c r="L63" s="36"/>
      <c r="M63" s="36"/>
      <c r="N63" s="18"/>
      <c r="O63" s="35"/>
      <c r="P63" s="35"/>
      <c r="Q63" s="37"/>
      <c r="R63" s="35"/>
      <c r="S63" s="18"/>
      <c r="T63" s="20" t="s">
        <v>581</v>
      </c>
      <c r="U63" s="20" t="s">
        <v>582</v>
      </c>
      <c r="V63" s="18"/>
      <c r="W63" s="18"/>
      <c r="X63" s="18"/>
    </row>
    <row r="64" customFormat="false" ht="33.75" hidden="false" customHeight="true" outlineLevel="0" collapsed="false">
      <c r="A64" s="20" t="s">
        <v>564</v>
      </c>
      <c r="B64" s="20" t="s">
        <v>71</v>
      </c>
      <c r="C64" s="20" t="s">
        <v>583</v>
      </c>
      <c r="D64" s="28" t="s">
        <v>584</v>
      </c>
      <c r="E64" s="19" t="s">
        <v>567</v>
      </c>
      <c r="F64" s="19" t="s">
        <v>585</v>
      </c>
      <c r="G64" s="19" t="s">
        <v>586</v>
      </c>
      <c r="H64" s="19" t="s">
        <v>587</v>
      </c>
      <c r="I64" s="21" t="s">
        <v>138</v>
      </c>
      <c r="J64" s="19" t="s">
        <v>165</v>
      </c>
      <c r="K64" s="36" t="s">
        <v>181</v>
      </c>
      <c r="L64" s="36"/>
      <c r="M64" s="36"/>
      <c r="N64" s="18"/>
      <c r="O64" s="35"/>
      <c r="P64" s="35"/>
      <c r="Q64" s="37"/>
      <c r="R64" s="35"/>
      <c r="S64" s="18"/>
      <c r="T64" s="20" t="s">
        <v>581</v>
      </c>
      <c r="U64" s="20" t="s">
        <v>588</v>
      </c>
      <c r="V64" s="18"/>
      <c r="W64" s="18"/>
      <c r="X64" s="18"/>
    </row>
    <row r="65" customFormat="false" ht="33.75" hidden="false" customHeight="true" outlineLevel="0" collapsed="false">
      <c r="A65" s="20" t="s">
        <v>564</v>
      </c>
      <c r="B65" s="20" t="s">
        <v>71</v>
      </c>
      <c r="C65" s="20" t="s">
        <v>589</v>
      </c>
      <c r="D65" s="28" t="s">
        <v>590</v>
      </c>
      <c r="E65" s="19" t="s">
        <v>567</v>
      </c>
      <c r="F65" s="19" t="s">
        <v>578</v>
      </c>
      <c r="G65" s="19" t="s">
        <v>579</v>
      </c>
      <c r="H65" s="19" t="s">
        <v>591</v>
      </c>
      <c r="I65" s="21" t="s">
        <v>138</v>
      </c>
      <c r="J65" s="19" t="s">
        <v>165</v>
      </c>
      <c r="K65" s="36" t="s">
        <v>181</v>
      </c>
      <c r="L65" s="36"/>
      <c r="M65" s="36"/>
      <c r="N65" s="18"/>
      <c r="O65" s="35"/>
      <c r="P65" s="35"/>
      <c r="Q65" s="37"/>
      <c r="R65" s="35"/>
      <c r="S65" s="18"/>
      <c r="T65" s="20" t="s">
        <v>581</v>
      </c>
      <c r="U65" s="20" t="s">
        <v>592</v>
      </c>
      <c r="V65" s="18"/>
      <c r="W65" s="18"/>
      <c r="X65" s="18"/>
    </row>
    <row r="66" customFormat="false" ht="23.25" hidden="false" customHeight="true" outlineLevel="0" collapsed="false">
      <c r="A66" s="20" t="s">
        <v>564</v>
      </c>
      <c r="B66" s="20" t="s">
        <v>71</v>
      </c>
      <c r="C66" s="20" t="s">
        <v>593</v>
      </c>
      <c r="D66" s="28" t="s">
        <v>594</v>
      </c>
      <c r="E66" s="19" t="s">
        <v>567</v>
      </c>
      <c r="F66" s="19" t="s">
        <v>595</v>
      </c>
      <c r="G66" s="19" t="s">
        <v>596</v>
      </c>
      <c r="H66" s="19" t="s">
        <v>597</v>
      </c>
      <c r="I66" s="21" t="s">
        <v>138</v>
      </c>
      <c r="J66" s="19" t="s">
        <v>79</v>
      </c>
      <c r="K66" s="36" t="s">
        <v>181</v>
      </c>
      <c r="L66" s="36"/>
      <c r="M66" s="36"/>
      <c r="N66" s="18"/>
      <c r="O66" s="35"/>
      <c r="P66" s="35"/>
      <c r="Q66" s="37"/>
      <c r="R66" s="35"/>
      <c r="S66" s="18"/>
      <c r="T66" s="20" t="s">
        <v>598</v>
      </c>
      <c r="U66" s="20" t="s">
        <v>599</v>
      </c>
      <c r="V66" s="18"/>
      <c r="W66" s="18"/>
      <c r="X66" s="18"/>
    </row>
    <row r="67" customFormat="false" ht="23.25" hidden="false" customHeight="true" outlineLevel="0" collapsed="false">
      <c r="A67" s="20" t="s">
        <v>564</v>
      </c>
      <c r="B67" s="20" t="s">
        <v>71</v>
      </c>
      <c r="C67" s="20" t="s">
        <v>600</v>
      </c>
      <c r="D67" s="28" t="s">
        <v>601</v>
      </c>
      <c r="E67" s="19" t="s">
        <v>567</v>
      </c>
      <c r="F67" s="19" t="s">
        <v>595</v>
      </c>
      <c r="G67" s="19" t="s">
        <v>596</v>
      </c>
      <c r="H67" s="19" t="s">
        <v>602</v>
      </c>
      <c r="I67" s="21" t="s">
        <v>138</v>
      </c>
      <c r="J67" s="19" t="s">
        <v>79</v>
      </c>
      <c r="K67" s="36" t="s">
        <v>181</v>
      </c>
      <c r="L67" s="36"/>
      <c r="M67" s="36"/>
      <c r="N67" s="18"/>
      <c r="O67" s="35"/>
      <c r="P67" s="35"/>
      <c r="Q67" s="37"/>
      <c r="R67" s="35"/>
      <c r="S67" s="18"/>
      <c r="T67" s="20" t="s">
        <v>603</v>
      </c>
      <c r="U67" s="20" t="s">
        <v>604</v>
      </c>
      <c r="V67" s="18"/>
      <c r="W67" s="18"/>
      <c r="X67" s="18"/>
    </row>
    <row r="68" customFormat="false" ht="23.25" hidden="false" customHeight="true" outlineLevel="0" collapsed="false">
      <c r="A68" s="20" t="s">
        <v>564</v>
      </c>
      <c r="B68" s="20" t="s">
        <v>71</v>
      </c>
      <c r="C68" s="20" t="s">
        <v>605</v>
      </c>
      <c r="D68" s="28" t="s">
        <v>606</v>
      </c>
      <c r="E68" s="19" t="s">
        <v>567</v>
      </c>
      <c r="F68" s="19" t="s">
        <v>595</v>
      </c>
      <c r="G68" s="19" t="s">
        <v>596</v>
      </c>
      <c r="H68" s="19" t="s">
        <v>607</v>
      </c>
      <c r="I68" s="21" t="s">
        <v>138</v>
      </c>
      <c r="J68" s="19" t="s">
        <v>79</v>
      </c>
      <c r="K68" s="36" t="s">
        <v>181</v>
      </c>
      <c r="L68" s="36"/>
      <c r="M68" s="36"/>
      <c r="N68" s="18"/>
      <c r="O68" s="35"/>
      <c r="P68" s="35"/>
      <c r="Q68" s="37"/>
      <c r="R68" s="35"/>
      <c r="S68" s="18"/>
      <c r="T68" s="20" t="s">
        <v>598</v>
      </c>
      <c r="U68" s="20" t="s">
        <v>608</v>
      </c>
      <c r="V68" s="18"/>
      <c r="W68" s="18"/>
      <c r="X68" s="18"/>
    </row>
    <row r="69" customFormat="false" ht="23.25" hidden="false" customHeight="true" outlineLevel="0" collapsed="false">
      <c r="A69" s="20" t="s">
        <v>564</v>
      </c>
      <c r="B69" s="20" t="s">
        <v>71</v>
      </c>
      <c r="C69" s="20" t="s">
        <v>609</v>
      </c>
      <c r="D69" s="28" t="s">
        <v>610</v>
      </c>
      <c r="E69" s="19" t="s">
        <v>567</v>
      </c>
      <c r="F69" s="19" t="s">
        <v>595</v>
      </c>
      <c r="G69" s="19" t="s">
        <v>596</v>
      </c>
      <c r="H69" s="19" t="s">
        <v>611</v>
      </c>
      <c r="I69" s="21" t="s">
        <v>138</v>
      </c>
      <c r="J69" s="19" t="s">
        <v>79</v>
      </c>
      <c r="K69" s="36" t="s">
        <v>181</v>
      </c>
      <c r="L69" s="36"/>
      <c r="M69" s="36"/>
      <c r="N69" s="18"/>
      <c r="O69" s="35"/>
      <c r="P69" s="35"/>
      <c r="Q69" s="37"/>
      <c r="R69" s="35"/>
      <c r="S69" s="18"/>
      <c r="T69" s="20" t="s">
        <v>612</v>
      </c>
      <c r="U69" s="20" t="s">
        <v>613</v>
      </c>
      <c r="V69" s="18"/>
      <c r="W69" s="18"/>
      <c r="X69" s="18"/>
    </row>
    <row r="70" customFormat="false" ht="23.25" hidden="false" customHeight="true" outlineLevel="0" collapsed="false">
      <c r="A70" s="20" t="s">
        <v>564</v>
      </c>
      <c r="B70" s="20" t="s">
        <v>71</v>
      </c>
      <c r="C70" s="20" t="s">
        <v>614</v>
      </c>
      <c r="D70" s="28" t="s">
        <v>615</v>
      </c>
      <c r="E70" s="19" t="s">
        <v>616</v>
      </c>
      <c r="F70" s="19" t="s">
        <v>617</v>
      </c>
      <c r="G70" s="19" t="s">
        <v>618</v>
      </c>
      <c r="H70" s="19" t="s">
        <v>619</v>
      </c>
      <c r="I70" s="21" t="s">
        <v>138</v>
      </c>
      <c r="J70" s="19" t="s">
        <v>79</v>
      </c>
      <c r="K70" s="36" t="s">
        <v>181</v>
      </c>
      <c r="L70" s="36"/>
      <c r="M70" s="36"/>
      <c r="N70" s="18"/>
      <c r="O70" s="35"/>
      <c r="P70" s="35"/>
      <c r="Q70" s="37"/>
      <c r="R70" s="35"/>
      <c r="S70" s="18"/>
      <c r="T70" s="20" t="s">
        <v>598</v>
      </c>
      <c r="U70" s="20" t="s">
        <v>620</v>
      </c>
      <c r="V70" s="18"/>
      <c r="W70" s="18"/>
      <c r="X70" s="18"/>
    </row>
    <row r="71" customFormat="false" ht="23.25" hidden="false" customHeight="true" outlineLevel="0" collapsed="false">
      <c r="A71" s="20" t="s">
        <v>564</v>
      </c>
      <c r="B71" s="20" t="s">
        <v>71</v>
      </c>
      <c r="C71" s="20" t="s">
        <v>621</v>
      </c>
      <c r="D71" s="28" t="s">
        <v>622</v>
      </c>
      <c r="E71" s="19" t="s">
        <v>616</v>
      </c>
      <c r="F71" s="19" t="s">
        <v>617</v>
      </c>
      <c r="G71" s="19" t="s">
        <v>623</v>
      </c>
      <c r="H71" s="19" t="s">
        <v>619</v>
      </c>
      <c r="I71" s="21" t="s">
        <v>138</v>
      </c>
      <c r="J71" s="19" t="s">
        <v>79</v>
      </c>
      <c r="K71" s="36" t="s">
        <v>181</v>
      </c>
      <c r="L71" s="36"/>
      <c r="M71" s="36"/>
      <c r="N71" s="18"/>
      <c r="O71" s="35"/>
      <c r="P71" s="35"/>
      <c r="Q71" s="37"/>
      <c r="R71" s="35"/>
      <c r="S71" s="18"/>
      <c r="T71" s="20" t="s">
        <v>598</v>
      </c>
      <c r="U71" s="20" t="s">
        <v>624</v>
      </c>
      <c r="V71" s="18"/>
      <c r="W71" s="18"/>
      <c r="X71" s="18"/>
    </row>
    <row r="72" customFormat="false" ht="80.25" hidden="false" customHeight="true" outlineLevel="0" collapsed="false">
      <c r="A72" s="17" t="s">
        <v>625</v>
      </c>
      <c r="B72" s="17" t="s">
        <v>53</v>
      </c>
      <c r="C72" s="17" t="s">
        <v>626</v>
      </c>
      <c r="D72" s="18" t="s">
        <v>627</v>
      </c>
      <c r="E72" s="20" t="s">
        <v>628</v>
      </c>
      <c r="F72" s="19" t="s">
        <v>629</v>
      </c>
      <c r="G72" s="20" t="s">
        <v>630</v>
      </c>
      <c r="H72" s="19" t="s">
        <v>79</v>
      </c>
      <c r="I72" s="21" t="s">
        <v>138</v>
      </c>
      <c r="J72" s="19" t="s">
        <v>79</v>
      </c>
      <c r="K72" s="36" t="s">
        <v>631</v>
      </c>
      <c r="L72" s="36" t="s">
        <v>632</v>
      </c>
      <c r="M72" s="36" t="s">
        <v>633</v>
      </c>
      <c r="N72" s="18" t="n">
        <v>1</v>
      </c>
      <c r="O72" s="35" t="n">
        <v>1728513.25</v>
      </c>
      <c r="P72" s="35" t="n">
        <v>1728513.25</v>
      </c>
      <c r="Q72" s="37" t="n">
        <v>1728513.25</v>
      </c>
      <c r="R72" s="35"/>
      <c r="S72" s="20" t="s">
        <v>634</v>
      </c>
      <c r="T72" s="20" t="s">
        <v>635</v>
      </c>
      <c r="U72" s="20" t="s">
        <v>636</v>
      </c>
      <c r="V72" s="26" t="s">
        <v>637</v>
      </c>
      <c r="W72" s="27" t="s">
        <v>638</v>
      </c>
      <c r="X72" s="18" t="s">
        <v>639</v>
      </c>
    </row>
    <row r="73" customFormat="false" ht="102.75" hidden="false" customHeight="true" outlineLevel="0" collapsed="false">
      <c r="A73" s="17" t="s">
        <v>640</v>
      </c>
      <c r="B73" s="17" t="s">
        <v>53</v>
      </c>
      <c r="C73" s="17" t="s">
        <v>641</v>
      </c>
      <c r="D73" s="18" t="s">
        <v>642</v>
      </c>
      <c r="E73" s="19" t="s">
        <v>643</v>
      </c>
      <c r="F73" s="19" t="s">
        <v>644</v>
      </c>
      <c r="G73" s="20" t="s">
        <v>645</v>
      </c>
      <c r="H73" s="19" t="s">
        <v>646</v>
      </c>
      <c r="I73" s="21" t="s">
        <v>138</v>
      </c>
      <c r="J73" s="19" t="s">
        <v>647</v>
      </c>
      <c r="K73" s="36"/>
      <c r="L73" s="36"/>
      <c r="M73" s="36"/>
      <c r="N73" s="18" t="n">
        <v>1</v>
      </c>
      <c r="O73" s="35" t="n">
        <v>1462832.34</v>
      </c>
      <c r="P73" s="35" t="n">
        <v>1462832.34</v>
      </c>
      <c r="Q73" s="37"/>
      <c r="R73" s="35"/>
      <c r="S73" s="18"/>
      <c r="T73" s="20" t="s">
        <v>648</v>
      </c>
      <c r="U73" s="20" t="s">
        <v>649</v>
      </c>
      <c r="V73" s="26" t="s">
        <v>650</v>
      </c>
      <c r="W73" s="27" t="s">
        <v>651</v>
      </c>
      <c r="X73" s="18" t="s">
        <v>652</v>
      </c>
    </row>
    <row r="74" customFormat="false" ht="68.25" hidden="false" customHeight="true" outlineLevel="0" collapsed="false">
      <c r="A74" s="20" t="s">
        <v>640</v>
      </c>
      <c r="B74" s="20" t="s">
        <v>71</v>
      </c>
      <c r="C74" s="20" t="s">
        <v>653</v>
      </c>
      <c r="D74" s="28" t="s">
        <v>654</v>
      </c>
      <c r="E74" s="19" t="s">
        <v>655</v>
      </c>
      <c r="F74" s="19" t="s">
        <v>656</v>
      </c>
      <c r="G74" s="19" t="s">
        <v>657</v>
      </c>
      <c r="H74" s="19" t="s">
        <v>658</v>
      </c>
      <c r="I74" s="21" t="s">
        <v>138</v>
      </c>
      <c r="J74" s="19" t="s">
        <v>659</v>
      </c>
      <c r="K74" s="36" t="s">
        <v>181</v>
      </c>
      <c r="L74" s="36"/>
      <c r="M74" s="36"/>
      <c r="N74" s="18"/>
      <c r="O74" s="35"/>
      <c r="P74" s="35"/>
      <c r="Q74" s="37"/>
      <c r="R74" s="35"/>
      <c r="S74" s="18"/>
      <c r="T74" s="20" t="s">
        <v>660</v>
      </c>
      <c r="U74" s="20" t="s">
        <v>661</v>
      </c>
      <c r="V74" s="18"/>
      <c r="W74" s="18"/>
      <c r="X74" s="18"/>
    </row>
    <row r="75" customFormat="false" ht="45" hidden="false" customHeight="true" outlineLevel="0" collapsed="false">
      <c r="A75" s="20" t="s">
        <v>640</v>
      </c>
      <c r="B75" s="20" t="s">
        <v>71</v>
      </c>
      <c r="C75" s="20" t="s">
        <v>662</v>
      </c>
      <c r="D75" s="28" t="s">
        <v>663</v>
      </c>
      <c r="E75" s="19" t="s">
        <v>655</v>
      </c>
      <c r="F75" s="19" t="s">
        <v>664</v>
      </c>
      <c r="G75" s="19" t="s">
        <v>665</v>
      </c>
      <c r="H75" s="19" t="s">
        <v>666</v>
      </c>
      <c r="I75" s="21" t="s">
        <v>138</v>
      </c>
      <c r="J75" s="19" t="s">
        <v>79</v>
      </c>
      <c r="K75" s="36" t="s">
        <v>181</v>
      </c>
      <c r="L75" s="36"/>
      <c r="M75" s="36"/>
      <c r="N75" s="18"/>
      <c r="O75" s="35"/>
      <c r="P75" s="35"/>
      <c r="Q75" s="37"/>
      <c r="R75" s="35"/>
      <c r="S75" s="18"/>
      <c r="T75" s="20" t="s">
        <v>667</v>
      </c>
      <c r="U75" s="20" t="s">
        <v>668</v>
      </c>
      <c r="V75" s="18"/>
      <c r="W75" s="18"/>
      <c r="X75" s="18"/>
    </row>
    <row r="76" customFormat="false" ht="33.75" hidden="false" customHeight="true" outlineLevel="0" collapsed="false">
      <c r="A76" s="20" t="s">
        <v>640</v>
      </c>
      <c r="B76" s="20" t="s">
        <v>71</v>
      </c>
      <c r="C76" s="20" t="s">
        <v>669</v>
      </c>
      <c r="D76" s="28" t="s">
        <v>670</v>
      </c>
      <c r="E76" s="19" t="s">
        <v>135</v>
      </c>
      <c r="F76" s="19" t="s">
        <v>135</v>
      </c>
      <c r="G76" s="19" t="s">
        <v>671</v>
      </c>
      <c r="H76" s="19" t="s">
        <v>135</v>
      </c>
      <c r="I76" s="21" t="s">
        <v>138</v>
      </c>
      <c r="J76" s="19" t="s">
        <v>135</v>
      </c>
      <c r="K76" s="36" t="s">
        <v>181</v>
      </c>
      <c r="L76" s="36"/>
      <c r="M76" s="36"/>
      <c r="N76" s="18"/>
      <c r="O76" s="35"/>
      <c r="P76" s="35"/>
      <c r="Q76" s="37"/>
      <c r="R76" s="35"/>
      <c r="S76" s="18"/>
      <c r="T76" s="20" t="s">
        <v>672</v>
      </c>
      <c r="U76" s="20" t="s">
        <v>673</v>
      </c>
      <c r="V76" s="18"/>
      <c r="W76" s="18"/>
      <c r="X76" s="18"/>
    </row>
    <row r="77" customFormat="false" ht="23.25" hidden="false" customHeight="true" outlineLevel="0" collapsed="false">
      <c r="A77" s="20" t="s">
        <v>674</v>
      </c>
      <c r="B77" s="20" t="s">
        <v>71</v>
      </c>
      <c r="C77" s="20" t="s">
        <v>675</v>
      </c>
      <c r="D77" s="28" t="s">
        <v>676</v>
      </c>
      <c r="E77" s="19" t="s">
        <v>567</v>
      </c>
      <c r="F77" s="19" t="s">
        <v>677</v>
      </c>
      <c r="G77" s="19" t="s">
        <v>678</v>
      </c>
      <c r="H77" s="19" t="s">
        <v>679</v>
      </c>
      <c r="I77" s="21" t="s">
        <v>138</v>
      </c>
      <c r="J77" s="19" t="s">
        <v>165</v>
      </c>
      <c r="K77" s="36" t="s">
        <v>181</v>
      </c>
      <c r="L77" s="36"/>
      <c r="M77" s="36"/>
      <c r="N77" s="18"/>
      <c r="O77" s="35"/>
      <c r="P77" s="35"/>
      <c r="Q77" s="37"/>
      <c r="R77" s="35"/>
      <c r="S77" s="18"/>
      <c r="T77" s="20" t="s">
        <v>680</v>
      </c>
      <c r="U77" s="20" t="s">
        <v>681</v>
      </c>
      <c r="V77" s="18"/>
      <c r="W77" s="18"/>
      <c r="X77" s="18" t="s">
        <v>682</v>
      </c>
    </row>
    <row r="78" customFormat="false" ht="23.25" hidden="false" customHeight="true" outlineLevel="0" collapsed="false">
      <c r="A78" s="20" t="s">
        <v>674</v>
      </c>
      <c r="B78" s="20" t="s">
        <v>71</v>
      </c>
      <c r="C78" s="20" t="s">
        <v>675</v>
      </c>
      <c r="D78" s="28" t="s">
        <v>683</v>
      </c>
      <c r="E78" s="19" t="s">
        <v>567</v>
      </c>
      <c r="F78" s="19" t="s">
        <v>677</v>
      </c>
      <c r="G78" s="19" t="s">
        <v>684</v>
      </c>
      <c r="H78" s="19" t="s">
        <v>685</v>
      </c>
      <c r="I78" s="21" t="s">
        <v>138</v>
      </c>
      <c r="J78" s="19" t="s">
        <v>165</v>
      </c>
      <c r="K78" s="36" t="s">
        <v>181</v>
      </c>
      <c r="L78" s="36"/>
      <c r="M78" s="36"/>
      <c r="N78" s="18"/>
      <c r="O78" s="35"/>
      <c r="P78" s="35"/>
      <c r="Q78" s="37"/>
      <c r="R78" s="35"/>
      <c r="S78" s="18"/>
      <c r="T78" s="20" t="s">
        <v>680</v>
      </c>
      <c r="U78" s="20" t="s">
        <v>686</v>
      </c>
      <c r="V78" s="18"/>
      <c r="W78" s="18"/>
      <c r="X78" s="27" t="s">
        <v>687</v>
      </c>
    </row>
    <row r="79" customFormat="false" ht="23.25" hidden="false" customHeight="true" outlineLevel="0" collapsed="false">
      <c r="A79" s="20" t="s">
        <v>674</v>
      </c>
      <c r="B79" s="20" t="s">
        <v>71</v>
      </c>
      <c r="C79" s="20" t="s">
        <v>675</v>
      </c>
      <c r="D79" s="28" t="s">
        <v>688</v>
      </c>
      <c r="E79" s="19" t="s">
        <v>567</v>
      </c>
      <c r="F79" s="19" t="s">
        <v>677</v>
      </c>
      <c r="G79" s="19" t="s">
        <v>684</v>
      </c>
      <c r="H79" s="19" t="s">
        <v>689</v>
      </c>
      <c r="I79" s="21" t="s">
        <v>138</v>
      </c>
      <c r="J79" s="19" t="s">
        <v>165</v>
      </c>
      <c r="K79" s="36" t="s">
        <v>181</v>
      </c>
      <c r="L79" s="36"/>
      <c r="M79" s="36"/>
      <c r="N79" s="18"/>
      <c r="O79" s="35"/>
      <c r="P79" s="35"/>
      <c r="Q79" s="37"/>
      <c r="R79" s="35"/>
      <c r="S79" s="18"/>
      <c r="T79" s="20" t="s">
        <v>690</v>
      </c>
      <c r="U79" s="20" t="s">
        <v>691</v>
      </c>
      <c r="V79" s="18"/>
      <c r="W79" s="18"/>
      <c r="X79" s="27" t="s">
        <v>687</v>
      </c>
    </row>
    <row r="80" customFormat="false" ht="23.25" hidden="false" customHeight="true" outlineLevel="0" collapsed="false">
      <c r="A80" s="20" t="s">
        <v>674</v>
      </c>
      <c r="B80" s="20" t="s">
        <v>71</v>
      </c>
      <c r="C80" s="20" t="s">
        <v>675</v>
      </c>
      <c r="D80" s="28" t="s">
        <v>692</v>
      </c>
      <c r="E80" s="19" t="s">
        <v>567</v>
      </c>
      <c r="F80" s="19" t="s">
        <v>677</v>
      </c>
      <c r="G80" s="19" t="s">
        <v>693</v>
      </c>
      <c r="H80" s="19" t="s">
        <v>694</v>
      </c>
      <c r="I80" s="21" t="s">
        <v>138</v>
      </c>
      <c r="J80" s="19" t="s">
        <v>165</v>
      </c>
      <c r="K80" s="36" t="s">
        <v>181</v>
      </c>
      <c r="L80" s="36"/>
      <c r="M80" s="36"/>
      <c r="N80" s="18"/>
      <c r="O80" s="35"/>
      <c r="P80" s="35"/>
      <c r="Q80" s="37"/>
      <c r="R80" s="35"/>
      <c r="S80" s="18"/>
      <c r="T80" s="20" t="s">
        <v>680</v>
      </c>
      <c r="U80" s="20" t="s">
        <v>695</v>
      </c>
      <c r="V80" s="18"/>
      <c r="W80" s="18"/>
      <c r="X80" s="27" t="s">
        <v>687</v>
      </c>
    </row>
    <row r="81" customFormat="false" ht="23.25" hidden="false" customHeight="true" outlineLevel="0" collapsed="false">
      <c r="A81" s="20" t="s">
        <v>674</v>
      </c>
      <c r="B81" s="20" t="s">
        <v>71</v>
      </c>
      <c r="C81" s="20" t="s">
        <v>675</v>
      </c>
      <c r="D81" s="28" t="s">
        <v>696</v>
      </c>
      <c r="E81" s="19" t="s">
        <v>567</v>
      </c>
      <c r="F81" s="19" t="s">
        <v>677</v>
      </c>
      <c r="G81" s="19" t="s">
        <v>678</v>
      </c>
      <c r="H81" s="19" t="s">
        <v>697</v>
      </c>
      <c r="I81" s="21" t="s">
        <v>138</v>
      </c>
      <c r="J81" s="19" t="s">
        <v>165</v>
      </c>
      <c r="K81" s="36" t="s">
        <v>181</v>
      </c>
      <c r="L81" s="36"/>
      <c r="M81" s="36"/>
      <c r="N81" s="18"/>
      <c r="O81" s="35"/>
      <c r="P81" s="35"/>
      <c r="Q81" s="37"/>
      <c r="R81" s="35"/>
      <c r="S81" s="18"/>
      <c r="T81" s="20" t="s">
        <v>698</v>
      </c>
      <c r="U81" s="20" t="s">
        <v>699</v>
      </c>
      <c r="V81" s="18"/>
      <c r="W81" s="18"/>
      <c r="X81" s="27" t="s">
        <v>687</v>
      </c>
    </row>
    <row r="82" customFormat="false" ht="23.25" hidden="false" customHeight="true" outlineLevel="0" collapsed="false">
      <c r="A82" s="20" t="s">
        <v>674</v>
      </c>
      <c r="B82" s="20" t="s">
        <v>71</v>
      </c>
      <c r="C82" s="20" t="s">
        <v>675</v>
      </c>
      <c r="D82" s="28" t="s">
        <v>700</v>
      </c>
      <c r="E82" s="19" t="s">
        <v>567</v>
      </c>
      <c r="F82" s="19" t="s">
        <v>677</v>
      </c>
      <c r="G82" s="19" t="s">
        <v>701</v>
      </c>
      <c r="H82" s="19" t="s">
        <v>702</v>
      </c>
      <c r="I82" s="21" t="s">
        <v>138</v>
      </c>
      <c r="J82" s="19" t="s">
        <v>165</v>
      </c>
      <c r="K82" s="36" t="s">
        <v>181</v>
      </c>
      <c r="L82" s="36"/>
      <c r="M82" s="36"/>
      <c r="N82" s="18"/>
      <c r="O82" s="35"/>
      <c r="P82" s="35"/>
      <c r="Q82" s="37"/>
      <c r="R82" s="35"/>
      <c r="S82" s="18"/>
      <c r="T82" s="20" t="s">
        <v>703</v>
      </c>
      <c r="U82" s="20" t="s">
        <v>704</v>
      </c>
      <c r="V82" s="18"/>
      <c r="W82" s="18"/>
      <c r="X82" s="27" t="s">
        <v>687</v>
      </c>
    </row>
    <row r="83" customFormat="false" ht="23.25" hidden="false" customHeight="true" outlineLevel="0" collapsed="false">
      <c r="A83" s="20" t="s">
        <v>674</v>
      </c>
      <c r="B83" s="20" t="s">
        <v>71</v>
      </c>
      <c r="C83" s="20" t="s">
        <v>675</v>
      </c>
      <c r="D83" s="28" t="s">
        <v>705</v>
      </c>
      <c r="E83" s="19" t="s">
        <v>567</v>
      </c>
      <c r="F83" s="19" t="s">
        <v>677</v>
      </c>
      <c r="G83" s="19" t="s">
        <v>693</v>
      </c>
      <c r="H83" s="19" t="s">
        <v>706</v>
      </c>
      <c r="I83" s="21" t="s">
        <v>138</v>
      </c>
      <c r="J83" s="19" t="s">
        <v>165</v>
      </c>
      <c r="K83" s="36" t="s">
        <v>181</v>
      </c>
      <c r="L83" s="36"/>
      <c r="M83" s="36"/>
      <c r="N83" s="18"/>
      <c r="O83" s="35"/>
      <c r="P83" s="35"/>
      <c r="Q83" s="37"/>
      <c r="R83" s="35"/>
      <c r="S83" s="18"/>
      <c r="T83" s="20" t="s">
        <v>680</v>
      </c>
      <c r="U83" s="20" t="s">
        <v>707</v>
      </c>
      <c r="V83" s="18"/>
      <c r="W83" s="18"/>
      <c r="X83" s="27" t="s">
        <v>687</v>
      </c>
    </row>
    <row r="84" customFormat="false" ht="23.25" hidden="false" customHeight="true" outlineLevel="0" collapsed="false">
      <c r="A84" s="20" t="s">
        <v>674</v>
      </c>
      <c r="B84" s="20" t="s">
        <v>71</v>
      </c>
      <c r="C84" s="20" t="s">
        <v>675</v>
      </c>
      <c r="D84" s="28" t="s">
        <v>708</v>
      </c>
      <c r="E84" s="19" t="s">
        <v>567</v>
      </c>
      <c r="F84" s="19" t="s">
        <v>677</v>
      </c>
      <c r="G84" s="19" t="s">
        <v>678</v>
      </c>
      <c r="H84" s="19" t="s">
        <v>709</v>
      </c>
      <c r="I84" s="21" t="s">
        <v>138</v>
      </c>
      <c r="J84" s="19" t="s">
        <v>165</v>
      </c>
      <c r="K84" s="36" t="s">
        <v>181</v>
      </c>
      <c r="L84" s="36"/>
      <c r="M84" s="36"/>
      <c r="N84" s="18"/>
      <c r="O84" s="35"/>
      <c r="P84" s="35"/>
      <c r="Q84" s="37"/>
      <c r="R84" s="35"/>
      <c r="S84" s="18"/>
      <c r="T84" s="20" t="s">
        <v>710</v>
      </c>
      <c r="U84" s="20" t="s">
        <v>711</v>
      </c>
      <c r="V84" s="18"/>
      <c r="W84" s="18"/>
      <c r="X84" s="27" t="s">
        <v>687</v>
      </c>
    </row>
    <row r="85" customFormat="false" ht="23.25" hidden="false" customHeight="true" outlineLevel="0" collapsed="false">
      <c r="A85" s="20" t="s">
        <v>674</v>
      </c>
      <c r="B85" s="20" t="s">
        <v>71</v>
      </c>
      <c r="C85" s="20" t="s">
        <v>675</v>
      </c>
      <c r="D85" s="28" t="s">
        <v>712</v>
      </c>
      <c r="E85" s="19" t="s">
        <v>567</v>
      </c>
      <c r="F85" s="19" t="s">
        <v>677</v>
      </c>
      <c r="G85" s="19" t="s">
        <v>678</v>
      </c>
      <c r="H85" s="19" t="s">
        <v>713</v>
      </c>
      <c r="I85" s="21" t="s">
        <v>138</v>
      </c>
      <c r="J85" s="19" t="s">
        <v>165</v>
      </c>
      <c r="K85" s="36" t="s">
        <v>181</v>
      </c>
      <c r="L85" s="36"/>
      <c r="M85" s="36"/>
      <c r="N85" s="18"/>
      <c r="O85" s="35"/>
      <c r="P85" s="35"/>
      <c r="Q85" s="37"/>
      <c r="R85" s="35"/>
      <c r="S85" s="18"/>
      <c r="T85" s="20" t="s">
        <v>680</v>
      </c>
      <c r="U85" s="20" t="s">
        <v>714</v>
      </c>
      <c r="V85" s="18"/>
      <c r="W85" s="18"/>
      <c r="X85" s="27" t="s">
        <v>687</v>
      </c>
    </row>
    <row r="86" customFormat="false" ht="23.25" hidden="false" customHeight="true" outlineLevel="0" collapsed="false">
      <c r="A86" s="20" t="s">
        <v>674</v>
      </c>
      <c r="B86" s="20" t="s">
        <v>71</v>
      </c>
      <c r="C86" s="20" t="s">
        <v>675</v>
      </c>
      <c r="D86" s="28" t="s">
        <v>715</v>
      </c>
      <c r="E86" s="19" t="s">
        <v>567</v>
      </c>
      <c r="F86" s="19" t="s">
        <v>677</v>
      </c>
      <c r="G86" s="19" t="s">
        <v>693</v>
      </c>
      <c r="H86" s="19" t="s">
        <v>716</v>
      </c>
      <c r="I86" s="21" t="s">
        <v>138</v>
      </c>
      <c r="J86" s="19" t="s">
        <v>165</v>
      </c>
      <c r="K86" s="36" t="s">
        <v>181</v>
      </c>
      <c r="L86" s="36"/>
      <c r="M86" s="36"/>
      <c r="N86" s="18"/>
      <c r="O86" s="35"/>
      <c r="P86" s="35"/>
      <c r="Q86" s="37"/>
      <c r="R86" s="35"/>
      <c r="S86" s="18"/>
      <c r="T86" s="20" t="s">
        <v>680</v>
      </c>
      <c r="U86" s="20" t="s">
        <v>717</v>
      </c>
      <c r="V86" s="18"/>
      <c r="W86" s="18"/>
      <c r="X86" s="27" t="s">
        <v>687</v>
      </c>
    </row>
    <row r="87" customFormat="false" ht="23.25" hidden="false" customHeight="true" outlineLevel="0" collapsed="false">
      <c r="A87" s="20" t="s">
        <v>674</v>
      </c>
      <c r="B87" s="20" t="s">
        <v>71</v>
      </c>
      <c r="C87" s="20" t="s">
        <v>718</v>
      </c>
      <c r="D87" s="28" t="s">
        <v>719</v>
      </c>
      <c r="E87" s="19" t="s">
        <v>567</v>
      </c>
      <c r="F87" s="19" t="s">
        <v>595</v>
      </c>
      <c r="G87" s="19" t="s">
        <v>596</v>
      </c>
      <c r="H87" s="19" t="s">
        <v>720</v>
      </c>
      <c r="I87" s="21" t="s">
        <v>138</v>
      </c>
      <c r="J87" s="19" t="s">
        <v>79</v>
      </c>
      <c r="K87" s="36" t="s">
        <v>181</v>
      </c>
      <c r="L87" s="36"/>
      <c r="M87" s="36"/>
      <c r="N87" s="18"/>
      <c r="O87" s="35"/>
      <c r="P87" s="35"/>
      <c r="Q87" s="37"/>
      <c r="R87" s="35"/>
      <c r="S87" s="18"/>
      <c r="T87" s="20" t="s">
        <v>721</v>
      </c>
      <c r="U87" s="20" t="s">
        <v>722</v>
      </c>
      <c r="V87" s="18"/>
      <c r="W87" s="18"/>
      <c r="X87" s="27" t="s">
        <v>687</v>
      </c>
    </row>
    <row r="88" customFormat="false" ht="23.25" hidden="false" customHeight="true" outlineLevel="0" collapsed="false">
      <c r="A88" s="20" t="s">
        <v>674</v>
      </c>
      <c r="B88" s="20" t="s">
        <v>71</v>
      </c>
      <c r="C88" s="20" t="s">
        <v>723</v>
      </c>
      <c r="D88" s="28" t="s">
        <v>724</v>
      </c>
      <c r="E88" s="19" t="s">
        <v>567</v>
      </c>
      <c r="F88" s="19" t="s">
        <v>725</v>
      </c>
      <c r="G88" s="19" t="s">
        <v>726</v>
      </c>
      <c r="H88" s="19" t="s">
        <v>727</v>
      </c>
      <c r="I88" s="21" t="s">
        <v>138</v>
      </c>
      <c r="J88" s="19" t="s">
        <v>165</v>
      </c>
      <c r="K88" s="36" t="s">
        <v>181</v>
      </c>
      <c r="L88" s="36"/>
      <c r="M88" s="36"/>
      <c r="N88" s="18"/>
      <c r="O88" s="35"/>
      <c r="P88" s="35"/>
      <c r="Q88" s="37"/>
      <c r="R88" s="35"/>
      <c r="S88" s="18"/>
      <c r="T88" s="20" t="s">
        <v>728</v>
      </c>
      <c r="U88" s="20" t="s">
        <v>729</v>
      </c>
      <c r="V88" s="18"/>
      <c r="W88" s="18"/>
      <c r="X88" s="27" t="s">
        <v>687</v>
      </c>
    </row>
    <row r="89" customFormat="false" ht="23.25" hidden="false" customHeight="true" outlineLevel="0" collapsed="false">
      <c r="A89" s="20" t="s">
        <v>674</v>
      </c>
      <c r="B89" s="20" t="s">
        <v>71</v>
      </c>
      <c r="C89" s="20" t="s">
        <v>730</v>
      </c>
      <c r="D89" s="28" t="s">
        <v>731</v>
      </c>
      <c r="E89" s="19" t="s">
        <v>567</v>
      </c>
      <c r="F89" s="19" t="s">
        <v>595</v>
      </c>
      <c r="G89" s="19" t="s">
        <v>596</v>
      </c>
      <c r="H89" s="19" t="s">
        <v>732</v>
      </c>
      <c r="I89" s="21" t="s">
        <v>138</v>
      </c>
      <c r="J89" s="19" t="s">
        <v>165</v>
      </c>
      <c r="K89" s="36" t="s">
        <v>181</v>
      </c>
      <c r="L89" s="36"/>
      <c r="M89" s="36"/>
      <c r="N89" s="18"/>
      <c r="O89" s="35"/>
      <c r="P89" s="35"/>
      <c r="Q89" s="37"/>
      <c r="R89" s="35"/>
      <c r="S89" s="18"/>
      <c r="T89" s="20" t="s">
        <v>733</v>
      </c>
      <c r="U89" s="20" t="s">
        <v>734</v>
      </c>
      <c r="V89" s="18"/>
      <c r="W89" s="18"/>
      <c r="X89" s="27" t="s">
        <v>687</v>
      </c>
    </row>
    <row r="90" customFormat="false" ht="23.25" hidden="false" customHeight="true" outlineLevel="0" collapsed="false">
      <c r="A90" s="20" t="s">
        <v>674</v>
      </c>
      <c r="B90" s="20" t="s">
        <v>71</v>
      </c>
      <c r="C90" s="20" t="s">
        <v>735</v>
      </c>
      <c r="D90" s="28" t="s">
        <v>736</v>
      </c>
      <c r="E90" s="19" t="s">
        <v>567</v>
      </c>
      <c r="F90" s="19" t="s">
        <v>595</v>
      </c>
      <c r="G90" s="19" t="s">
        <v>596</v>
      </c>
      <c r="H90" s="19" t="s">
        <v>737</v>
      </c>
      <c r="I90" s="21" t="s">
        <v>138</v>
      </c>
      <c r="J90" s="19" t="s">
        <v>79</v>
      </c>
      <c r="K90" s="36" t="s">
        <v>181</v>
      </c>
      <c r="L90" s="36"/>
      <c r="M90" s="36"/>
      <c r="N90" s="18"/>
      <c r="O90" s="35"/>
      <c r="P90" s="35"/>
      <c r="Q90" s="37"/>
      <c r="R90" s="35"/>
      <c r="S90" s="18"/>
      <c r="T90" s="20" t="s">
        <v>738</v>
      </c>
      <c r="U90" s="20" t="s">
        <v>739</v>
      </c>
      <c r="V90" s="18"/>
      <c r="W90" s="18"/>
      <c r="X90" s="27" t="s">
        <v>687</v>
      </c>
    </row>
    <row r="91" customFormat="false" ht="23.25" hidden="false" customHeight="true" outlineLevel="0" collapsed="false">
      <c r="A91" s="20" t="s">
        <v>674</v>
      </c>
      <c r="B91" s="20" t="s">
        <v>71</v>
      </c>
      <c r="C91" s="20" t="s">
        <v>740</v>
      </c>
      <c r="D91" s="28" t="s">
        <v>741</v>
      </c>
      <c r="E91" s="19" t="s">
        <v>567</v>
      </c>
      <c r="F91" s="19" t="s">
        <v>742</v>
      </c>
      <c r="G91" s="19" t="s">
        <v>743</v>
      </c>
      <c r="H91" s="19" t="s">
        <v>744</v>
      </c>
      <c r="I91" s="21" t="s">
        <v>138</v>
      </c>
      <c r="J91" s="19" t="s">
        <v>165</v>
      </c>
      <c r="K91" s="36" t="s">
        <v>181</v>
      </c>
      <c r="L91" s="36"/>
      <c r="M91" s="36"/>
      <c r="N91" s="18"/>
      <c r="O91" s="35"/>
      <c r="P91" s="35"/>
      <c r="Q91" s="37"/>
      <c r="R91" s="35"/>
      <c r="S91" s="18"/>
      <c r="T91" s="20" t="s">
        <v>728</v>
      </c>
      <c r="U91" s="20" t="s">
        <v>745</v>
      </c>
      <c r="V91" s="18"/>
      <c r="W91" s="18"/>
      <c r="X91" s="27" t="s">
        <v>687</v>
      </c>
    </row>
    <row r="92" customFormat="false" ht="23.25" hidden="false" customHeight="true" outlineLevel="0" collapsed="false">
      <c r="A92" s="20" t="s">
        <v>674</v>
      </c>
      <c r="B92" s="20" t="s">
        <v>71</v>
      </c>
      <c r="C92" s="20" t="s">
        <v>746</v>
      </c>
      <c r="D92" s="28" t="s">
        <v>747</v>
      </c>
      <c r="E92" s="19" t="s">
        <v>567</v>
      </c>
      <c r="F92" s="19" t="s">
        <v>595</v>
      </c>
      <c r="G92" s="19" t="s">
        <v>596</v>
      </c>
      <c r="H92" s="19" t="s">
        <v>748</v>
      </c>
      <c r="I92" s="21" t="s">
        <v>138</v>
      </c>
      <c r="J92" s="19" t="s">
        <v>165</v>
      </c>
      <c r="K92" s="36" t="s">
        <v>181</v>
      </c>
      <c r="L92" s="36"/>
      <c r="M92" s="36"/>
      <c r="N92" s="18"/>
      <c r="O92" s="35"/>
      <c r="P92" s="35"/>
      <c r="Q92" s="37"/>
      <c r="R92" s="35"/>
      <c r="S92" s="18"/>
      <c r="T92" s="20" t="s">
        <v>749</v>
      </c>
      <c r="U92" s="20" t="s">
        <v>750</v>
      </c>
      <c r="V92" s="18"/>
      <c r="W92" s="18"/>
      <c r="X92" s="27" t="s">
        <v>687</v>
      </c>
    </row>
    <row r="93" customFormat="false" ht="23.25" hidden="false" customHeight="true" outlineLevel="0" collapsed="false">
      <c r="A93" s="20" t="s">
        <v>674</v>
      </c>
      <c r="B93" s="20" t="s">
        <v>71</v>
      </c>
      <c r="C93" s="20" t="s">
        <v>751</v>
      </c>
      <c r="D93" s="28" t="s">
        <v>752</v>
      </c>
      <c r="E93" s="19" t="s">
        <v>567</v>
      </c>
      <c r="F93" s="19" t="s">
        <v>742</v>
      </c>
      <c r="G93" s="19" t="s">
        <v>743</v>
      </c>
      <c r="H93" s="19" t="s">
        <v>753</v>
      </c>
      <c r="I93" s="21" t="s">
        <v>138</v>
      </c>
      <c r="J93" s="19" t="s">
        <v>165</v>
      </c>
      <c r="K93" s="36" t="s">
        <v>181</v>
      </c>
      <c r="L93" s="36"/>
      <c r="M93" s="36"/>
      <c r="N93" s="18"/>
      <c r="O93" s="35"/>
      <c r="P93" s="35"/>
      <c r="Q93" s="37"/>
      <c r="R93" s="35"/>
      <c r="S93" s="18"/>
      <c r="T93" s="20" t="s">
        <v>728</v>
      </c>
      <c r="U93" s="20" t="s">
        <v>754</v>
      </c>
      <c r="V93" s="18"/>
      <c r="W93" s="18"/>
      <c r="X93" s="27" t="s">
        <v>687</v>
      </c>
    </row>
    <row r="94" customFormat="false" ht="23.25" hidden="false" customHeight="true" outlineLevel="0" collapsed="false">
      <c r="A94" s="20" t="s">
        <v>674</v>
      </c>
      <c r="B94" s="20" t="s">
        <v>71</v>
      </c>
      <c r="C94" s="20" t="s">
        <v>755</v>
      </c>
      <c r="D94" s="28" t="s">
        <v>756</v>
      </c>
      <c r="E94" s="19" t="s">
        <v>567</v>
      </c>
      <c r="F94" s="19" t="s">
        <v>595</v>
      </c>
      <c r="G94" s="19" t="s">
        <v>596</v>
      </c>
      <c r="H94" s="19" t="s">
        <v>757</v>
      </c>
      <c r="I94" s="21" t="s">
        <v>138</v>
      </c>
      <c r="J94" s="19" t="s">
        <v>165</v>
      </c>
      <c r="K94" s="36" t="s">
        <v>181</v>
      </c>
      <c r="L94" s="36"/>
      <c r="M94" s="36"/>
      <c r="N94" s="18"/>
      <c r="O94" s="35"/>
      <c r="P94" s="35"/>
      <c r="Q94" s="37"/>
      <c r="R94" s="35"/>
      <c r="S94" s="18"/>
      <c r="T94" s="20" t="s">
        <v>758</v>
      </c>
      <c r="U94" s="20" t="s">
        <v>759</v>
      </c>
      <c r="V94" s="18"/>
      <c r="W94" s="18"/>
      <c r="X94" s="27" t="s">
        <v>687</v>
      </c>
    </row>
    <row r="95" customFormat="false" ht="23.25" hidden="false" customHeight="true" outlineLevel="0" collapsed="false">
      <c r="A95" s="20" t="s">
        <v>674</v>
      </c>
      <c r="B95" s="20" t="s">
        <v>71</v>
      </c>
      <c r="C95" s="20" t="s">
        <v>760</v>
      </c>
      <c r="D95" s="28" t="s">
        <v>761</v>
      </c>
      <c r="E95" s="19" t="s">
        <v>567</v>
      </c>
      <c r="F95" s="19" t="s">
        <v>595</v>
      </c>
      <c r="G95" s="19" t="s">
        <v>596</v>
      </c>
      <c r="H95" s="19" t="s">
        <v>762</v>
      </c>
      <c r="I95" s="21" t="s">
        <v>138</v>
      </c>
      <c r="J95" s="19" t="s">
        <v>79</v>
      </c>
      <c r="K95" s="36" t="s">
        <v>181</v>
      </c>
      <c r="L95" s="36"/>
      <c r="M95" s="36"/>
      <c r="N95" s="18"/>
      <c r="O95" s="35"/>
      <c r="P95" s="35"/>
      <c r="Q95" s="37"/>
      <c r="R95" s="35"/>
      <c r="S95" s="18"/>
      <c r="T95" s="20" t="s">
        <v>763</v>
      </c>
      <c r="U95" s="20" t="s">
        <v>764</v>
      </c>
      <c r="V95" s="18"/>
      <c r="W95" s="18"/>
      <c r="X95" s="27" t="s">
        <v>687</v>
      </c>
    </row>
    <row r="96" customFormat="false" ht="23.25" hidden="false" customHeight="true" outlineLevel="0" collapsed="false">
      <c r="A96" s="20" t="s">
        <v>674</v>
      </c>
      <c r="B96" s="20" t="s">
        <v>71</v>
      </c>
      <c r="C96" s="20" t="s">
        <v>765</v>
      </c>
      <c r="D96" s="28" t="s">
        <v>766</v>
      </c>
      <c r="E96" s="19" t="s">
        <v>567</v>
      </c>
      <c r="F96" s="19" t="s">
        <v>725</v>
      </c>
      <c r="G96" s="19" t="s">
        <v>726</v>
      </c>
      <c r="H96" s="19" t="s">
        <v>767</v>
      </c>
      <c r="I96" s="21" t="s">
        <v>138</v>
      </c>
      <c r="J96" s="19" t="s">
        <v>165</v>
      </c>
      <c r="K96" s="36" t="s">
        <v>181</v>
      </c>
      <c r="L96" s="36"/>
      <c r="M96" s="36"/>
      <c r="N96" s="18"/>
      <c r="O96" s="35"/>
      <c r="P96" s="35"/>
      <c r="Q96" s="37"/>
      <c r="R96" s="35"/>
      <c r="S96" s="18"/>
      <c r="T96" s="20" t="s">
        <v>768</v>
      </c>
      <c r="U96" s="20" t="s">
        <v>769</v>
      </c>
      <c r="V96" s="18"/>
      <c r="W96" s="18"/>
      <c r="X96" s="27" t="s">
        <v>687</v>
      </c>
    </row>
    <row r="97" customFormat="false" ht="23.25" hidden="false" customHeight="true" outlineLevel="0" collapsed="false">
      <c r="A97" s="20" t="s">
        <v>674</v>
      </c>
      <c r="B97" s="20" t="s">
        <v>71</v>
      </c>
      <c r="C97" s="20" t="s">
        <v>770</v>
      </c>
      <c r="D97" s="28" t="s">
        <v>771</v>
      </c>
      <c r="E97" s="19" t="s">
        <v>567</v>
      </c>
      <c r="F97" s="19" t="s">
        <v>595</v>
      </c>
      <c r="G97" s="19" t="s">
        <v>596</v>
      </c>
      <c r="H97" s="19" t="s">
        <v>772</v>
      </c>
      <c r="I97" s="21" t="s">
        <v>138</v>
      </c>
      <c r="J97" s="19" t="s">
        <v>165</v>
      </c>
      <c r="K97" s="36" t="s">
        <v>181</v>
      </c>
      <c r="L97" s="36"/>
      <c r="M97" s="36"/>
      <c r="N97" s="18"/>
      <c r="O97" s="35"/>
      <c r="P97" s="35"/>
      <c r="Q97" s="37"/>
      <c r="R97" s="35"/>
      <c r="S97" s="18"/>
      <c r="T97" s="20" t="s">
        <v>773</v>
      </c>
      <c r="U97" s="20" t="s">
        <v>774</v>
      </c>
      <c r="V97" s="18"/>
      <c r="W97" s="18"/>
      <c r="X97" s="27" t="s">
        <v>687</v>
      </c>
    </row>
    <row r="98" customFormat="false" ht="33.75" hidden="false" customHeight="true" outlineLevel="0" collapsed="false">
      <c r="A98" s="20" t="s">
        <v>674</v>
      </c>
      <c r="B98" s="20" t="s">
        <v>71</v>
      </c>
      <c r="C98" s="20" t="s">
        <v>775</v>
      </c>
      <c r="D98" s="28" t="s">
        <v>776</v>
      </c>
      <c r="E98" s="19" t="s">
        <v>567</v>
      </c>
      <c r="F98" s="19" t="s">
        <v>725</v>
      </c>
      <c r="G98" s="19" t="s">
        <v>726</v>
      </c>
      <c r="H98" s="19" t="s">
        <v>777</v>
      </c>
      <c r="I98" s="21" t="s">
        <v>138</v>
      </c>
      <c r="J98" s="19" t="s">
        <v>165</v>
      </c>
      <c r="K98" s="36" t="s">
        <v>181</v>
      </c>
      <c r="L98" s="36"/>
      <c r="M98" s="36"/>
      <c r="N98" s="18"/>
      <c r="O98" s="35"/>
      <c r="P98" s="35"/>
      <c r="Q98" s="37"/>
      <c r="R98" s="35"/>
      <c r="S98" s="18"/>
      <c r="T98" s="20" t="s">
        <v>778</v>
      </c>
      <c r="U98" s="20" t="s">
        <v>779</v>
      </c>
      <c r="V98" s="18"/>
      <c r="W98" s="18"/>
      <c r="X98" s="27" t="s">
        <v>687</v>
      </c>
    </row>
    <row r="99" customFormat="false" ht="23.25" hidden="false" customHeight="true" outlineLevel="0" collapsed="false">
      <c r="A99" s="20" t="s">
        <v>674</v>
      </c>
      <c r="B99" s="20" t="s">
        <v>71</v>
      </c>
      <c r="C99" s="20" t="s">
        <v>780</v>
      </c>
      <c r="D99" s="28" t="s">
        <v>781</v>
      </c>
      <c r="E99" s="19" t="s">
        <v>567</v>
      </c>
      <c r="F99" s="19" t="s">
        <v>595</v>
      </c>
      <c r="G99" s="19" t="s">
        <v>596</v>
      </c>
      <c r="H99" s="19" t="s">
        <v>782</v>
      </c>
      <c r="I99" s="21" t="s">
        <v>138</v>
      </c>
      <c r="J99" s="19" t="s">
        <v>79</v>
      </c>
      <c r="K99" s="36" t="s">
        <v>181</v>
      </c>
      <c r="L99" s="36"/>
      <c r="M99" s="36"/>
      <c r="N99" s="18"/>
      <c r="O99" s="35"/>
      <c r="P99" s="35"/>
      <c r="Q99" s="37"/>
      <c r="R99" s="35"/>
      <c r="S99" s="18"/>
      <c r="T99" s="20" t="s">
        <v>783</v>
      </c>
      <c r="U99" s="20" t="s">
        <v>784</v>
      </c>
      <c r="V99" s="18"/>
      <c r="W99" s="18"/>
      <c r="X99" s="27" t="s">
        <v>687</v>
      </c>
    </row>
    <row r="100" customFormat="false" ht="33.75" hidden="false" customHeight="true" outlineLevel="0" collapsed="false">
      <c r="A100" s="20" t="s">
        <v>674</v>
      </c>
      <c r="B100" s="20" t="s">
        <v>71</v>
      </c>
      <c r="C100" s="20" t="s">
        <v>785</v>
      </c>
      <c r="D100" s="28" t="s">
        <v>786</v>
      </c>
      <c r="E100" s="19" t="s">
        <v>567</v>
      </c>
      <c r="F100" s="19" t="s">
        <v>725</v>
      </c>
      <c r="G100" s="19" t="s">
        <v>726</v>
      </c>
      <c r="H100" s="19" t="s">
        <v>787</v>
      </c>
      <c r="I100" s="21" t="s">
        <v>138</v>
      </c>
      <c r="J100" s="19" t="s">
        <v>79</v>
      </c>
      <c r="K100" s="36" t="s">
        <v>181</v>
      </c>
      <c r="L100" s="36"/>
      <c r="M100" s="36"/>
      <c r="N100" s="18"/>
      <c r="O100" s="35"/>
      <c r="P100" s="35"/>
      <c r="Q100" s="37"/>
      <c r="R100" s="35"/>
      <c r="S100" s="18"/>
      <c r="T100" s="20" t="s">
        <v>788</v>
      </c>
      <c r="U100" s="20" t="s">
        <v>789</v>
      </c>
      <c r="V100" s="18"/>
      <c r="W100" s="18"/>
      <c r="X100" s="27" t="s">
        <v>687</v>
      </c>
    </row>
    <row r="101" customFormat="false" ht="33.75" hidden="false" customHeight="true" outlineLevel="0" collapsed="false">
      <c r="A101" s="20" t="s">
        <v>674</v>
      </c>
      <c r="B101" s="20" t="s">
        <v>71</v>
      </c>
      <c r="C101" s="20" t="s">
        <v>790</v>
      </c>
      <c r="D101" s="28" t="s">
        <v>791</v>
      </c>
      <c r="E101" s="19" t="s">
        <v>567</v>
      </c>
      <c r="F101" s="19" t="s">
        <v>595</v>
      </c>
      <c r="G101" s="19" t="s">
        <v>596</v>
      </c>
      <c r="H101" s="19" t="s">
        <v>792</v>
      </c>
      <c r="I101" s="21" t="s">
        <v>138</v>
      </c>
      <c r="J101" s="19" t="s">
        <v>79</v>
      </c>
      <c r="K101" s="36" t="s">
        <v>181</v>
      </c>
      <c r="L101" s="36"/>
      <c r="M101" s="36"/>
      <c r="N101" s="18"/>
      <c r="O101" s="35"/>
      <c r="P101" s="35"/>
      <c r="Q101" s="37"/>
      <c r="R101" s="35"/>
      <c r="S101" s="18"/>
      <c r="T101" s="20" t="s">
        <v>793</v>
      </c>
      <c r="U101" s="20" t="s">
        <v>794</v>
      </c>
      <c r="V101" s="18"/>
      <c r="W101" s="18"/>
      <c r="X101" s="27" t="s">
        <v>687</v>
      </c>
    </row>
    <row r="102" customFormat="false" ht="23.25" hidden="false" customHeight="true" outlineLevel="0" collapsed="false">
      <c r="A102" s="20" t="s">
        <v>674</v>
      </c>
      <c r="B102" s="20" t="s">
        <v>71</v>
      </c>
      <c r="C102" s="20" t="s">
        <v>795</v>
      </c>
      <c r="D102" s="28" t="s">
        <v>796</v>
      </c>
      <c r="E102" s="19" t="s">
        <v>567</v>
      </c>
      <c r="F102" s="19" t="s">
        <v>742</v>
      </c>
      <c r="G102" s="19" t="s">
        <v>743</v>
      </c>
      <c r="H102" s="19" t="s">
        <v>797</v>
      </c>
      <c r="I102" s="21" t="s">
        <v>138</v>
      </c>
      <c r="J102" s="19" t="s">
        <v>165</v>
      </c>
      <c r="K102" s="36" t="s">
        <v>181</v>
      </c>
      <c r="L102" s="36"/>
      <c r="M102" s="36"/>
      <c r="N102" s="18"/>
      <c r="O102" s="35"/>
      <c r="P102" s="35"/>
      <c r="Q102" s="37"/>
      <c r="R102" s="35"/>
      <c r="S102" s="18"/>
      <c r="T102" s="20" t="s">
        <v>798</v>
      </c>
      <c r="U102" s="20" t="s">
        <v>799</v>
      </c>
      <c r="V102" s="18"/>
      <c r="W102" s="18"/>
      <c r="X102" s="27" t="s">
        <v>687</v>
      </c>
    </row>
    <row r="103" customFormat="false" ht="23.25" hidden="false" customHeight="true" outlineLevel="0" collapsed="false">
      <c r="A103" s="20" t="s">
        <v>674</v>
      </c>
      <c r="B103" s="20" t="s">
        <v>71</v>
      </c>
      <c r="C103" s="20" t="s">
        <v>800</v>
      </c>
      <c r="D103" s="28" t="s">
        <v>801</v>
      </c>
      <c r="E103" s="19" t="s">
        <v>567</v>
      </c>
      <c r="F103" s="19" t="s">
        <v>595</v>
      </c>
      <c r="G103" s="19" t="s">
        <v>596</v>
      </c>
      <c r="H103" s="19" t="s">
        <v>802</v>
      </c>
      <c r="I103" s="21" t="s">
        <v>138</v>
      </c>
      <c r="J103" s="19" t="s">
        <v>165</v>
      </c>
      <c r="K103" s="36" t="s">
        <v>181</v>
      </c>
      <c r="L103" s="36"/>
      <c r="M103" s="36"/>
      <c r="N103" s="18"/>
      <c r="O103" s="35"/>
      <c r="P103" s="35"/>
      <c r="Q103" s="37"/>
      <c r="R103" s="35"/>
      <c r="S103" s="18"/>
      <c r="T103" s="20" t="s">
        <v>803</v>
      </c>
      <c r="U103" s="20" t="s">
        <v>804</v>
      </c>
      <c r="V103" s="18"/>
      <c r="W103" s="18"/>
      <c r="X103" s="27" t="s">
        <v>687</v>
      </c>
    </row>
    <row r="104" customFormat="false" ht="23.25" hidden="false" customHeight="true" outlineLevel="0" collapsed="false">
      <c r="A104" s="20" t="s">
        <v>674</v>
      </c>
      <c r="B104" s="20" t="s">
        <v>71</v>
      </c>
      <c r="C104" s="20" t="s">
        <v>805</v>
      </c>
      <c r="D104" s="28" t="s">
        <v>806</v>
      </c>
      <c r="E104" s="19" t="s">
        <v>567</v>
      </c>
      <c r="F104" s="19" t="s">
        <v>742</v>
      </c>
      <c r="G104" s="19" t="s">
        <v>743</v>
      </c>
      <c r="H104" s="19" t="s">
        <v>807</v>
      </c>
      <c r="I104" s="21" t="s">
        <v>138</v>
      </c>
      <c r="J104" s="19" t="s">
        <v>79</v>
      </c>
      <c r="K104" s="36" t="s">
        <v>181</v>
      </c>
      <c r="L104" s="36"/>
      <c r="M104" s="36"/>
      <c r="N104" s="18"/>
      <c r="O104" s="35"/>
      <c r="P104" s="35"/>
      <c r="Q104" s="37"/>
      <c r="R104" s="35"/>
      <c r="S104" s="18"/>
      <c r="T104" s="20" t="s">
        <v>808</v>
      </c>
      <c r="U104" s="20" t="s">
        <v>809</v>
      </c>
      <c r="V104" s="18"/>
      <c r="W104" s="18"/>
      <c r="X104" s="27" t="s">
        <v>687</v>
      </c>
    </row>
    <row r="105" customFormat="false" ht="33.75" hidden="false" customHeight="true" outlineLevel="0" collapsed="false">
      <c r="A105" s="20" t="s">
        <v>674</v>
      </c>
      <c r="B105" s="20" t="s">
        <v>71</v>
      </c>
      <c r="C105" s="20" t="s">
        <v>810</v>
      </c>
      <c r="D105" s="28" t="s">
        <v>811</v>
      </c>
      <c r="E105" s="19" t="s">
        <v>567</v>
      </c>
      <c r="F105" s="19" t="s">
        <v>595</v>
      </c>
      <c r="G105" s="19" t="s">
        <v>596</v>
      </c>
      <c r="H105" s="19" t="s">
        <v>812</v>
      </c>
      <c r="I105" s="21" t="s">
        <v>138</v>
      </c>
      <c r="J105" s="19" t="s">
        <v>79</v>
      </c>
      <c r="K105" s="36" t="s">
        <v>181</v>
      </c>
      <c r="L105" s="36"/>
      <c r="M105" s="36"/>
      <c r="N105" s="18"/>
      <c r="O105" s="35"/>
      <c r="P105" s="35"/>
      <c r="Q105" s="37"/>
      <c r="R105" s="35"/>
      <c r="S105" s="18"/>
      <c r="T105" s="20" t="s">
        <v>813</v>
      </c>
      <c r="U105" s="20" t="s">
        <v>814</v>
      </c>
      <c r="V105" s="18"/>
      <c r="W105" s="18"/>
      <c r="X105" s="27" t="s">
        <v>687</v>
      </c>
    </row>
    <row r="106" customFormat="false" ht="23.25" hidden="false" customHeight="true" outlineLevel="0" collapsed="false">
      <c r="A106" s="20" t="s">
        <v>674</v>
      </c>
      <c r="B106" s="20" t="s">
        <v>71</v>
      </c>
      <c r="C106" s="20" t="s">
        <v>815</v>
      </c>
      <c r="D106" s="28" t="s">
        <v>816</v>
      </c>
      <c r="E106" s="19" t="s">
        <v>567</v>
      </c>
      <c r="F106" s="19" t="s">
        <v>595</v>
      </c>
      <c r="G106" s="19" t="s">
        <v>596</v>
      </c>
      <c r="H106" s="19" t="s">
        <v>817</v>
      </c>
      <c r="I106" s="21" t="s">
        <v>138</v>
      </c>
      <c r="J106" s="19" t="s">
        <v>79</v>
      </c>
      <c r="K106" s="36" t="s">
        <v>181</v>
      </c>
      <c r="L106" s="36"/>
      <c r="M106" s="36"/>
      <c r="N106" s="18"/>
      <c r="O106" s="35"/>
      <c r="P106" s="35"/>
      <c r="Q106" s="37"/>
      <c r="R106" s="35"/>
      <c r="S106" s="18"/>
      <c r="T106" s="20" t="s">
        <v>818</v>
      </c>
      <c r="U106" s="20" t="s">
        <v>819</v>
      </c>
      <c r="V106" s="18"/>
      <c r="W106" s="18"/>
      <c r="X106" s="27" t="s">
        <v>687</v>
      </c>
    </row>
    <row r="107" customFormat="false" ht="33.75" hidden="false" customHeight="true" outlineLevel="0" collapsed="false">
      <c r="A107" s="20" t="s">
        <v>674</v>
      </c>
      <c r="B107" s="20" t="s">
        <v>71</v>
      </c>
      <c r="C107" s="20" t="s">
        <v>820</v>
      </c>
      <c r="D107" s="28" t="s">
        <v>821</v>
      </c>
      <c r="E107" s="19" t="s">
        <v>567</v>
      </c>
      <c r="F107" s="19" t="s">
        <v>725</v>
      </c>
      <c r="G107" s="19" t="s">
        <v>726</v>
      </c>
      <c r="H107" s="19" t="s">
        <v>822</v>
      </c>
      <c r="I107" s="21" t="s">
        <v>138</v>
      </c>
      <c r="J107" s="19" t="s">
        <v>79</v>
      </c>
      <c r="K107" s="36" t="s">
        <v>181</v>
      </c>
      <c r="L107" s="36"/>
      <c r="M107" s="36"/>
      <c r="N107" s="18"/>
      <c r="O107" s="35"/>
      <c r="P107" s="35"/>
      <c r="Q107" s="37"/>
      <c r="R107" s="35"/>
      <c r="S107" s="18"/>
      <c r="T107" s="20" t="s">
        <v>823</v>
      </c>
      <c r="U107" s="20" t="s">
        <v>824</v>
      </c>
      <c r="V107" s="18"/>
      <c r="W107" s="18"/>
      <c r="X107" s="27" t="s">
        <v>687</v>
      </c>
    </row>
    <row r="108" customFormat="false" ht="23.25" hidden="false" customHeight="true" outlineLevel="0" collapsed="false">
      <c r="A108" s="20" t="s">
        <v>674</v>
      </c>
      <c r="B108" s="20" t="s">
        <v>71</v>
      </c>
      <c r="C108" s="20" t="s">
        <v>825</v>
      </c>
      <c r="D108" s="28" t="s">
        <v>826</v>
      </c>
      <c r="E108" s="19" t="s">
        <v>567</v>
      </c>
      <c r="F108" s="19" t="s">
        <v>677</v>
      </c>
      <c r="G108" s="19" t="s">
        <v>678</v>
      </c>
      <c r="H108" s="19" t="s">
        <v>827</v>
      </c>
      <c r="I108" s="21" t="s">
        <v>138</v>
      </c>
      <c r="J108" s="19" t="s">
        <v>165</v>
      </c>
      <c r="K108" s="36" t="s">
        <v>181</v>
      </c>
      <c r="L108" s="36"/>
      <c r="M108" s="36"/>
      <c r="N108" s="18"/>
      <c r="O108" s="35"/>
      <c r="P108" s="35"/>
      <c r="Q108" s="37"/>
      <c r="R108" s="35"/>
      <c r="S108" s="18"/>
      <c r="T108" s="20" t="s">
        <v>828</v>
      </c>
      <c r="U108" s="20" t="s">
        <v>829</v>
      </c>
      <c r="V108" s="18"/>
      <c r="W108" s="18"/>
      <c r="X108" s="27" t="s">
        <v>687</v>
      </c>
    </row>
    <row r="109" customFormat="false" ht="23.25" hidden="false" customHeight="true" outlineLevel="0" collapsed="false">
      <c r="A109" s="20" t="s">
        <v>674</v>
      </c>
      <c r="B109" s="20" t="s">
        <v>71</v>
      </c>
      <c r="C109" s="20" t="s">
        <v>830</v>
      </c>
      <c r="D109" s="28" t="s">
        <v>831</v>
      </c>
      <c r="E109" s="19" t="s">
        <v>567</v>
      </c>
      <c r="F109" s="19" t="s">
        <v>677</v>
      </c>
      <c r="G109" s="19" t="s">
        <v>678</v>
      </c>
      <c r="H109" s="19" t="s">
        <v>832</v>
      </c>
      <c r="I109" s="21" t="s">
        <v>138</v>
      </c>
      <c r="J109" s="19" t="s">
        <v>165</v>
      </c>
      <c r="K109" s="36" t="s">
        <v>181</v>
      </c>
      <c r="L109" s="36"/>
      <c r="M109" s="36"/>
      <c r="N109" s="18"/>
      <c r="O109" s="35"/>
      <c r="P109" s="35"/>
      <c r="Q109" s="37"/>
      <c r="R109" s="35"/>
      <c r="S109" s="18"/>
      <c r="T109" s="20" t="s">
        <v>833</v>
      </c>
      <c r="U109" s="20" t="s">
        <v>834</v>
      </c>
      <c r="V109" s="18"/>
      <c r="W109" s="18"/>
      <c r="X109" s="27" t="s">
        <v>687</v>
      </c>
    </row>
    <row r="110" customFormat="false" ht="23.25" hidden="false" customHeight="true" outlineLevel="0" collapsed="false">
      <c r="A110" s="20" t="s">
        <v>674</v>
      </c>
      <c r="B110" s="20" t="s">
        <v>71</v>
      </c>
      <c r="C110" s="20" t="s">
        <v>835</v>
      </c>
      <c r="D110" s="28" t="s">
        <v>836</v>
      </c>
      <c r="E110" s="19" t="s">
        <v>567</v>
      </c>
      <c r="F110" s="19" t="s">
        <v>837</v>
      </c>
      <c r="G110" s="19" t="s">
        <v>838</v>
      </c>
      <c r="H110" s="19" t="s">
        <v>839</v>
      </c>
      <c r="I110" s="21" t="s">
        <v>138</v>
      </c>
      <c r="J110" s="19" t="s">
        <v>165</v>
      </c>
      <c r="K110" s="36" t="s">
        <v>181</v>
      </c>
      <c r="L110" s="36"/>
      <c r="M110" s="36"/>
      <c r="N110" s="18"/>
      <c r="O110" s="35"/>
      <c r="P110" s="35"/>
      <c r="Q110" s="37"/>
      <c r="R110" s="35"/>
      <c r="S110" s="18"/>
      <c r="T110" s="20" t="s">
        <v>840</v>
      </c>
      <c r="U110" s="20" t="s">
        <v>841</v>
      </c>
      <c r="V110" s="18"/>
      <c r="W110" s="18"/>
      <c r="X110" s="27" t="s">
        <v>687</v>
      </c>
    </row>
    <row r="111" customFormat="false" ht="23.25" hidden="false" customHeight="true" outlineLevel="0" collapsed="false">
      <c r="A111" s="20" t="s">
        <v>674</v>
      </c>
      <c r="B111" s="20" t="s">
        <v>71</v>
      </c>
      <c r="C111" s="20" t="s">
        <v>842</v>
      </c>
      <c r="D111" s="28" t="s">
        <v>843</v>
      </c>
      <c r="E111" s="19" t="s">
        <v>567</v>
      </c>
      <c r="F111" s="19" t="s">
        <v>677</v>
      </c>
      <c r="G111" s="19" t="s">
        <v>678</v>
      </c>
      <c r="H111" s="19" t="s">
        <v>844</v>
      </c>
      <c r="I111" s="21" t="s">
        <v>138</v>
      </c>
      <c r="J111" s="19" t="s">
        <v>165</v>
      </c>
      <c r="K111" s="36" t="s">
        <v>181</v>
      </c>
      <c r="L111" s="36"/>
      <c r="M111" s="36"/>
      <c r="N111" s="18"/>
      <c r="O111" s="35"/>
      <c r="P111" s="35"/>
      <c r="Q111" s="37"/>
      <c r="R111" s="35"/>
      <c r="S111" s="18"/>
      <c r="T111" s="20" t="s">
        <v>845</v>
      </c>
      <c r="U111" s="20" t="s">
        <v>846</v>
      </c>
      <c r="V111" s="18"/>
      <c r="W111" s="18"/>
      <c r="X111" s="27" t="s">
        <v>687</v>
      </c>
    </row>
    <row r="112" customFormat="false" ht="23.25" hidden="false" customHeight="true" outlineLevel="0" collapsed="false">
      <c r="A112" s="20" t="s">
        <v>674</v>
      </c>
      <c r="B112" s="20" t="s">
        <v>71</v>
      </c>
      <c r="C112" s="20" t="s">
        <v>847</v>
      </c>
      <c r="D112" s="28" t="s">
        <v>848</v>
      </c>
      <c r="E112" s="19" t="s">
        <v>567</v>
      </c>
      <c r="F112" s="19" t="s">
        <v>677</v>
      </c>
      <c r="G112" s="19" t="s">
        <v>678</v>
      </c>
      <c r="H112" s="19" t="s">
        <v>849</v>
      </c>
      <c r="I112" s="21" t="s">
        <v>138</v>
      </c>
      <c r="J112" s="19" t="s">
        <v>165</v>
      </c>
      <c r="K112" s="36" t="s">
        <v>181</v>
      </c>
      <c r="L112" s="36"/>
      <c r="M112" s="36"/>
      <c r="N112" s="18"/>
      <c r="O112" s="35"/>
      <c r="P112" s="35"/>
      <c r="Q112" s="37"/>
      <c r="R112" s="35"/>
      <c r="S112" s="18"/>
      <c r="T112" s="20" t="s">
        <v>850</v>
      </c>
      <c r="U112" s="20" t="s">
        <v>851</v>
      </c>
      <c r="V112" s="18"/>
      <c r="W112" s="18"/>
      <c r="X112" s="27" t="s">
        <v>687</v>
      </c>
    </row>
    <row r="113" customFormat="false" ht="23.25" hidden="false" customHeight="true" outlineLevel="0" collapsed="false">
      <c r="A113" s="20" t="s">
        <v>674</v>
      </c>
      <c r="B113" s="20" t="s">
        <v>71</v>
      </c>
      <c r="C113" s="20" t="s">
        <v>852</v>
      </c>
      <c r="D113" s="28" t="s">
        <v>853</v>
      </c>
      <c r="E113" s="19" t="s">
        <v>567</v>
      </c>
      <c r="F113" s="19" t="s">
        <v>837</v>
      </c>
      <c r="G113" s="19" t="s">
        <v>838</v>
      </c>
      <c r="H113" s="19" t="s">
        <v>854</v>
      </c>
      <c r="I113" s="21" t="s">
        <v>138</v>
      </c>
      <c r="J113" s="19" t="s">
        <v>165</v>
      </c>
      <c r="K113" s="36" t="s">
        <v>181</v>
      </c>
      <c r="L113" s="36"/>
      <c r="M113" s="36"/>
      <c r="N113" s="18"/>
      <c r="O113" s="35"/>
      <c r="P113" s="35"/>
      <c r="Q113" s="37"/>
      <c r="R113" s="35"/>
      <c r="S113" s="18"/>
      <c r="T113" s="20" t="s">
        <v>855</v>
      </c>
      <c r="U113" s="20" t="s">
        <v>856</v>
      </c>
      <c r="V113" s="18"/>
      <c r="W113" s="18"/>
      <c r="X113" s="27" t="s">
        <v>687</v>
      </c>
    </row>
    <row r="114" customFormat="false" ht="23.25" hidden="false" customHeight="true" outlineLevel="0" collapsed="false">
      <c r="A114" s="20" t="s">
        <v>674</v>
      </c>
      <c r="B114" s="20" t="s">
        <v>71</v>
      </c>
      <c r="C114" s="20" t="s">
        <v>857</v>
      </c>
      <c r="D114" s="28" t="s">
        <v>858</v>
      </c>
      <c r="E114" s="19" t="s">
        <v>567</v>
      </c>
      <c r="F114" s="19" t="s">
        <v>837</v>
      </c>
      <c r="G114" s="19" t="s">
        <v>838</v>
      </c>
      <c r="H114" s="19" t="s">
        <v>859</v>
      </c>
      <c r="I114" s="21" t="s">
        <v>138</v>
      </c>
      <c r="J114" s="19" t="s">
        <v>165</v>
      </c>
      <c r="K114" s="36" t="s">
        <v>181</v>
      </c>
      <c r="L114" s="36"/>
      <c r="M114" s="36"/>
      <c r="N114" s="18"/>
      <c r="O114" s="35"/>
      <c r="P114" s="35"/>
      <c r="Q114" s="37"/>
      <c r="R114" s="35"/>
      <c r="S114" s="18"/>
      <c r="T114" s="20" t="s">
        <v>860</v>
      </c>
      <c r="U114" s="20" t="s">
        <v>861</v>
      </c>
      <c r="V114" s="18"/>
      <c r="W114" s="18"/>
      <c r="X114" s="27" t="s">
        <v>687</v>
      </c>
    </row>
    <row r="115" customFormat="false" ht="23.25" hidden="false" customHeight="true" outlineLevel="0" collapsed="false">
      <c r="A115" s="20" t="s">
        <v>674</v>
      </c>
      <c r="B115" s="20" t="s">
        <v>71</v>
      </c>
      <c r="C115" s="20" t="s">
        <v>862</v>
      </c>
      <c r="D115" s="28" t="s">
        <v>863</v>
      </c>
      <c r="E115" s="19" t="s">
        <v>567</v>
      </c>
      <c r="F115" s="19" t="s">
        <v>677</v>
      </c>
      <c r="G115" s="19" t="s">
        <v>678</v>
      </c>
      <c r="H115" s="19" t="s">
        <v>864</v>
      </c>
      <c r="I115" s="21" t="s">
        <v>138</v>
      </c>
      <c r="J115" s="19" t="s">
        <v>165</v>
      </c>
      <c r="K115" s="36" t="s">
        <v>181</v>
      </c>
      <c r="L115" s="36"/>
      <c r="M115" s="36"/>
      <c r="N115" s="18"/>
      <c r="O115" s="35"/>
      <c r="P115" s="35"/>
      <c r="Q115" s="37"/>
      <c r="R115" s="35"/>
      <c r="S115" s="18"/>
      <c r="T115" s="20" t="s">
        <v>845</v>
      </c>
      <c r="U115" s="20" t="s">
        <v>865</v>
      </c>
      <c r="V115" s="18"/>
      <c r="W115" s="18"/>
      <c r="X115" s="27" t="s">
        <v>687</v>
      </c>
    </row>
    <row r="116" customFormat="false" ht="23.25" hidden="false" customHeight="true" outlineLevel="0" collapsed="false">
      <c r="A116" s="20" t="s">
        <v>674</v>
      </c>
      <c r="B116" s="20" t="s">
        <v>71</v>
      </c>
      <c r="C116" s="20" t="s">
        <v>866</v>
      </c>
      <c r="D116" s="28" t="s">
        <v>867</v>
      </c>
      <c r="E116" s="19" t="s">
        <v>567</v>
      </c>
      <c r="F116" s="19" t="s">
        <v>837</v>
      </c>
      <c r="G116" s="19" t="s">
        <v>838</v>
      </c>
      <c r="H116" s="19" t="s">
        <v>868</v>
      </c>
      <c r="I116" s="21" t="s">
        <v>138</v>
      </c>
      <c r="J116" s="19" t="s">
        <v>165</v>
      </c>
      <c r="K116" s="36" t="s">
        <v>181</v>
      </c>
      <c r="L116" s="36"/>
      <c r="M116" s="36"/>
      <c r="N116" s="18"/>
      <c r="O116" s="35"/>
      <c r="P116" s="35"/>
      <c r="Q116" s="37"/>
      <c r="R116" s="35"/>
      <c r="S116" s="18"/>
      <c r="T116" s="20" t="s">
        <v>869</v>
      </c>
      <c r="U116" s="20" t="s">
        <v>870</v>
      </c>
      <c r="V116" s="18"/>
      <c r="W116" s="18"/>
      <c r="X116" s="27" t="s">
        <v>687</v>
      </c>
    </row>
    <row r="117" customFormat="false" ht="33.75" hidden="false" customHeight="true" outlineLevel="0" collapsed="false">
      <c r="A117" s="20" t="s">
        <v>674</v>
      </c>
      <c r="B117" s="20" t="s">
        <v>71</v>
      </c>
      <c r="C117" s="20" t="s">
        <v>871</v>
      </c>
      <c r="D117" s="28" t="s">
        <v>872</v>
      </c>
      <c r="E117" s="19" t="s">
        <v>567</v>
      </c>
      <c r="F117" s="19" t="s">
        <v>873</v>
      </c>
      <c r="G117" s="19" t="s">
        <v>596</v>
      </c>
      <c r="H117" s="19" t="s">
        <v>874</v>
      </c>
      <c r="I117" s="21" t="s">
        <v>138</v>
      </c>
      <c r="J117" s="19" t="s">
        <v>79</v>
      </c>
      <c r="K117" s="36" t="s">
        <v>181</v>
      </c>
      <c r="L117" s="36"/>
      <c r="M117" s="36"/>
      <c r="N117" s="18"/>
      <c r="O117" s="35"/>
      <c r="P117" s="35"/>
      <c r="Q117" s="37"/>
      <c r="R117" s="35"/>
      <c r="S117" s="18"/>
      <c r="T117" s="20" t="s">
        <v>875</v>
      </c>
      <c r="U117" s="20" t="s">
        <v>876</v>
      </c>
      <c r="V117" s="18"/>
      <c r="W117" s="18"/>
      <c r="X117" s="27" t="s">
        <v>687</v>
      </c>
    </row>
    <row r="118" customFormat="false" ht="23.25" hidden="false" customHeight="true" outlineLevel="0" collapsed="false">
      <c r="A118" s="20" t="s">
        <v>674</v>
      </c>
      <c r="B118" s="20" t="s">
        <v>71</v>
      </c>
      <c r="C118" s="20" t="s">
        <v>877</v>
      </c>
      <c r="D118" s="28" t="s">
        <v>878</v>
      </c>
      <c r="E118" s="19" t="s">
        <v>567</v>
      </c>
      <c r="F118" s="19" t="s">
        <v>873</v>
      </c>
      <c r="G118" s="19" t="s">
        <v>596</v>
      </c>
      <c r="H118" s="19" t="s">
        <v>879</v>
      </c>
      <c r="I118" s="21" t="s">
        <v>138</v>
      </c>
      <c r="J118" s="19" t="s">
        <v>165</v>
      </c>
      <c r="K118" s="36" t="s">
        <v>181</v>
      </c>
      <c r="L118" s="36"/>
      <c r="M118" s="36"/>
      <c r="N118" s="18"/>
      <c r="O118" s="35"/>
      <c r="P118" s="35"/>
      <c r="Q118" s="37"/>
      <c r="R118" s="35"/>
      <c r="S118" s="18"/>
      <c r="T118" s="20" t="s">
        <v>728</v>
      </c>
      <c r="U118" s="20" t="s">
        <v>880</v>
      </c>
      <c r="V118" s="18"/>
      <c r="W118" s="18"/>
      <c r="X118" s="27" t="s">
        <v>687</v>
      </c>
    </row>
    <row r="119" customFormat="false" ht="22.5" hidden="false" customHeight="true" outlineLevel="0" collapsed="false">
      <c r="A119" s="20" t="s">
        <v>674</v>
      </c>
      <c r="B119" s="20" t="s">
        <v>71</v>
      </c>
      <c r="C119" s="20" t="s">
        <v>881</v>
      </c>
      <c r="D119" s="28" t="s">
        <v>882</v>
      </c>
      <c r="E119" s="19" t="s">
        <v>567</v>
      </c>
      <c r="F119" s="19" t="s">
        <v>873</v>
      </c>
      <c r="G119" s="19" t="s">
        <v>596</v>
      </c>
      <c r="H119" s="19" t="s">
        <v>883</v>
      </c>
      <c r="I119" s="21" t="s">
        <v>138</v>
      </c>
      <c r="J119" s="19" t="s">
        <v>79</v>
      </c>
      <c r="K119" s="36" t="s">
        <v>181</v>
      </c>
      <c r="L119" s="36"/>
      <c r="M119" s="36"/>
      <c r="N119" s="18"/>
      <c r="O119" s="35"/>
      <c r="P119" s="35"/>
      <c r="Q119" s="37"/>
      <c r="R119" s="35"/>
      <c r="S119" s="18"/>
      <c r="T119" s="20" t="s">
        <v>884</v>
      </c>
      <c r="U119" s="20" t="s">
        <v>885</v>
      </c>
      <c r="V119" s="18"/>
      <c r="W119" s="18"/>
      <c r="X119" s="27" t="s">
        <v>687</v>
      </c>
    </row>
    <row r="120" customFormat="false" ht="22.5" hidden="false" customHeight="true" outlineLevel="0" collapsed="false">
      <c r="A120" s="20" t="s">
        <v>674</v>
      </c>
      <c r="B120" s="20" t="s">
        <v>71</v>
      </c>
      <c r="C120" s="20" t="s">
        <v>886</v>
      </c>
      <c r="D120" s="28" t="s">
        <v>887</v>
      </c>
      <c r="E120" s="19" t="s">
        <v>567</v>
      </c>
      <c r="F120" s="19" t="s">
        <v>873</v>
      </c>
      <c r="G120" s="19" t="s">
        <v>596</v>
      </c>
      <c r="H120" s="19" t="s">
        <v>888</v>
      </c>
      <c r="I120" s="21" t="s">
        <v>138</v>
      </c>
      <c r="J120" s="19" t="s">
        <v>79</v>
      </c>
      <c r="K120" s="36" t="s">
        <v>181</v>
      </c>
      <c r="L120" s="36"/>
      <c r="M120" s="36"/>
      <c r="N120" s="18"/>
      <c r="O120" s="35"/>
      <c r="P120" s="35"/>
      <c r="Q120" s="37"/>
      <c r="R120" s="35"/>
      <c r="S120" s="18"/>
      <c r="T120" s="20" t="s">
        <v>889</v>
      </c>
      <c r="U120" s="20" t="s">
        <v>890</v>
      </c>
      <c r="V120" s="18"/>
      <c r="W120" s="18"/>
      <c r="X120" s="27" t="s">
        <v>687</v>
      </c>
    </row>
    <row r="121" customFormat="false" ht="33.75" hidden="false" customHeight="true" outlineLevel="0" collapsed="false">
      <c r="A121" s="20" t="s">
        <v>674</v>
      </c>
      <c r="B121" s="20" t="s">
        <v>71</v>
      </c>
      <c r="C121" s="20" t="s">
        <v>891</v>
      </c>
      <c r="D121" s="28" t="s">
        <v>892</v>
      </c>
      <c r="E121" s="19" t="s">
        <v>616</v>
      </c>
      <c r="F121" s="19" t="s">
        <v>617</v>
      </c>
      <c r="G121" s="19" t="s">
        <v>893</v>
      </c>
      <c r="H121" s="19" t="s">
        <v>894</v>
      </c>
      <c r="I121" s="21" t="s">
        <v>138</v>
      </c>
      <c r="J121" s="19" t="s">
        <v>79</v>
      </c>
      <c r="K121" s="36" t="s">
        <v>181</v>
      </c>
      <c r="L121" s="36"/>
      <c r="M121" s="36"/>
      <c r="N121" s="18"/>
      <c r="O121" s="35"/>
      <c r="P121" s="35"/>
      <c r="Q121" s="37"/>
      <c r="R121" s="35"/>
      <c r="S121" s="18"/>
      <c r="T121" s="20" t="s">
        <v>895</v>
      </c>
      <c r="U121" s="20" t="s">
        <v>896</v>
      </c>
      <c r="V121" s="18"/>
      <c r="W121" s="18"/>
      <c r="X121" s="27" t="s">
        <v>687</v>
      </c>
    </row>
    <row r="122" customFormat="false" ht="23.25" hidden="false" customHeight="true" outlineLevel="0" collapsed="false">
      <c r="A122" s="20" t="s">
        <v>674</v>
      </c>
      <c r="B122" s="20" t="s">
        <v>71</v>
      </c>
      <c r="C122" s="20" t="s">
        <v>897</v>
      </c>
      <c r="D122" s="28" t="s">
        <v>898</v>
      </c>
      <c r="E122" s="19" t="s">
        <v>616</v>
      </c>
      <c r="F122" s="19" t="s">
        <v>617</v>
      </c>
      <c r="G122" s="19" t="s">
        <v>899</v>
      </c>
      <c r="H122" s="19" t="s">
        <v>894</v>
      </c>
      <c r="I122" s="21" t="s">
        <v>138</v>
      </c>
      <c r="J122" s="19" t="s">
        <v>79</v>
      </c>
      <c r="K122" s="36" t="s">
        <v>181</v>
      </c>
      <c r="L122" s="36"/>
      <c r="M122" s="36"/>
      <c r="N122" s="18"/>
      <c r="O122" s="35"/>
      <c r="P122" s="35"/>
      <c r="Q122" s="37"/>
      <c r="R122" s="35"/>
      <c r="S122" s="18"/>
      <c r="T122" s="20" t="s">
        <v>895</v>
      </c>
      <c r="U122" s="20" t="s">
        <v>900</v>
      </c>
      <c r="V122" s="18"/>
      <c r="W122" s="18"/>
      <c r="X122" s="27" t="s">
        <v>687</v>
      </c>
    </row>
    <row r="123" customFormat="false" ht="33.75" hidden="false" customHeight="true" outlineLevel="0" collapsed="false">
      <c r="A123" s="20" t="s">
        <v>674</v>
      </c>
      <c r="B123" s="20" t="s">
        <v>71</v>
      </c>
      <c r="C123" s="20" t="s">
        <v>901</v>
      </c>
      <c r="D123" s="28" t="s">
        <v>892</v>
      </c>
      <c r="E123" s="19" t="s">
        <v>616</v>
      </c>
      <c r="F123" s="19" t="s">
        <v>617</v>
      </c>
      <c r="G123" s="19" t="s">
        <v>893</v>
      </c>
      <c r="H123" s="19" t="s">
        <v>894</v>
      </c>
      <c r="I123" s="21" t="s">
        <v>138</v>
      </c>
      <c r="J123" s="19" t="s">
        <v>79</v>
      </c>
      <c r="K123" s="36" t="s">
        <v>181</v>
      </c>
      <c r="L123" s="36"/>
      <c r="M123" s="36"/>
      <c r="N123" s="18"/>
      <c r="O123" s="35"/>
      <c r="P123" s="35"/>
      <c r="Q123" s="37"/>
      <c r="R123" s="35"/>
      <c r="S123" s="18"/>
      <c r="T123" s="20" t="s">
        <v>895</v>
      </c>
      <c r="U123" s="20" t="s">
        <v>902</v>
      </c>
      <c r="V123" s="18"/>
      <c r="W123" s="18"/>
      <c r="X123" s="27" t="s">
        <v>687</v>
      </c>
    </row>
    <row r="124" customFormat="false" ht="23.25" hidden="false" customHeight="true" outlineLevel="0" collapsed="false">
      <c r="A124" s="20" t="s">
        <v>674</v>
      </c>
      <c r="B124" s="20" t="s">
        <v>71</v>
      </c>
      <c r="C124" s="20" t="s">
        <v>903</v>
      </c>
      <c r="D124" s="28" t="s">
        <v>904</v>
      </c>
      <c r="E124" s="19" t="s">
        <v>616</v>
      </c>
      <c r="F124" s="19" t="s">
        <v>617</v>
      </c>
      <c r="G124" s="19" t="s">
        <v>905</v>
      </c>
      <c r="H124" s="19" t="s">
        <v>894</v>
      </c>
      <c r="I124" s="21" t="s">
        <v>138</v>
      </c>
      <c r="J124" s="19" t="s">
        <v>79</v>
      </c>
      <c r="K124" s="36" t="s">
        <v>181</v>
      </c>
      <c r="L124" s="36"/>
      <c r="M124" s="36"/>
      <c r="N124" s="18"/>
      <c r="O124" s="35"/>
      <c r="P124" s="35"/>
      <c r="Q124" s="37"/>
      <c r="R124" s="35"/>
      <c r="S124" s="18"/>
      <c r="T124" s="20" t="s">
        <v>895</v>
      </c>
      <c r="U124" s="20" t="s">
        <v>906</v>
      </c>
      <c r="V124" s="18"/>
      <c r="W124" s="18"/>
      <c r="X124" s="27" t="s">
        <v>687</v>
      </c>
    </row>
    <row r="125" customFormat="false" ht="23.25" hidden="false" customHeight="true" outlineLevel="0" collapsed="false">
      <c r="A125" s="20" t="s">
        <v>674</v>
      </c>
      <c r="B125" s="20" t="s">
        <v>71</v>
      </c>
      <c r="C125" s="20" t="s">
        <v>907</v>
      </c>
      <c r="D125" s="28" t="s">
        <v>904</v>
      </c>
      <c r="E125" s="19" t="s">
        <v>616</v>
      </c>
      <c r="F125" s="19" t="s">
        <v>617</v>
      </c>
      <c r="G125" s="19" t="s">
        <v>905</v>
      </c>
      <c r="H125" s="19" t="s">
        <v>894</v>
      </c>
      <c r="I125" s="21" t="s">
        <v>138</v>
      </c>
      <c r="J125" s="19" t="s">
        <v>79</v>
      </c>
      <c r="K125" s="36" t="s">
        <v>181</v>
      </c>
      <c r="L125" s="36"/>
      <c r="M125" s="36"/>
      <c r="N125" s="18"/>
      <c r="O125" s="35"/>
      <c r="P125" s="35"/>
      <c r="Q125" s="37"/>
      <c r="R125" s="35"/>
      <c r="S125" s="18"/>
      <c r="T125" s="20" t="s">
        <v>895</v>
      </c>
      <c r="U125" s="20" t="s">
        <v>908</v>
      </c>
      <c r="V125" s="18"/>
      <c r="W125" s="18"/>
      <c r="X125" s="27" t="s">
        <v>687</v>
      </c>
    </row>
    <row r="126" customFormat="false" ht="23.25" hidden="false" customHeight="true" outlineLevel="0" collapsed="false">
      <c r="A126" s="20" t="s">
        <v>674</v>
      </c>
      <c r="B126" s="20" t="s">
        <v>71</v>
      </c>
      <c r="C126" s="20" t="s">
        <v>909</v>
      </c>
      <c r="D126" s="28" t="s">
        <v>910</v>
      </c>
      <c r="E126" s="19" t="s">
        <v>911</v>
      </c>
      <c r="F126" s="19" t="s">
        <v>912</v>
      </c>
      <c r="G126" s="19" t="s">
        <v>913</v>
      </c>
      <c r="H126" s="19" t="s">
        <v>914</v>
      </c>
      <c r="I126" s="21" t="s">
        <v>138</v>
      </c>
      <c r="J126" s="19" t="s">
        <v>79</v>
      </c>
      <c r="K126" s="36" t="s">
        <v>181</v>
      </c>
      <c r="L126" s="36"/>
      <c r="M126" s="36"/>
      <c r="N126" s="18"/>
      <c r="O126" s="35"/>
      <c r="P126" s="35"/>
      <c r="Q126" s="37"/>
      <c r="R126" s="35"/>
      <c r="S126" s="18"/>
      <c r="T126" s="20" t="s">
        <v>840</v>
      </c>
      <c r="U126" s="20" t="s">
        <v>915</v>
      </c>
      <c r="V126" s="26" t="s">
        <v>916</v>
      </c>
      <c r="W126" s="18"/>
      <c r="X126" s="27" t="s">
        <v>687</v>
      </c>
    </row>
    <row r="127" customFormat="false" ht="23.25" hidden="false" customHeight="true" outlineLevel="0" collapsed="false">
      <c r="A127" s="20" t="s">
        <v>674</v>
      </c>
      <c r="B127" s="20" t="s">
        <v>71</v>
      </c>
      <c r="C127" s="20" t="s">
        <v>917</v>
      </c>
      <c r="D127" s="28" t="s">
        <v>918</v>
      </c>
      <c r="E127" s="19" t="s">
        <v>911</v>
      </c>
      <c r="F127" s="19" t="s">
        <v>912</v>
      </c>
      <c r="G127" s="19" t="s">
        <v>913</v>
      </c>
      <c r="H127" s="19" t="s">
        <v>919</v>
      </c>
      <c r="I127" s="21" t="s">
        <v>138</v>
      </c>
      <c r="J127" s="19" t="s">
        <v>79</v>
      </c>
      <c r="K127" s="36" t="s">
        <v>181</v>
      </c>
      <c r="L127" s="36"/>
      <c r="M127" s="36"/>
      <c r="N127" s="18"/>
      <c r="O127" s="35"/>
      <c r="P127" s="35"/>
      <c r="Q127" s="37"/>
      <c r="R127" s="35"/>
      <c r="S127" s="18"/>
      <c r="T127" s="20" t="s">
        <v>845</v>
      </c>
      <c r="U127" s="20" t="s">
        <v>920</v>
      </c>
      <c r="V127" s="26" t="s">
        <v>916</v>
      </c>
      <c r="W127" s="18"/>
      <c r="X127" s="27" t="s">
        <v>687</v>
      </c>
    </row>
    <row r="128" customFormat="false" ht="23.25" hidden="false" customHeight="true" outlineLevel="0" collapsed="false">
      <c r="A128" s="20" t="s">
        <v>674</v>
      </c>
      <c r="B128" s="20" t="s">
        <v>71</v>
      </c>
      <c r="C128" s="20" t="s">
        <v>921</v>
      </c>
      <c r="D128" s="28" t="s">
        <v>922</v>
      </c>
      <c r="E128" s="19" t="s">
        <v>911</v>
      </c>
      <c r="F128" s="19" t="s">
        <v>912</v>
      </c>
      <c r="G128" s="19" t="s">
        <v>923</v>
      </c>
      <c r="H128" s="19" t="s">
        <v>914</v>
      </c>
      <c r="I128" s="21" t="s">
        <v>138</v>
      </c>
      <c r="J128" s="19" t="s">
        <v>79</v>
      </c>
      <c r="K128" s="36" t="s">
        <v>181</v>
      </c>
      <c r="L128" s="36"/>
      <c r="M128" s="36"/>
      <c r="N128" s="18"/>
      <c r="O128" s="35"/>
      <c r="P128" s="35"/>
      <c r="Q128" s="37"/>
      <c r="R128" s="35"/>
      <c r="S128" s="18"/>
      <c r="T128" s="20" t="s">
        <v>840</v>
      </c>
      <c r="U128" s="20" t="s">
        <v>924</v>
      </c>
      <c r="V128" s="26" t="s">
        <v>916</v>
      </c>
      <c r="W128" s="18"/>
      <c r="X128" s="27" t="s">
        <v>687</v>
      </c>
    </row>
    <row r="129" customFormat="false" ht="23.25" hidden="false" customHeight="true" outlineLevel="0" collapsed="false">
      <c r="A129" s="20" t="s">
        <v>674</v>
      </c>
      <c r="B129" s="20" t="s">
        <v>71</v>
      </c>
      <c r="C129" s="20" t="s">
        <v>925</v>
      </c>
      <c r="D129" s="28" t="s">
        <v>922</v>
      </c>
      <c r="E129" s="19" t="s">
        <v>911</v>
      </c>
      <c r="F129" s="19" t="s">
        <v>912</v>
      </c>
      <c r="G129" s="19" t="s">
        <v>923</v>
      </c>
      <c r="H129" s="19" t="s">
        <v>914</v>
      </c>
      <c r="I129" s="21" t="s">
        <v>138</v>
      </c>
      <c r="J129" s="19" t="s">
        <v>79</v>
      </c>
      <c r="K129" s="36" t="s">
        <v>181</v>
      </c>
      <c r="L129" s="36"/>
      <c r="M129" s="36"/>
      <c r="N129" s="18"/>
      <c r="O129" s="35"/>
      <c r="P129" s="35"/>
      <c r="Q129" s="37"/>
      <c r="R129" s="35"/>
      <c r="S129" s="18"/>
      <c r="T129" s="20" t="s">
        <v>840</v>
      </c>
      <c r="U129" s="20" t="s">
        <v>926</v>
      </c>
      <c r="V129" s="26" t="s">
        <v>916</v>
      </c>
      <c r="W129" s="18"/>
      <c r="X129" s="27" t="s">
        <v>687</v>
      </c>
    </row>
    <row r="130" customFormat="false" ht="23.25" hidden="false" customHeight="true" outlineLevel="0" collapsed="false">
      <c r="A130" s="20" t="s">
        <v>674</v>
      </c>
      <c r="B130" s="20" t="s">
        <v>71</v>
      </c>
      <c r="C130" s="20" t="s">
        <v>927</v>
      </c>
      <c r="D130" s="28" t="s">
        <v>922</v>
      </c>
      <c r="E130" s="19" t="s">
        <v>911</v>
      </c>
      <c r="F130" s="19" t="s">
        <v>912</v>
      </c>
      <c r="G130" s="19" t="s">
        <v>923</v>
      </c>
      <c r="H130" s="19" t="s">
        <v>914</v>
      </c>
      <c r="I130" s="21" t="s">
        <v>138</v>
      </c>
      <c r="J130" s="19" t="s">
        <v>79</v>
      </c>
      <c r="K130" s="36" t="s">
        <v>181</v>
      </c>
      <c r="L130" s="36"/>
      <c r="M130" s="36"/>
      <c r="N130" s="18"/>
      <c r="O130" s="35"/>
      <c r="P130" s="35"/>
      <c r="Q130" s="37"/>
      <c r="R130" s="35"/>
      <c r="S130" s="18"/>
      <c r="T130" s="20" t="s">
        <v>840</v>
      </c>
      <c r="U130" s="20" t="s">
        <v>928</v>
      </c>
      <c r="V130" s="26" t="s">
        <v>916</v>
      </c>
      <c r="W130" s="18"/>
      <c r="X130" s="27" t="s">
        <v>687</v>
      </c>
    </row>
    <row r="131" customFormat="false" ht="23.25" hidden="false" customHeight="true" outlineLevel="0" collapsed="false">
      <c r="A131" s="20" t="s">
        <v>674</v>
      </c>
      <c r="B131" s="20" t="s">
        <v>71</v>
      </c>
      <c r="C131" s="20" t="s">
        <v>929</v>
      </c>
      <c r="D131" s="28" t="s">
        <v>930</v>
      </c>
      <c r="E131" s="19" t="s">
        <v>911</v>
      </c>
      <c r="F131" s="19" t="s">
        <v>912</v>
      </c>
      <c r="G131" s="19" t="s">
        <v>923</v>
      </c>
      <c r="H131" s="19" t="s">
        <v>931</v>
      </c>
      <c r="I131" s="21" t="s">
        <v>138</v>
      </c>
      <c r="J131" s="19" t="s">
        <v>79</v>
      </c>
      <c r="K131" s="36" t="s">
        <v>181</v>
      </c>
      <c r="L131" s="36"/>
      <c r="M131" s="36"/>
      <c r="N131" s="18"/>
      <c r="O131" s="35"/>
      <c r="P131" s="35"/>
      <c r="Q131" s="37"/>
      <c r="R131" s="35"/>
      <c r="S131" s="18"/>
      <c r="T131" s="20" t="s">
        <v>833</v>
      </c>
      <c r="U131" s="20" t="s">
        <v>932</v>
      </c>
      <c r="V131" s="26" t="s">
        <v>916</v>
      </c>
      <c r="W131" s="18"/>
      <c r="X131" s="27" t="s">
        <v>687</v>
      </c>
    </row>
    <row r="132" customFormat="false" ht="23.25" hidden="false" customHeight="true" outlineLevel="0" collapsed="false">
      <c r="A132" s="20" t="s">
        <v>674</v>
      </c>
      <c r="B132" s="20" t="s">
        <v>71</v>
      </c>
      <c r="C132" s="20" t="s">
        <v>933</v>
      </c>
      <c r="D132" s="28" t="s">
        <v>934</v>
      </c>
      <c r="E132" s="19" t="s">
        <v>911</v>
      </c>
      <c r="F132" s="19" t="s">
        <v>912</v>
      </c>
      <c r="G132" s="19" t="s">
        <v>923</v>
      </c>
      <c r="H132" s="19" t="s">
        <v>935</v>
      </c>
      <c r="I132" s="21" t="s">
        <v>138</v>
      </c>
      <c r="J132" s="19" t="s">
        <v>79</v>
      </c>
      <c r="K132" s="36" t="s">
        <v>181</v>
      </c>
      <c r="L132" s="36"/>
      <c r="M132" s="36"/>
      <c r="N132" s="18"/>
      <c r="O132" s="35"/>
      <c r="P132" s="35"/>
      <c r="Q132" s="37"/>
      <c r="R132" s="35"/>
      <c r="S132" s="18"/>
      <c r="T132" s="20" t="s">
        <v>833</v>
      </c>
      <c r="U132" s="20" t="s">
        <v>936</v>
      </c>
      <c r="V132" s="26" t="s">
        <v>916</v>
      </c>
      <c r="W132" s="18"/>
      <c r="X132" s="27" t="s">
        <v>687</v>
      </c>
    </row>
    <row r="133" customFormat="false" ht="45" hidden="false" customHeight="true" outlineLevel="0" collapsed="false">
      <c r="A133" s="20" t="s">
        <v>674</v>
      </c>
      <c r="B133" s="20" t="s">
        <v>71</v>
      </c>
      <c r="C133" s="20" t="s">
        <v>937</v>
      </c>
      <c r="D133" s="28" t="s">
        <v>938</v>
      </c>
      <c r="E133" s="19" t="s">
        <v>911</v>
      </c>
      <c r="F133" s="19" t="s">
        <v>912</v>
      </c>
      <c r="G133" s="19" t="s">
        <v>939</v>
      </c>
      <c r="H133" s="19" t="s">
        <v>914</v>
      </c>
      <c r="I133" s="21" t="s">
        <v>138</v>
      </c>
      <c r="J133" s="19" t="s">
        <v>79</v>
      </c>
      <c r="K133" s="36" t="s">
        <v>181</v>
      </c>
      <c r="L133" s="36"/>
      <c r="M133" s="36"/>
      <c r="N133" s="18"/>
      <c r="O133" s="35"/>
      <c r="P133" s="35"/>
      <c r="Q133" s="37"/>
      <c r="R133" s="35"/>
      <c r="S133" s="18"/>
      <c r="T133" s="20" t="s">
        <v>840</v>
      </c>
      <c r="U133" s="20" t="s">
        <v>940</v>
      </c>
      <c r="V133" s="26" t="s">
        <v>916</v>
      </c>
      <c r="W133" s="18"/>
      <c r="X133" s="27" t="s">
        <v>687</v>
      </c>
    </row>
    <row r="134" customFormat="false" ht="23.25" hidden="false" customHeight="true" outlineLevel="0" collapsed="false">
      <c r="A134" s="20" t="s">
        <v>674</v>
      </c>
      <c r="B134" s="20" t="s">
        <v>71</v>
      </c>
      <c r="C134" s="20" t="s">
        <v>941</v>
      </c>
      <c r="D134" s="28" t="s">
        <v>942</v>
      </c>
      <c r="E134" s="19" t="s">
        <v>911</v>
      </c>
      <c r="F134" s="19" t="s">
        <v>912</v>
      </c>
      <c r="G134" s="19" t="s">
        <v>923</v>
      </c>
      <c r="H134" s="19" t="s">
        <v>943</v>
      </c>
      <c r="I134" s="21" t="s">
        <v>138</v>
      </c>
      <c r="J134" s="19" t="s">
        <v>79</v>
      </c>
      <c r="K134" s="36" t="s">
        <v>181</v>
      </c>
      <c r="L134" s="36"/>
      <c r="M134" s="36"/>
      <c r="N134" s="18"/>
      <c r="O134" s="35"/>
      <c r="P134" s="35"/>
      <c r="Q134" s="37"/>
      <c r="R134" s="35"/>
      <c r="S134" s="18"/>
      <c r="T134" s="20" t="s">
        <v>840</v>
      </c>
      <c r="U134" s="20" t="s">
        <v>944</v>
      </c>
      <c r="V134" s="26" t="s">
        <v>916</v>
      </c>
      <c r="W134" s="18"/>
      <c r="X134" s="27" t="s">
        <v>687</v>
      </c>
    </row>
    <row r="135" customFormat="false" ht="45.75" hidden="false" customHeight="true" outlineLevel="0" collapsed="false">
      <c r="A135" s="38" t="s">
        <v>945</v>
      </c>
      <c r="B135" s="38" t="s">
        <v>487</v>
      </c>
      <c r="C135" s="38" t="s">
        <v>946</v>
      </c>
      <c r="D135" s="18" t="s">
        <v>947</v>
      </c>
      <c r="E135" s="20" t="s">
        <v>948</v>
      </c>
      <c r="F135" s="20" t="s">
        <v>949</v>
      </c>
      <c r="G135" s="18"/>
      <c r="H135" s="19"/>
      <c r="I135" s="21" t="s">
        <v>138</v>
      </c>
      <c r="J135" s="19"/>
      <c r="K135" s="36" t="s">
        <v>950</v>
      </c>
      <c r="L135" s="36" t="s">
        <v>951</v>
      </c>
      <c r="M135" s="36" t="s">
        <v>952</v>
      </c>
      <c r="N135" s="18"/>
      <c r="O135" s="35"/>
      <c r="P135" s="35"/>
      <c r="Q135" s="37" t="n">
        <v>601341.12</v>
      </c>
      <c r="R135" s="35" t="n">
        <f aca="false">Q135-SUM(P136,P137,P138)</f>
        <v>54399.96</v>
      </c>
      <c r="S135" s="20" t="s">
        <v>953</v>
      </c>
      <c r="T135" s="20" t="s">
        <v>954</v>
      </c>
      <c r="U135" s="18"/>
      <c r="V135" s="26" t="s">
        <v>955</v>
      </c>
      <c r="W135" s="27" t="s">
        <v>956</v>
      </c>
      <c r="X135" s="18" t="s">
        <v>957</v>
      </c>
    </row>
    <row r="136" customFormat="false" ht="45.75" hidden="false" customHeight="true" outlineLevel="0" collapsed="false">
      <c r="A136" s="17" t="s">
        <v>958</v>
      </c>
      <c r="B136" s="17" t="s">
        <v>53</v>
      </c>
      <c r="C136" s="17" t="s">
        <v>959</v>
      </c>
      <c r="D136" s="18" t="s">
        <v>960</v>
      </c>
      <c r="E136" s="20" t="s">
        <v>948</v>
      </c>
      <c r="F136" s="20" t="s">
        <v>961</v>
      </c>
      <c r="G136" s="20" t="s">
        <v>962</v>
      </c>
      <c r="H136" s="19" t="s">
        <v>963</v>
      </c>
      <c r="I136" s="21" t="s">
        <v>138</v>
      </c>
      <c r="J136" s="19" t="s">
        <v>964</v>
      </c>
      <c r="K136" s="36" t="s">
        <v>950</v>
      </c>
      <c r="L136" s="36" t="s">
        <v>951</v>
      </c>
      <c r="M136" s="36" t="s">
        <v>952</v>
      </c>
      <c r="N136" s="18" t="n">
        <v>2</v>
      </c>
      <c r="O136" s="35" t="n">
        <v>124911.76</v>
      </c>
      <c r="P136" s="35" t="n">
        <v>249823.52</v>
      </c>
      <c r="Q136" s="37"/>
      <c r="R136" s="35"/>
      <c r="S136" s="20" t="s">
        <v>965</v>
      </c>
      <c r="T136" s="20" t="s">
        <v>966</v>
      </c>
      <c r="U136" s="20" t="s">
        <v>967</v>
      </c>
      <c r="V136" s="26" t="s">
        <v>968</v>
      </c>
      <c r="W136" s="27" t="s">
        <v>969</v>
      </c>
      <c r="X136" s="18" t="s">
        <v>970</v>
      </c>
    </row>
    <row r="137" customFormat="false" ht="45.75" hidden="false" customHeight="true" outlineLevel="0" collapsed="false">
      <c r="A137" s="17" t="s">
        <v>971</v>
      </c>
      <c r="B137" s="17" t="s">
        <v>53</v>
      </c>
      <c r="C137" s="17" t="s">
        <v>972</v>
      </c>
      <c r="D137" s="18" t="s">
        <v>973</v>
      </c>
      <c r="E137" s="20" t="s">
        <v>948</v>
      </c>
      <c r="F137" s="20" t="s">
        <v>961</v>
      </c>
      <c r="G137" s="20" t="s">
        <v>974</v>
      </c>
      <c r="H137" s="19" t="s">
        <v>963</v>
      </c>
      <c r="I137" s="21" t="s">
        <v>138</v>
      </c>
      <c r="J137" s="19" t="s">
        <v>964</v>
      </c>
      <c r="K137" s="36" t="s">
        <v>950</v>
      </c>
      <c r="L137" s="36" t="s">
        <v>951</v>
      </c>
      <c r="M137" s="36" t="s">
        <v>952</v>
      </c>
      <c r="N137" s="18" t="n">
        <v>2</v>
      </c>
      <c r="O137" s="35" t="n">
        <v>88529.41</v>
      </c>
      <c r="P137" s="35" t="n">
        <v>177058.82</v>
      </c>
      <c r="Q137" s="37"/>
      <c r="R137" s="35"/>
      <c r="S137" s="20" t="s">
        <v>965</v>
      </c>
      <c r="T137" s="20" t="s">
        <v>975</v>
      </c>
      <c r="U137" s="20" t="s">
        <v>967</v>
      </c>
      <c r="V137" s="26" t="s">
        <v>976</v>
      </c>
      <c r="W137" s="27" t="s">
        <v>977</v>
      </c>
      <c r="X137" s="18" t="s">
        <v>978</v>
      </c>
    </row>
    <row r="138" customFormat="false" ht="45.75" hidden="false" customHeight="true" outlineLevel="0" collapsed="false">
      <c r="A138" s="17" t="s">
        <v>979</v>
      </c>
      <c r="B138" s="17" t="s">
        <v>53</v>
      </c>
      <c r="C138" s="17" t="s">
        <v>980</v>
      </c>
      <c r="D138" s="18" t="s">
        <v>981</v>
      </c>
      <c r="E138" s="20" t="s">
        <v>948</v>
      </c>
      <c r="F138" s="20" t="s">
        <v>961</v>
      </c>
      <c r="G138" s="20" t="s">
        <v>982</v>
      </c>
      <c r="H138" s="19" t="s">
        <v>963</v>
      </c>
      <c r="I138" s="21" t="s">
        <v>138</v>
      </c>
      <c r="J138" s="19" t="s">
        <v>964</v>
      </c>
      <c r="K138" s="36" t="s">
        <v>950</v>
      </c>
      <c r="L138" s="36" t="s">
        <v>951</v>
      </c>
      <c r="M138" s="36" t="s">
        <v>952</v>
      </c>
      <c r="N138" s="18" t="n">
        <v>2</v>
      </c>
      <c r="O138" s="35" t="n">
        <v>60029.41</v>
      </c>
      <c r="P138" s="35" t="n">
        <v>120058.82</v>
      </c>
      <c r="Q138" s="37"/>
      <c r="R138" s="35"/>
      <c r="S138" s="20" t="s">
        <v>965</v>
      </c>
      <c r="T138" s="20" t="s">
        <v>983</v>
      </c>
      <c r="U138" s="20" t="s">
        <v>967</v>
      </c>
      <c r="V138" s="26" t="s">
        <v>984</v>
      </c>
      <c r="W138" s="27" t="s">
        <v>985</v>
      </c>
      <c r="X138" s="18" t="s">
        <v>986</v>
      </c>
    </row>
    <row r="139" customFormat="false" ht="159.75" hidden="false" customHeight="true" outlineLevel="0" collapsed="false">
      <c r="A139" s="17" t="s">
        <v>987</v>
      </c>
      <c r="B139" s="17" t="s">
        <v>53</v>
      </c>
      <c r="C139" s="17" t="s">
        <v>988</v>
      </c>
      <c r="D139" s="18" t="s">
        <v>989</v>
      </c>
      <c r="E139" s="19" t="s">
        <v>990</v>
      </c>
      <c r="F139" s="39" t="s">
        <v>991</v>
      </c>
      <c r="G139" s="39" t="s">
        <v>992</v>
      </c>
      <c r="H139" s="19" t="s">
        <v>993</v>
      </c>
      <c r="I139" s="21" t="s">
        <v>994</v>
      </c>
      <c r="J139" s="19" t="s">
        <v>995</v>
      </c>
      <c r="K139" s="36" t="s">
        <v>996</v>
      </c>
      <c r="L139" s="36" t="s">
        <v>997</v>
      </c>
      <c r="M139" s="36" t="s">
        <v>998</v>
      </c>
      <c r="N139" s="18" t="n">
        <v>1</v>
      </c>
      <c r="O139" s="35" t="n">
        <v>3163087.46</v>
      </c>
      <c r="P139" s="35" t="n">
        <v>3163087.46</v>
      </c>
      <c r="Q139" s="37" t="n">
        <v>3163087.46</v>
      </c>
      <c r="R139" s="35" t="n">
        <f aca="false">Q139-P139</f>
        <v>0</v>
      </c>
      <c r="S139" s="20" t="s">
        <v>999</v>
      </c>
      <c r="T139" s="20" t="s">
        <v>1000</v>
      </c>
      <c r="U139" s="20" t="s">
        <v>1001</v>
      </c>
      <c r="V139" s="26" t="s">
        <v>1002</v>
      </c>
      <c r="W139" s="27" t="s">
        <v>1003</v>
      </c>
      <c r="X139" s="18" t="s">
        <v>1004</v>
      </c>
    </row>
    <row r="140" customFormat="false" ht="69" hidden="false" customHeight="true" outlineLevel="0" collapsed="false">
      <c r="A140" s="20" t="s">
        <v>987</v>
      </c>
      <c r="B140" s="20" t="s">
        <v>71</v>
      </c>
      <c r="C140" s="20" t="s">
        <v>1005</v>
      </c>
      <c r="D140" s="18" t="s">
        <v>1006</v>
      </c>
      <c r="E140" s="19" t="s">
        <v>990</v>
      </c>
      <c r="F140" s="39" t="s">
        <v>1007</v>
      </c>
      <c r="G140" s="19" t="s">
        <v>1008</v>
      </c>
      <c r="H140" s="39" t="s">
        <v>1009</v>
      </c>
      <c r="I140" s="21" t="s">
        <v>1010</v>
      </c>
      <c r="J140" s="19" t="s">
        <v>165</v>
      </c>
      <c r="K140" s="36" t="s">
        <v>181</v>
      </c>
      <c r="L140" s="36"/>
      <c r="M140" s="36"/>
      <c r="N140" s="18"/>
      <c r="O140" s="35"/>
      <c r="P140" s="35"/>
      <c r="Q140" s="37"/>
      <c r="R140" s="35"/>
      <c r="S140" s="18"/>
      <c r="T140" s="20" t="s">
        <v>1011</v>
      </c>
      <c r="U140" s="20" t="s">
        <v>1012</v>
      </c>
      <c r="V140" s="18"/>
      <c r="W140" s="18"/>
      <c r="X140" s="18"/>
    </row>
    <row r="141" customFormat="false" ht="34.5" hidden="false" customHeight="true" outlineLevel="0" collapsed="false">
      <c r="A141" s="20" t="s">
        <v>987</v>
      </c>
      <c r="B141" s="20" t="s">
        <v>71</v>
      </c>
      <c r="C141" s="20" t="s">
        <v>1013</v>
      </c>
      <c r="D141" s="18" t="s">
        <v>1014</v>
      </c>
      <c r="E141" s="19" t="s">
        <v>990</v>
      </c>
      <c r="F141" s="39" t="s">
        <v>1015</v>
      </c>
      <c r="G141" s="19" t="s">
        <v>1016</v>
      </c>
      <c r="H141" s="39" t="s">
        <v>1017</v>
      </c>
      <c r="I141" s="21" t="s">
        <v>138</v>
      </c>
      <c r="J141" s="19" t="s">
        <v>165</v>
      </c>
      <c r="K141" s="36" t="s">
        <v>181</v>
      </c>
      <c r="L141" s="36"/>
      <c r="M141" s="36"/>
      <c r="N141" s="18"/>
      <c r="O141" s="35"/>
      <c r="P141" s="35"/>
      <c r="Q141" s="37"/>
      <c r="R141" s="35"/>
      <c r="S141" s="18"/>
      <c r="T141" s="20" t="s">
        <v>1018</v>
      </c>
      <c r="U141" s="20" t="s">
        <v>1019</v>
      </c>
      <c r="V141" s="18"/>
      <c r="W141" s="18"/>
      <c r="X141" s="18"/>
    </row>
    <row r="142" customFormat="false" ht="34.5" hidden="false" customHeight="true" outlineLevel="0" collapsed="false">
      <c r="A142" s="20" t="s">
        <v>987</v>
      </c>
      <c r="B142" s="20" t="s">
        <v>71</v>
      </c>
      <c r="C142" s="20" t="s">
        <v>1020</v>
      </c>
      <c r="D142" s="18" t="s">
        <v>1021</v>
      </c>
      <c r="E142" s="39" t="s">
        <v>990</v>
      </c>
      <c r="F142" s="39" t="s">
        <v>1022</v>
      </c>
      <c r="G142" s="39" t="s">
        <v>1023</v>
      </c>
      <c r="H142" s="39" t="s">
        <v>1024</v>
      </c>
      <c r="I142" s="21" t="s">
        <v>1025</v>
      </c>
      <c r="J142" s="19" t="s">
        <v>79</v>
      </c>
      <c r="K142" s="36" t="s">
        <v>181</v>
      </c>
      <c r="L142" s="36"/>
      <c r="M142" s="36"/>
      <c r="N142" s="18"/>
      <c r="O142" s="35"/>
      <c r="P142" s="35"/>
      <c r="Q142" s="37"/>
      <c r="R142" s="35"/>
      <c r="S142" s="18"/>
      <c r="T142" s="20" t="s">
        <v>1026</v>
      </c>
      <c r="U142" s="18"/>
      <c r="V142" s="18"/>
      <c r="W142" s="27" t="s">
        <v>1027</v>
      </c>
      <c r="X142" s="18"/>
    </row>
    <row r="143" customFormat="false" ht="57" hidden="false" customHeight="true" outlineLevel="0" collapsed="false">
      <c r="A143" s="20" t="s">
        <v>987</v>
      </c>
      <c r="B143" s="20" t="s">
        <v>71</v>
      </c>
      <c r="C143" s="20" t="s">
        <v>1028</v>
      </c>
      <c r="D143" s="18" t="s">
        <v>1029</v>
      </c>
      <c r="E143" s="19" t="s">
        <v>990</v>
      </c>
      <c r="F143" s="39" t="s">
        <v>1030</v>
      </c>
      <c r="G143" s="19" t="s">
        <v>1031</v>
      </c>
      <c r="H143" s="39" t="s">
        <v>1032</v>
      </c>
      <c r="I143" s="21" t="s">
        <v>1033</v>
      </c>
      <c r="J143" s="19" t="s">
        <v>165</v>
      </c>
      <c r="K143" s="36" t="s">
        <v>181</v>
      </c>
      <c r="L143" s="36"/>
      <c r="M143" s="36"/>
      <c r="N143" s="18"/>
      <c r="O143" s="35"/>
      <c r="P143" s="35"/>
      <c r="Q143" s="37"/>
      <c r="R143" s="35"/>
      <c r="S143" s="18"/>
      <c r="T143" s="20" t="s">
        <v>1034</v>
      </c>
      <c r="U143" s="20" t="s">
        <v>1035</v>
      </c>
      <c r="V143" s="18"/>
      <c r="W143" s="18"/>
      <c r="X143" s="18"/>
    </row>
    <row r="144" customFormat="false" ht="34.5" hidden="false" customHeight="true" outlineLevel="0" collapsed="false">
      <c r="A144" s="20" t="s">
        <v>987</v>
      </c>
      <c r="B144" s="20" t="s">
        <v>71</v>
      </c>
      <c r="C144" s="20" t="s">
        <v>1036</v>
      </c>
      <c r="D144" s="18" t="s">
        <v>1037</v>
      </c>
      <c r="E144" s="39" t="s">
        <v>990</v>
      </c>
      <c r="F144" s="39" t="s">
        <v>1038</v>
      </c>
      <c r="G144" s="39" t="s">
        <v>135</v>
      </c>
      <c r="H144" s="39" t="s">
        <v>1032</v>
      </c>
      <c r="I144" s="21" t="s">
        <v>1033</v>
      </c>
      <c r="J144" s="19" t="s">
        <v>79</v>
      </c>
      <c r="K144" s="36" t="s">
        <v>181</v>
      </c>
      <c r="L144" s="36"/>
      <c r="M144" s="36"/>
      <c r="N144" s="18"/>
      <c r="O144" s="35"/>
      <c r="P144" s="35"/>
      <c r="Q144" s="37"/>
      <c r="R144" s="35"/>
      <c r="S144" s="18"/>
      <c r="T144" s="20" t="s">
        <v>1018</v>
      </c>
      <c r="U144" s="18"/>
      <c r="V144" s="18"/>
      <c r="W144" s="18"/>
      <c r="X144" s="18"/>
    </row>
    <row r="145" customFormat="false" ht="45.75" hidden="false" customHeight="true" outlineLevel="0" collapsed="false">
      <c r="A145" s="20" t="s">
        <v>987</v>
      </c>
      <c r="B145" s="20" t="s">
        <v>71</v>
      </c>
      <c r="C145" s="20" t="s">
        <v>1039</v>
      </c>
      <c r="D145" s="18" t="s">
        <v>1040</v>
      </c>
      <c r="E145" s="19" t="s">
        <v>990</v>
      </c>
      <c r="F145" s="39" t="s">
        <v>1041</v>
      </c>
      <c r="G145" s="19" t="s">
        <v>1042</v>
      </c>
      <c r="H145" s="39" t="s">
        <v>1043</v>
      </c>
      <c r="I145" s="21" t="s">
        <v>1044</v>
      </c>
      <c r="J145" s="19" t="s">
        <v>165</v>
      </c>
      <c r="K145" s="36" t="s">
        <v>181</v>
      </c>
      <c r="L145" s="36"/>
      <c r="M145" s="36"/>
      <c r="N145" s="18"/>
      <c r="O145" s="35"/>
      <c r="P145" s="35"/>
      <c r="Q145" s="37"/>
      <c r="R145" s="35"/>
      <c r="S145" s="18"/>
      <c r="T145" s="20" t="s">
        <v>1045</v>
      </c>
      <c r="U145" s="20" t="s">
        <v>1046</v>
      </c>
      <c r="V145" s="18"/>
      <c r="W145" s="18"/>
      <c r="X145" s="18"/>
    </row>
    <row r="146" customFormat="false" ht="57" hidden="false" customHeight="true" outlineLevel="0" collapsed="false">
      <c r="A146" s="20" t="s">
        <v>987</v>
      </c>
      <c r="B146" s="20" t="s">
        <v>71</v>
      </c>
      <c r="C146" s="20" t="s">
        <v>1047</v>
      </c>
      <c r="D146" s="18" t="s">
        <v>1048</v>
      </c>
      <c r="E146" s="19" t="s">
        <v>1049</v>
      </c>
      <c r="F146" s="39" t="s">
        <v>1050</v>
      </c>
      <c r="G146" s="19" t="s">
        <v>1051</v>
      </c>
      <c r="H146" s="39" t="s">
        <v>1052</v>
      </c>
      <c r="I146" s="21" t="s">
        <v>1053</v>
      </c>
      <c r="J146" s="19" t="s">
        <v>165</v>
      </c>
      <c r="K146" s="36" t="s">
        <v>181</v>
      </c>
      <c r="L146" s="36"/>
      <c r="M146" s="36"/>
      <c r="N146" s="18"/>
      <c r="O146" s="35"/>
      <c r="P146" s="35"/>
      <c r="Q146" s="37"/>
      <c r="R146" s="35"/>
      <c r="S146" s="18"/>
      <c r="T146" s="20" t="s">
        <v>1054</v>
      </c>
      <c r="U146" s="20" t="s">
        <v>1055</v>
      </c>
      <c r="V146" s="18"/>
      <c r="W146" s="27" t="s">
        <v>1056</v>
      </c>
      <c r="X146" s="18"/>
    </row>
    <row r="147" customFormat="false" ht="45.75" hidden="false" customHeight="true" outlineLevel="0" collapsed="false">
      <c r="A147" s="20" t="s">
        <v>987</v>
      </c>
      <c r="B147" s="20" t="s">
        <v>71</v>
      </c>
      <c r="C147" s="20" t="s">
        <v>1057</v>
      </c>
      <c r="D147" s="18" t="s">
        <v>1058</v>
      </c>
      <c r="E147" s="19" t="s">
        <v>990</v>
      </c>
      <c r="F147" s="39" t="s">
        <v>1059</v>
      </c>
      <c r="G147" s="19" t="s">
        <v>1060</v>
      </c>
      <c r="H147" s="39" t="s">
        <v>1061</v>
      </c>
      <c r="I147" s="21" t="s">
        <v>1062</v>
      </c>
      <c r="J147" s="19" t="s">
        <v>165</v>
      </c>
      <c r="K147" s="36" t="s">
        <v>181</v>
      </c>
      <c r="L147" s="36"/>
      <c r="M147" s="36"/>
      <c r="N147" s="18"/>
      <c r="O147" s="35"/>
      <c r="P147" s="35"/>
      <c r="Q147" s="37"/>
      <c r="R147" s="35"/>
      <c r="S147" s="18"/>
      <c r="T147" s="20" t="s">
        <v>1063</v>
      </c>
      <c r="U147" s="20" t="s">
        <v>1064</v>
      </c>
      <c r="V147" s="18"/>
      <c r="W147" s="18"/>
      <c r="X147" s="18"/>
    </row>
    <row r="148" customFormat="false" ht="34.5" hidden="false" customHeight="true" outlineLevel="0" collapsed="false">
      <c r="A148" s="20" t="s">
        <v>987</v>
      </c>
      <c r="B148" s="20" t="s">
        <v>71</v>
      </c>
      <c r="C148" s="20" t="s">
        <v>1065</v>
      </c>
      <c r="D148" s="18" t="s">
        <v>1066</v>
      </c>
      <c r="E148" s="39" t="s">
        <v>990</v>
      </c>
      <c r="F148" s="39" t="s">
        <v>1067</v>
      </c>
      <c r="G148" s="39" t="s">
        <v>1068</v>
      </c>
      <c r="H148" s="39" t="s">
        <v>1069</v>
      </c>
      <c r="I148" s="21" t="s">
        <v>1070</v>
      </c>
      <c r="J148" s="19" t="s">
        <v>79</v>
      </c>
      <c r="K148" s="36" t="s">
        <v>181</v>
      </c>
      <c r="L148" s="36"/>
      <c r="M148" s="36"/>
      <c r="N148" s="18"/>
      <c r="O148" s="35"/>
      <c r="P148" s="35"/>
      <c r="Q148" s="37"/>
      <c r="R148" s="35"/>
      <c r="S148" s="18"/>
      <c r="T148" s="20" t="s">
        <v>1071</v>
      </c>
      <c r="U148" s="18"/>
      <c r="V148" s="18"/>
      <c r="W148" s="18"/>
      <c r="X148" s="18"/>
    </row>
    <row r="149" customFormat="false" ht="45.75" hidden="false" customHeight="true" outlineLevel="0" collapsed="false">
      <c r="A149" s="20" t="s">
        <v>987</v>
      </c>
      <c r="B149" s="20" t="s">
        <v>71</v>
      </c>
      <c r="C149" s="20" t="s">
        <v>1072</v>
      </c>
      <c r="D149" s="18" t="s">
        <v>1073</v>
      </c>
      <c r="E149" s="19" t="s">
        <v>1074</v>
      </c>
      <c r="F149" s="39" t="s">
        <v>1075</v>
      </c>
      <c r="G149" s="19" t="s">
        <v>1076</v>
      </c>
      <c r="H149" s="39" t="s">
        <v>1069</v>
      </c>
      <c r="I149" s="21" t="s">
        <v>1077</v>
      </c>
      <c r="J149" s="19" t="s">
        <v>79</v>
      </c>
      <c r="K149" s="36" t="s">
        <v>181</v>
      </c>
      <c r="L149" s="36"/>
      <c r="M149" s="36"/>
      <c r="N149" s="18"/>
      <c r="O149" s="35"/>
      <c r="P149" s="35"/>
      <c r="Q149" s="37"/>
      <c r="R149" s="35"/>
      <c r="S149" s="18"/>
      <c r="T149" s="20" t="s">
        <v>1078</v>
      </c>
      <c r="U149" s="20" t="s">
        <v>1079</v>
      </c>
      <c r="V149" s="18"/>
      <c r="W149" s="27" t="s">
        <v>1080</v>
      </c>
      <c r="X149" s="18"/>
    </row>
    <row r="150" customFormat="false" ht="45.75" hidden="false" customHeight="true" outlineLevel="0" collapsed="false">
      <c r="A150" s="20" t="s">
        <v>987</v>
      </c>
      <c r="B150" s="20" t="s">
        <v>71</v>
      </c>
      <c r="C150" s="20" t="s">
        <v>1081</v>
      </c>
      <c r="D150" s="18" t="s">
        <v>1082</v>
      </c>
      <c r="E150" s="19" t="s">
        <v>1074</v>
      </c>
      <c r="F150" s="39" t="s">
        <v>1083</v>
      </c>
      <c r="G150" s="19" t="s">
        <v>1084</v>
      </c>
      <c r="H150" s="39" t="s">
        <v>1069</v>
      </c>
      <c r="I150" s="21" t="s">
        <v>1085</v>
      </c>
      <c r="J150" s="19" t="s">
        <v>79</v>
      </c>
      <c r="K150" s="36" t="s">
        <v>181</v>
      </c>
      <c r="L150" s="36"/>
      <c r="M150" s="36"/>
      <c r="N150" s="18"/>
      <c r="O150" s="35"/>
      <c r="P150" s="35"/>
      <c r="Q150" s="37"/>
      <c r="R150" s="35"/>
      <c r="S150" s="18"/>
      <c r="T150" s="20" t="s">
        <v>1018</v>
      </c>
      <c r="U150" s="20" t="s">
        <v>1086</v>
      </c>
      <c r="V150" s="18"/>
      <c r="W150" s="18"/>
      <c r="X150" s="18"/>
    </row>
    <row r="151" customFormat="false" ht="34.5" hidden="false" customHeight="true" outlineLevel="0" collapsed="false">
      <c r="A151" s="20" t="s">
        <v>987</v>
      </c>
      <c r="B151" s="20" t="s">
        <v>71</v>
      </c>
      <c r="C151" s="20" t="s">
        <v>1087</v>
      </c>
      <c r="D151" s="18" t="s">
        <v>1088</v>
      </c>
      <c r="E151" s="19" t="s">
        <v>990</v>
      </c>
      <c r="F151" s="39" t="s">
        <v>1089</v>
      </c>
      <c r="G151" s="19" t="s">
        <v>1090</v>
      </c>
      <c r="H151" s="39" t="s">
        <v>1091</v>
      </c>
      <c r="I151" s="21" t="s">
        <v>1092</v>
      </c>
      <c r="J151" s="19" t="s">
        <v>165</v>
      </c>
      <c r="K151" s="36" t="s">
        <v>181</v>
      </c>
      <c r="L151" s="36"/>
      <c r="M151" s="36"/>
      <c r="N151" s="18"/>
      <c r="O151" s="35"/>
      <c r="P151" s="35"/>
      <c r="Q151" s="37"/>
      <c r="R151" s="35"/>
      <c r="S151" s="18"/>
      <c r="T151" s="20" t="s">
        <v>1018</v>
      </c>
      <c r="U151" s="20" t="s">
        <v>1093</v>
      </c>
      <c r="V151" s="18"/>
      <c r="W151" s="18"/>
      <c r="X151" s="18"/>
    </row>
    <row r="152" customFormat="false" ht="34.5" hidden="false" customHeight="true" outlineLevel="0" collapsed="false">
      <c r="A152" s="20" t="s">
        <v>987</v>
      </c>
      <c r="B152" s="20" t="s">
        <v>71</v>
      </c>
      <c r="C152" s="20" t="s">
        <v>1094</v>
      </c>
      <c r="D152" s="18" t="s">
        <v>1095</v>
      </c>
      <c r="E152" s="19" t="s">
        <v>990</v>
      </c>
      <c r="F152" s="39" t="s">
        <v>1096</v>
      </c>
      <c r="G152" s="19" t="s">
        <v>135</v>
      </c>
      <c r="H152" s="39" t="s">
        <v>1097</v>
      </c>
      <c r="I152" s="21" t="s">
        <v>1098</v>
      </c>
      <c r="J152" s="19" t="s">
        <v>165</v>
      </c>
      <c r="K152" s="36" t="s">
        <v>181</v>
      </c>
      <c r="L152" s="36"/>
      <c r="M152" s="36"/>
      <c r="N152" s="18"/>
      <c r="O152" s="35"/>
      <c r="P152" s="35"/>
      <c r="Q152" s="37"/>
      <c r="R152" s="35"/>
      <c r="S152" s="18"/>
      <c r="T152" s="20" t="s">
        <v>1018</v>
      </c>
      <c r="U152" s="20" t="s">
        <v>1099</v>
      </c>
      <c r="V152" s="18"/>
      <c r="W152" s="18"/>
      <c r="X152" s="18"/>
    </row>
    <row r="153" customFormat="false" ht="22.5" hidden="false" customHeight="true" outlineLevel="0" collapsed="false">
      <c r="A153" s="20" t="s">
        <v>987</v>
      </c>
      <c r="B153" s="20" t="s">
        <v>71</v>
      </c>
      <c r="C153" s="20" t="s">
        <v>1100</v>
      </c>
      <c r="D153" s="30" t="s">
        <v>1101</v>
      </c>
      <c r="E153" s="39" t="s">
        <v>990</v>
      </c>
      <c r="F153" s="39" t="s">
        <v>1102</v>
      </c>
      <c r="G153" s="39" t="s">
        <v>135</v>
      </c>
      <c r="H153" s="39" t="s">
        <v>135</v>
      </c>
      <c r="I153" s="21" t="s">
        <v>138</v>
      </c>
      <c r="J153" s="19" t="s">
        <v>79</v>
      </c>
      <c r="K153" s="36" t="s">
        <v>181</v>
      </c>
      <c r="L153" s="36"/>
      <c r="M153" s="36"/>
      <c r="N153" s="18"/>
      <c r="O153" s="35"/>
      <c r="P153" s="35"/>
      <c r="Q153" s="37"/>
      <c r="R153" s="35"/>
      <c r="S153" s="18"/>
      <c r="T153" s="20" t="s">
        <v>1103</v>
      </c>
      <c r="U153" s="18"/>
      <c r="V153" s="18"/>
      <c r="W153" s="18"/>
      <c r="X153" s="18"/>
    </row>
    <row r="154" customFormat="false" ht="45.75" hidden="false" customHeight="true" outlineLevel="0" collapsed="false">
      <c r="A154" s="20" t="s">
        <v>987</v>
      </c>
      <c r="B154" s="20" t="s">
        <v>71</v>
      </c>
      <c r="C154" s="20" t="s">
        <v>1104</v>
      </c>
      <c r="D154" s="30" t="s">
        <v>1105</v>
      </c>
      <c r="E154" s="19" t="s">
        <v>1106</v>
      </c>
      <c r="F154" s="39" t="s">
        <v>1107</v>
      </c>
      <c r="G154" s="19" t="s">
        <v>1108</v>
      </c>
      <c r="H154" s="39" t="s">
        <v>1109</v>
      </c>
      <c r="I154" s="21" t="s">
        <v>1110</v>
      </c>
      <c r="J154" s="19" t="s">
        <v>79</v>
      </c>
      <c r="K154" s="36" t="s">
        <v>181</v>
      </c>
      <c r="L154" s="36"/>
      <c r="M154" s="36"/>
      <c r="N154" s="18"/>
      <c r="O154" s="35"/>
      <c r="P154" s="35"/>
      <c r="Q154" s="37"/>
      <c r="R154" s="35"/>
      <c r="S154" s="18"/>
      <c r="T154" s="20" t="s">
        <v>1018</v>
      </c>
      <c r="U154" s="20" t="s">
        <v>1111</v>
      </c>
      <c r="V154" s="26" t="s">
        <v>1112</v>
      </c>
      <c r="W154" s="27" t="s">
        <v>1113</v>
      </c>
      <c r="X154" s="18"/>
    </row>
    <row r="155" customFormat="false" ht="22.5" hidden="false" customHeight="true" outlineLevel="0" collapsed="false">
      <c r="A155" s="20" t="s">
        <v>987</v>
      </c>
      <c r="B155" s="20" t="s">
        <v>71</v>
      </c>
      <c r="C155" s="20" t="s">
        <v>1114</v>
      </c>
      <c r="D155" s="30" t="s">
        <v>1115</v>
      </c>
      <c r="E155" s="39" t="s">
        <v>990</v>
      </c>
      <c r="F155" s="39" t="s">
        <v>1116</v>
      </c>
      <c r="G155" s="39" t="s">
        <v>135</v>
      </c>
      <c r="H155" s="39" t="s">
        <v>1109</v>
      </c>
      <c r="I155" s="21" t="s">
        <v>138</v>
      </c>
      <c r="J155" s="19" t="s">
        <v>79</v>
      </c>
      <c r="K155" s="36" t="s">
        <v>181</v>
      </c>
      <c r="L155" s="36"/>
      <c r="M155" s="36"/>
      <c r="N155" s="18"/>
      <c r="O155" s="35"/>
      <c r="P155" s="35"/>
      <c r="Q155" s="37"/>
      <c r="R155" s="35"/>
      <c r="S155" s="18"/>
      <c r="T155" s="20" t="s">
        <v>1117</v>
      </c>
      <c r="U155" s="18"/>
      <c r="V155" s="18"/>
      <c r="W155" s="18"/>
      <c r="X155" s="18"/>
    </row>
    <row r="156" customFormat="false" ht="23.25" hidden="false" customHeight="true" outlineLevel="0" collapsed="false">
      <c r="A156" s="20" t="s">
        <v>987</v>
      </c>
      <c r="B156" s="20" t="s">
        <v>71</v>
      </c>
      <c r="C156" s="20" t="s">
        <v>1118</v>
      </c>
      <c r="D156" s="18" t="s">
        <v>1119</v>
      </c>
      <c r="E156" s="39" t="s">
        <v>990</v>
      </c>
      <c r="F156" s="39" t="s">
        <v>1120</v>
      </c>
      <c r="G156" s="39" t="s">
        <v>135</v>
      </c>
      <c r="H156" s="39" t="s">
        <v>1121</v>
      </c>
      <c r="I156" s="21" t="s">
        <v>138</v>
      </c>
      <c r="J156" s="19" t="s">
        <v>79</v>
      </c>
      <c r="K156" s="36" t="s">
        <v>181</v>
      </c>
      <c r="L156" s="36"/>
      <c r="M156" s="36"/>
      <c r="N156" s="18"/>
      <c r="O156" s="35"/>
      <c r="P156" s="35"/>
      <c r="Q156" s="37"/>
      <c r="R156" s="35"/>
      <c r="S156" s="18"/>
      <c r="T156" s="20" t="s">
        <v>1122</v>
      </c>
      <c r="U156" s="18"/>
      <c r="V156" s="18"/>
      <c r="W156" s="18"/>
      <c r="X156" s="18"/>
    </row>
    <row r="157" customFormat="false" ht="22.5" hidden="false" customHeight="true" outlineLevel="0" collapsed="false">
      <c r="A157" s="20" t="s">
        <v>987</v>
      </c>
      <c r="B157" s="20" t="s">
        <v>71</v>
      </c>
      <c r="C157" s="20" t="s">
        <v>1123</v>
      </c>
      <c r="D157" s="30" t="s">
        <v>1124</v>
      </c>
      <c r="E157" s="39" t="s">
        <v>990</v>
      </c>
      <c r="F157" s="39" t="s">
        <v>1125</v>
      </c>
      <c r="G157" s="39" t="s">
        <v>135</v>
      </c>
      <c r="H157" s="39" t="s">
        <v>1126</v>
      </c>
      <c r="I157" s="21" t="s">
        <v>138</v>
      </c>
      <c r="J157" s="19" t="s">
        <v>79</v>
      </c>
      <c r="K157" s="36" t="s">
        <v>181</v>
      </c>
      <c r="L157" s="36"/>
      <c r="M157" s="36"/>
      <c r="N157" s="18"/>
      <c r="O157" s="35"/>
      <c r="P157" s="35"/>
      <c r="Q157" s="37"/>
      <c r="R157" s="35"/>
      <c r="S157" s="18"/>
      <c r="T157" s="20" t="s">
        <v>1117</v>
      </c>
      <c r="U157" s="18"/>
      <c r="V157" s="18"/>
      <c r="W157" s="18"/>
      <c r="X157" s="18"/>
    </row>
    <row r="158" customFormat="false" ht="45.75" hidden="false" customHeight="true" outlineLevel="0" collapsed="false">
      <c r="A158" s="20" t="s">
        <v>987</v>
      </c>
      <c r="B158" s="20" t="s">
        <v>71</v>
      </c>
      <c r="C158" s="20" t="s">
        <v>1127</v>
      </c>
      <c r="D158" s="30" t="s">
        <v>1128</v>
      </c>
      <c r="E158" s="19" t="s">
        <v>1129</v>
      </c>
      <c r="F158" s="39" t="s">
        <v>1130</v>
      </c>
      <c r="G158" s="19" t="s">
        <v>1131</v>
      </c>
      <c r="H158" s="39" t="s">
        <v>1132</v>
      </c>
      <c r="I158" s="21" t="s">
        <v>1133</v>
      </c>
      <c r="J158" s="19" t="s">
        <v>165</v>
      </c>
      <c r="K158" s="36" t="s">
        <v>181</v>
      </c>
      <c r="L158" s="36"/>
      <c r="M158" s="36"/>
      <c r="N158" s="18"/>
      <c r="O158" s="35"/>
      <c r="P158" s="35"/>
      <c r="Q158" s="37"/>
      <c r="R158" s="35"/>
      <c r="S158" s="18"/>
      <c r="T158" s="20" t="s">
        <v>1134</v>
      </c>
      <c r="U158" s="20" t="s">
        <v>1135</v>
      </c>
      <c r="V158" s="26" t="s">
        <v>1136</v>
      </c>
      <c r="W158" s="27" t="s">
        <v>1137</v>
      </c>
      <c r="X158" s="18"/>
    </row>
    <row r="159" customFormat="false" ht="22.5" hidden="false" customHeight="true" outlineLevel="0" collapsed="false">
      <c r="A159" s="20" t="s">
        <v>987</v>
      </c>
      <c r="B159" s="20" t="s">
        <v>71</v>
      </c>
      <c r="C159" s="20" t="s">
        <v>1138</v>
      </c>
      <c r="D159" s="30" t="s">
        <v>1139</v>
      </c>
      <c r="E159" s="39" t="s">
        <v>990</v>
      </c>
      <c r="F159" s="39" t="s">
        <v>1140</v>
      </c>
      <c r="G159" s="39" t="s">
        <v>135</v>
      </c>
      <c r="H159" s="39" t="s">
        <v>135</v>
      </c>
      <c r="I159" s="21" t="s">
        <v>138</v>
      </c>
      <c r="J159" s="19" t="s">
        <v>79</v>
      </c>
      <c r="K159" s="36" t="s">
        <v>181</v>
      </c>
      <c r="L159" s="36"/>
      <c r="M159" s="36"/>
      <c r="N159" s="18"/>
      <c r="O159" s="35"/>
      <c r="P159" s="35"/>
      <c r="Q159" s="37"/>
      <c r="R159" s="35"/>
      <c r="S159" s="18"/>
      <c r="T159" s="20" t="s">
        <v>1141</v>
      </c>
      <c r="U159" s="18"/>
      <c r="V159" s="18"/>
      <c r="W159" s="18"/>
      <c r="X159" s="18"/>
    </row>
    <row r="160" customFormat="false" ht="45.75" hidden="false" customHeight="true" outlineLevel="0" collapsed="false">
      <c r="A160" s="20" t="s">
        <v>987</v>
      </c>
      <c r="B160" s="20" t="s">
        <v>71</v>
      </c>
      <c r="C160" s="20" t="s">
        <v>1142</v>
      </c>
      <c r="D160" s="18" t="s">
        <v>1143</v>
      </c>
      <c r="E160" s="19" t="s">
        <v>990</v>
      </c>
      <c r="F160" s="19" t="s">
        <v>135</v>
      </c>
      <c r="G160" s="19" t="s">
        <v>79</v>
      </c>
      <c r="H160" s="19" t="s">
        <v>1144</v>
      </c>
      <c r="I160" s="21" t="s">
        <v>1145</v>
      </c>
      <c r="J160" s="19" t="s">
        <v>165</v>
      </c>
      <c r="K160" s="36" t="s">
        <v>181</v>
      </c>
      <c r="L160" s="36"/>
      <c r="M160" s="36"/>
      <c r="N160" s="18"/>
      <c r="O160" s="35"/>
      <c r="P160" s="35"/>
      <c r="Q160" s="37"/>
      <c r="R160" s="35"/>
      <c r="S160" s="18"/>
      <c r="T160" s="20" t="s">
        <v>1146</v>
      </c>
      <c r="U160" s="20" t="s">
        <v>1147</v>
      </c>
      <c r="V160" s="26" t="s">
        <v>1148</v>
      </c>
      <c r="W160" s="27" t="s">
        <v>1149</v>
      </c>
      <c r="X160" s="18"/>
    </row>
    <row r="161" customFormat="false" ht="22.5" hidden="false" customHeight="true" outlineLevel="0" collapsed="false">
      <c r="A161" s="20" t="s">
        <v>987</v>
      </c>
      <c r="B161" s="20" t="s">
        <v>71</v>
      </c>
      <c r="C161" s="20" t="s">
        <v>1150</v>
      </c>
      <c r="D161" s="28" t="s">
        <v>1151</v>
      </c>
      <c r="E161" s="19" t="s">
        <v>990</v>
      </c>
      <c r="F161" s="19" t="s">
        <v>135</v>
      </c>
      <c r="G161" s="19" t="s">
        <v>79</v>
      </c>
      <c r="H161" s="19" t="s">
        <v>79</v>
      </c>
      <c r="I161" s="21" t="s">
        <v>629</v>
      </c>
      <c r="J161" s="19" t="s">
        <v>79</v>
      </c>
      <c r="K161" s="36" t="s">
        <v>181</v>
      </c>
      <c r="L161" s="36"/>
      <c r="M161" s="36"/>
      <c r="N161" s="18"/>
      <c r="O161" s="35"/>
      <c r="P161" s="35"/>
      <c r="Q161" s="37"/>
      <c r="R161" s="35"/>
      <c r="S161" s="18"/>
      <c r="T161" s="20" t="s">
        <v>1152</v>
      </c>
      <c r="U161" s="20" t="s">
        <v>1153</v>
      </c>
      <c r="V161" s="26" t="s">
        <v>1148</v>
      </c>
      <c r="W161" s="27" t="s">
        <v>1154</v>
      </c>
      <c r="X161" s="18"/>
    </row>
    <row r="163" customFormat="false" ht="36" hidden="false" customHeight="true" outlineLevel="0" collapsed="false">
      <c r="C163" s="40" t="s">
        <v>1155</v>
      </c>
      <c r="P163" s="41" t="n">
        <f aca="false">SUMIFS(P4:P161,B4:B161,"CONJUNTO")</f>
        <v>16576852.44</v>
      </c>
      <c r="Q163" s="41" t="n">
        <f aca="false">SUMIFS(Q4:Q161,B4:B161,"CONJUNTO")+SUMIFS(Q4:Q161,B4:B161,"GRUPO")</f>
        <v>16782799.46</v>
      </c>
      <c r="R163" s="41" t="n">
        <f aca="false">Q163-P163</f>
        <v>205947.020000001</v>
      </c>
      <c r="S163" s="42" t="s">
        <v>1156</v>
      </c>
    </row>
  </sheetData>
  <autoFilter ref="A3:X161"/>
  <mergeCells count="18">
    <mergeCell ref="K4:K6"/>
    <mergeCell ref="L4:L6"/>
    <mergeCell ref="M4:M6"/>
    <mergeCell ref="N4:N6"/>
    <mergeCell ref="O4:O6"/>
    <mergeCell ref="P4:P6"/>
    <mergeCell ref="Q4:Q6"/>
    <mergeCell ref="R4:R6"/>
    <mergeCell ref="S4:S6"/>
    <mergeCell ref="K7:K10"/>
    <mergeCell ref="L7:L10"/>
    <mergeCell ref="M7:M10"/>
    <mergeCell ref="N7:N10"/>
    <mergeCell ref="O7:O10"/>
    <mergeCell ref="P7:P10"/>
    <mergeCell ref="Q7:Q10"/>
    <mergeCell ref="R7:R10"/>
    <mergeCell ref="S7:S11"/>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2"/>
    <col collapsed="false" customWidth="true" hidden="false" outlineLevel="0" max="3" min="3" style="0" width="34"/>
    <col collapsed="false" customWidth="true" hidden="false" outlineLevel="0" max="4" min="4" style="0" width="230"/>
    <col collapsed="false" customWidth="true" hidden="false" outlineLevel="0" max="5" min="5" style="0" width="40"/>
    <col collapsed="false" customWidth="true" hidden="false" outlineLevel="0" max="8" min="6" style="0" width="16"/>
    <col collapsed="false" customWidth="true" hidden="false" outlineLevel="0" max="9" min="9" style="0" width="10"/>
    <col collapsed="false" customWidth="true" hidden="false" outlineLevel="0" max="10" min="10" style="0" width="14"/>
  </cols>
  <sheetData>
    <row r="1" customFormat="false" ht="15" hidden="false" customHeight="false" outlineLevel="0" collapsed="false">
      <c r="A1" s="43" t="s">
        <v>1157</v>
      </c>
    </row>
    <row r="3" customFormat="false" ht="30" hidden="false" customHeight="true" outlineLevel="0" collapsed="false">
      <c r="A3" s="44" t="s">
        <v>1158</v>
      </c>
      <c r="B3" s="44" t="s">
        <v>29</v>
      </c>
      <c r="C3" s="44" t="s">
        <v>1159</v>
      </c>
      <c r="D3" s="44" t="s">
        <v>1160</v>
      </c>
      <c r="E3" s="44" t="s">
        <v>1161</v>
      </c>
      <c r="F3" s="44" t="s">
        <v>1162</v>
      </c>
      <c r="G3" s="44" t="s">
        <v>1163</v>
      </c>
      <c r="H3" s="44" t="s">
        <v>1164</v>
      </c>
      <c r="I3" s="44" t="s">
        <v>1165</v>
      </c>
      <c r="J3" s="44" t="s">
        <v>1166</v>
      </c>
    </row>
    <row r="4" customFormat="false" ht="408.75" hidden="false" customHeight="true" outlineLevel="0" collapsed="false">
      <c r="A4" s="20" t="s">
        <v>52</v>
      </c>
      <c r="B4" s="20" t="s">
        <v>53</v>
      </c>
      <c r="C4" s="20" t="s">
        <v>54</v>
      </c>
      <c r="D4" s="18" t="s">
        <v>70</v>
      </c>
      <c r="E4" s="20" t="s">
        <v>1167</v>
      </c>
      <c r="F4" s="45" t="n">
        <v>393500</v>
      </c>
      <c r="G4" s="45" t="n">
        <v>393500</v>
      </c>
      <c r="H4" s="46" t="n">
        <v>393500</v>
      </c>
      <c r="I4" s="18" t="n">
        <v>2</v>
      </c>
      <c r="J4" s="20" t="s">
        <v>1168</v>
      </c>
    </row>
    <row r="5" customFormat="false" ht="408.75" hidden="false" customHeight="true" outlineLevel="0" collapsed="false">
      <c r="A5" s="20" t="s">
        <v>95</v>
      </c>
      <c r="B5" s="20" t="s">
        <v>53</v>
      </c>
      <c r="C5" s="20" t="s">
        <v>96</v>
      </c>
      <c r="D5" s="18" t="s">
        <v>112</v>
      </c>
      <c r="E5" s="20" t="s">
        <v>1169</v>
      </c>
      <c r="F5" s="45" t="n">
        <v>815201.04</v>
      </c>
      <c r="G5" s="45" t="n">
        <v>815201.04</v>
      </c>
      <c r="H5" s="46" t="n">
        <v>815201.04</v>
      </c>
      <c r="I5" s="18" t="n">
        <v>3</v>
      </c>
      <c r="J5" s="20" t="s">
        <v>1170</v>
      </c>
    </row>
    <row r="6" customFormat="false" ht="408.75" hidden="false" customHeight="true" outlineLevel="0" collapsed="false">
      <c r="A6" s="20" t="s">
        <v>143</v>
      </c>
      <c r="B6" s="20" t="s">
        <v>53</v>
      </c>
      <c r="C6" s="20" t="s">
        <v>144</v>
      </c>
      <c r="D6" s="18" t="s">
        <v>156</v>
      </c>
      <c r="E6" s="20" t="s">
        <v>1171</v>
      </c>
      <c r="F6" s="45" t="n">
        <v>34798.96</v>
      </c>
      <c r="G6" s="45" t="n">
        <v>34798.96</v>
      </c>
      <c r="H6" s="46" t="n">
        <v>34798.96</v>
      </c>
      <c r="I6" s="18" t="n">
        <v>0</v>
      </c>
      <c r="J6" s="20" t="s">
        <v>1172</v>
      </c>
    </row>
    <row r="7" customFormat="false" ht="408.75" hidden="false" customHeight="true" outlineLevel="0" collapsed="false">
      <c r="A7" s="20" t="s">
        <v>157</v>
      </c>
      <c r="B7" s="20" t="s">
        <v>53</v>
      </c>
      <c r="C7" s="20" t="s">
        <v>158</v>
      </c>
      <c r="D7" s="18" t="s">
        <v>174</v>
      </c>
      <c r="E7" s="20" t="s">
        <v>1173</v>
      </c>
      <c r="F7" s="45" t="n">
        <v>1223780.04</v>
      </c>
      <c r="G7" s="45" t="n">
        <v>1223780.04</v>
      </c>
      <c r="H7" s="46" t="n">
        <v>1223780.04</v>
      </c>
      <c r="I7" s="18" t="n">
        <v>12</v>
      </c>
      <c r="J7" s="20" t="s">
        <v>1174</v>
      </c>
    </row>
    <row r="8" customFormat="false" ht="408.75" hidden="false" customHeight="true" outlineLevel="0" collapsed="false">
      <c r="A8" s="20" t="s">
        <v>270</v>
      </c>
      <c r="B8" s="20" t="s">
        <v>53</v>
      </c>
      <c r="C8" s="20" t="s">
        <v>271</v>
      </c>
      <c r="D8" s="18" t="s">
        <v>283</v>
      </c>
      <c r="E8" s="20" t="s">
        <v>1175</v>
      </c>
      <c r="F8" s="45" t="n">
        <v>71978.04</v>
      </c>
      <c r="G8" s="45" t="n">
        <v>71978.04</v>
      </c>
      <c r="H8" s="46" t="n">
        <v>71978.04</v>
      </c>
      <c r="I8" s="18" t="n">
        <v>1</v>
      </c>
      <c r="J8" s="20" t="s">
        <v>1176</v>
      </c>
    </row>
    <row r="9" customFormat="false" ht="408.75" hidden="false" customHeight="true" outlineLevel="0" collapsed="false">
      <c r="A9" s="20" t="s">
        <v>294</v>
      </c>
      <c r="B9" s="20" t="s">
        <v>53</v>
      </c>
      <c r="C9" s="20" t="s">
        <v>295</v>
      </c>
      <c r="D9" s="18" t="s">
        <v>306</v>
      </c>
      <c r="E9" s="20" t="s">
        <v>1177</v>
      </c>
      <c r="F9" s="45" t="n">
        <v>174716.7</v>
      </c>
      <c r="G9" s="45" t="n">
        <v>174716.7</v>
      </c>
      <c r="H9" s="46" t="n">
        <v>174716.7</v>
      </c>
      <c r="I9" s="18" t="n">
        <v>2</v>
      </c>
      <c r="J9" s="20" t="s">
        <v>1178</v>
      </c>
    </row>
    <row r="10" customFormat="false" ht="408.75" hidden="false" customHeight="true" outlineLevel="0" collapsed="false">
      <c r="A10" s="20" t="s">
        <v>324</v>
      </c>
      <c r="B10" s="20" t="s">
        <v>53</v>
      </c>
      <c r="C10" s="20" t="s">
        <v>325</v>
      </c>
      <c r="D10" s="18" t="s">
        <v>333</v>
      </c>
      <c r="E10" s="20" t="s">
        <v>1179</v>
      </c>
      <c r="F10" s="45" t="n">
        <v>161876.22</v>
      </c>
      <c r="G10" s="45" t="n">
        <v>161876.22</v>
      </c>
      <c r="H10" s="46" t="n">
        <v>161876.22</v>
      </c>
      <c r="I10" s="18" t="n">
        <v>2</v>
      </c>
      <c r="J10" s="20" t="s">
        <v>1180</v>
      </c>
    </row>
    <row r="11" customFormat="false" ht="408.75" hidden="false" customHeight="true" outlineLevel="0" collapsed="false">
      <c r="A11" s="20" t="s">
        <v>350</v>
      </c>
      <c r="B11" s="20" t="s">
        <v>53</v>
      </c>
      <c r="C11" s="20" t="s">
        <v>351</v>
      </c>
      <c r="D11" s="18" t="s">
        <v>359</v>
      </c>
      <c r="E11" s="20" t="s">
        <v>1181</v>
      </c>
      <c r="F11" s="45" t="n">
        <v>308561.97</v>
      </c>
      <c r="G11" s="45" t="n">
        <v>308561.97</v>
      </c>
      <c r="H11" s="46" t="n">
        <v>308561.97</v>
      </c>
      <c r="I11" s="18" t="n">
        <v>3</v>
      </c>
      <c r="J11" s="20" t="s">
        <v>1182</v>
      </c>
    </row>
    <row r="12" customFormat="false" ht="408.75" hidden="false" customHeight="true" outlineLevel="0" collapsed="false">
      <c r="A12" s="20" t="s">
        <v>384</v>
      </c>
      <c r="B12" s="20" t="s">
        <v>53</v>
      </c>
      <c r="C12" s="20" t="s">
        <v>385</v>
      </c>
      <c r="D12" s="18" t="s">
        <v>392</v>
      </c>
      <c r="E12" s="20" t="s">
        <v>1183</v>
      </c>
      <c r="F12" s="45" t="n">
        <v>102010.24</v>
      </c>
      <c r="G12" s="45" t="n">
        <v>102010.24</v>
      </c>
      <c r="H12" s="46" t="n">
        <v>102010.24</v>
      </c>
      <c r="I12" s="18" t="n">
        <v>1</v>
      </c>
      <c r="J12" s="20" t="s">
        <v>1184</v>
      </c>
    </row>
    <row r="13" customFormat="false" ht="408.75" hidden="false" customHeight="true" outlineLevel="0" collapsed="false">
      <c r="A13" s="20" t="s">
        <v>399</v>
      </c>
      <c r="B13" s="20" t="s">
        <v>53</v>
      </c>
      <c r="C13" s="20" t="s">
        <v>400</v>
      </c>
      <c r="D13" s="18" t="s">
        <v>408</v>
      </c>
      <c r="E13" s="20" t="s">
        <v>1185</v>
      </c>
      <c r="F13" s="45" t="n">
        <v>188172.4</v>
      </c>
      <c r="G13" s="45" t="n">
        <v>188172.4</v>
      </c>
      <c r="H13" s="46" t="n">
        <v>188172.4</v>
      </c>
      <c r="I13" s="18" t="n">
        <v>2</v>
      </c>
      <c r="J13" s="20" t="s">
        <v>1186</v>
      </c>
    </row>
    <row r="14" customFormat="false" ht="408.75" hidden="false" customHeight="true" outlineLevel="0" collapsed="false">
      <c r="A14" s="20" t="s">
        <v>421</v>
      </c>
      <c r="B14" s="20" t="s">
        <v>53</v>
      </c>
      <c r="C14" s="20" t="s">
        <v>400</v>
      </c>
      <c r="D14" s="18" t="s">
        <v>431</v>
      </c>
      <c r="E14" s="20" t="s">
        <v>1187</v>
      </c>
      <c r="F14" s="45" t="n">
        <v>162486.68</v>
      </c>
      <c r="G14" s="45" t="n">
        <v>233546.68</v>
      </c>
      <c r="H14" s="46" t="n">
        <v>162486.68</v>
      </c>
      <c r="I14" s="18" t="n">
        <v>2</v>
      </c>
      <c r="J14" s="20" t="s">
        <v>1188</v>
      </c>
    </row>
    <row r="15" customFormat="false" ht="408.75" hidden="false" customHeight="true" outlineLevel="0" collapsed="false">
      <c r="A15" s="20" t="s">
        <v>442</v>
      </c>
      <c r="B15" s="20" t="s">
        <v>53</v>
      </c>
      <c r="C15" s="20" t="s">
        <v>443</v>
      </c>
      <c r="D15" s="18" t="s">
        <v>451</v>
      </c>
      <c r="E15" s="20" t="s">
        <v>1189</v>
      </c>
      <c r="F15" s="45" t="n">
        <v>76802.33</v>
      </c>
      <c r="G15" s="45" t="n">
        <v>76802.33</v>
      </c>
      <c r="H15" s="46" t="n">
        <v>76802.33</v>
      </c>
      <c r="I15" s="18" t="n">
        <v>1</v>
      </c>
      <c r="J15" s="20" t="s">
        <v>1190</v>
      </c>
    </row>
    <row r="16" customFormat="false" ht="408.75" hidden="false" customHeight="true" outlineLevel="0" collapsed="false">
      <c r="A16" s="20" t="s">
        <v>459</v>
      </c>
      <c r="B16" s="20" t="s">
        <v>53</v>
      </c>
      <c r="C16" s="20" t="s">
        <v>460</v>
      </c>
      <c r="D16" s="18" t="s">
        <v>468</v>
      </c>
      <c r="E16" s="20" t="s">
        <v>1191</v>
      </c>
      <c r="F16" s="45" t="n">
        <v>160106.86</v>
      </c>
      <c r="G16" s="45" t="n">
        <v>160106.86</v>
      </c>
      <c r="H16" s="46" t="n">
        <v>160106.86</v>
      </c>
      <c r="I16" s="18" t="n">
        <v>2</v>
      </c>
      <c r="J16" s="20" t="s">
        <v>1192</v>
      </c>
    </row>
    <row r="17" customFormat="false" ht="408.75" hidden="false" customHeight="true" outlineLevel="0" collapsed="false">
      <c r="A17" s="20" t="s">
        <v>486</v>
      </c>
      <c r="B17" s="20" t="s">
        <v>487</v>
      </c>
      <c r="C17" s="20" t="s">
        <v>488</v>
      </c>
      <c r="D17" s="18" t="s">
        <v>498</v>
      </c>
      <c r="E17" s="18"/>
      <c r="F17" s="45"/>
      <c r="G17" s="45" t="n">
        <v>7344806.15</v>
      </c>
      <c r="H17" s="46" t="n">
        <v>8992832.34</v>
      </c>
      <c r="I17" s="18" t="n">
        <v>0</v>
      </c>
      <c r="J17" s="20" t="s">
        <v>1193</v>
      </c>
    </row>
    <row r="18" customFormat="false" ht="408.75" hidden="false" customHeight="true" outlineLevel="0" collapsed="false">
      <c r="A18" s="20" t="s">
        <v>499</v>
      </c>
      <c r="B18" s="20" t="s">
        <v>53</v>
      </c>
      <c r="C18" s="20" t="s">
        <v>500</v>
      </c>
      <c r="D18" s="18" t="s">
        <v>510</v>
      </c>
      <c r="E18" s="20" t="s">
        <v>1194</v>
      </c>
      <c r="F18" s="45" t="n">
        <v>2273264.11</v>
      </c>
      <c r="G18" s="45"/>
      <c r="H18" s="46"/>
      <c r="I18" s="18" t="n">
        <v>6</v>
      </c>
      <c r="J18" s="20" t="s">
        <v>1195</v>
      </c>
    </row>
    <row r="19" customFormat="false" ht="408.75" hidden="false" customHeight="true" outlineLevel="0" collapsed="false">
      <c r="A19" s="20" t="s">
        <v>540</v>
      </c>
      <c r="B19" s="20" t="s">
        <v>53</v>
      </c>
      <c r="C19" s="20" t="s">
        <v>541</v>
      </c>
      <c r="D19" s="18" t="s">
        <v>549</v>
      </c>
      <c r="E19" s="20" t="s">
        <v>1196</v>
      </c>
      <c r="F19" s="45" t="n">
        <v>1917733.79</v>
      </c>
      <c r="G19" s="45"/>
      <c r="H19" s="46"/>
      <c r="I19" s="18" t="n">
        <v>3</v>
      </c>
      <c r="J19" s="20" t="s">
        <v>1197</v>
      </c>
    </row>
    <row r="20" customFormat="false" ht="408.75" hidden="false" customHeight="true" outlineLevel="0" collapsed="false">
      <c r="A20" s="20" t="s">
        <v>564</v>
      </c>
      <c r="B20" s="20" t="s">
        <v>53</v>
      </c>
      <c r="C20" s="20" t="s">
        <v>565</v>
      </c>
      <c r="D20" s="18" t="s">
        <v>575</v>
      </c>
      <c r="E20" s="20" t="s">
        <v>1198</v>
      </c>
      <c r="F20" s="45" t="n">
        <v>1610488.85</v>
      </c>
      <c r="G20" s="45"/>
      <c r="H20" s="46"/>
      <c r="I20" s="18" t="n">
        <v>9</v>
      </c>
      <c r="J20" s="20" t="s">
        <v>1199</v>
      </c>
    </row>
    <row r="21" customFormat="false" ht="408.75" hidden="false" customHeight="true" outlineLevel="0" collapsed="false">
      <c r="A21" s="20" t="s">
        <v>625</v>
      </c>
      <c r="B21" s="20" t="s">
        <v>53</v>
      </c>
      <c r="C21" s="20" t="s">
        <v>626</v>
      </c>
      <c r="D21" s="18" t="s">
        <v>639</v>
      </c>
      <c r="E21" s="20" t="s">
        <v>1200</v>
      </c>
      <c r="F21" s="45" t="n">
        <v>1728513.25</v>
      </c>
      <c r="G21" s="45" t="n">
        <v>1728513.25</v>
      </c>
      <c r="H21" s="46"/>
      <c r="I21" s="18" t="n">
        <v>0</v>
      </c>
      <c r="J21" s="20" t="s">
        <v>1201</v>
      </c>
    </row>
    <row r="22" customFormat="false" ht="408.75" hidden="false" customHeight="true" outlineLevel="0" collapsed="false">
      <c r="A22" s="20" t="s">
        <v>640</v>
      </c>
      <c r="B22" s="20" t="s">
        <v>53</v>
      </c>
      <c r="C22" s="20" t="s">
        <v>641</v>
      </c>
      <c r="D22" s="18" t="s">
        <v>652</v>
      </c>
      <c r="E22" s="20" t="s">
        <v>1202</v>
      </c>
      <c r="F22" s="45" t="n">
        <v>1462832.34</v>
      </c>
      <c r="G22" s="45"/>
      <c r="H22" s="46"/>
      <c r="I22" s="18" t="n">
        <v>3</v>
      </c>
      <c r="J22" s="20" t="s">
        <v>1203</v>
      </c>
    </row>
    <row r="23" customFormat="false" ht="408.75" hidden="false" customHeight="true" outlineLevel="0" collapsed="false">
      <c r="A23" s="20" t="s">
        <v>674</v>
      </c>
      <c r="B23" s="20" t="s">
        <v>1204</v>
      </c>
      <c r="C23" s="20" t="s">
        <v>1205</v>
      </c>
      <c r="D23" s="18" t="s">
        <v>682</v>
      </c>
      <c r="E23" s="20" t="s">
        <v>1206</v>
      </c>
      <c r="F23" s="45"/>
      <c r="G23" s="45"/>
      <c r="H23" s="46"/>
      <c r="I23" s="18" t="n">
        <v>58</v>
      </c>
      <c r="J23" s="20" t="s">
        <v>1207</v>
      </c>
    </row>
    <row r="24" customFormat="false" ht="408.75" hidden="false" customHeight="true" outlineLevel="0" collapsed="false">
      <c r="A24" s="20" t="s">
        <v>945</v>
      </c>
      <c r="B24" s="20" t="s">
        <v>487</v>
      </c>
      <c r="C24" s="20" t="s">
        <v>946</v>
      </c>
      <c r="D24" s="18" t="s">
        <v>957</v>
      </c>
      <c r="E24" s="18"/>
      <c r="F24" s="45"/>
      <c r="G24" s="45" t="n">
        <v>601341.12</v>
      </c>
      <c r="H24" s="46" t="n">
        <v>546941.16</v>
      </c>
      <c r="I24" s="18" t="n">
        <v>0</v>
      </c>
      <c r="J24" s="20" t="s">
        <v>1208</v>
      </c>
    </row>
    <row r="25" customFormat="false" ht="408.75" hidden="false" customHeight="true" outlineLevel="0" collapsed="false">
      <c r="A25" s="20" t="s">
        <v>958</v>
      </c>
      <c r="B25" s="20" t="s">
        <v>53</v>
      </c>
      <c r="C25" s="20" t="s">
        <v>959</v>
      </c>
      <c r="D25" s="18" t="s">
        <v>970</v>
      </c>
      <c r="E25" s="20" t="s">
        <v>1209</v>
      </c>
      <c r="F25" s="45" t="n">
        <v>249823.52</v>
      </c>
      <c r="G25" s="45"/>
      <c r="H25" s="46" t="n">
        <v>249823.52</v>
      </c>
      <c r="I25" s="18" t="n">
        <v>0</v>
      </c>
      <c r="J25" s="20" t="s">
        <v>1210</v>
      </c>
    </row>
    <row r="26" customFormat="false" ht="408.75" hidden="false" customHeight="true" outlineLevel="0" collapsed="false">
      <c r="A26" s="20" t="s">
        <v>971</v>
      </c>
      <c r="B26" s="20" t="s">
        <v>53</v>
      </c>
      <c r="C26" s="20" t="s">
        <v>972</v>
      </c>
      <c r="D26" s="18" t="s">
        <v>978</v>
      </c>
      <c r="E26" s="20" t="s">
        <v>1211</v>
      </c>
      <c r="F26" s="45" t="n">
        <v>177058.82</v>
      </c>
      <c r="G26" s="45"/>
      <c r="H26" s="46" t="n">
        <v>177058.82</v>
      </c>
      <c r="I26" s="18" t="n">
        <v>0</v>
      </c>
      <c r="J26" s="20" t="s">
        <v>1212</v>
      </c>
    </row>
    <row r="27" customFormat="false" ht="408.75" hidden="false" customHeight="true" outlineLevel="0" collapsed="false">
      <c r="A27" s="20" t="s">
        <v>979</v>
      </c>
      <c r="B27" s="20" t="s">
        <v>53</v>
      </c>
      <c r="C27" s="20" t="s">
        <v>980</v>
      </c>
      <c r="D27" s="18" t="s">
        <v>986</v>
      </c>
      <c r="E27" s="20" t="s">
        <v>1213</v>
      </c>
      <c r="F27" s="45" t="n">
        <v>120058.82</v>
      </c>
      <c r="G27" s="45"/>
      <c r="H27" s="46" t="n">
        <v>120058.82</v>
      </c>
      <c r="I27" s="18" t="n">
        <v>0</v>
      </c>
      <c r="J27" s="20" t="s">
        <v>1214</v>
      </c>
    </row>
    <row r="28" customFormat="false" ht="408.75" hidden="false" customHeight="true" outlineLevel="0" collapsed="false">
      <c r="A28" s="20" t="s">
        <v>987</v>
      </c>
      <c r="B28" s="20" t="s">
        <v>53</v>
      </c>
      <c r="C28" s="20" t="s">
        <v>988</v>
      </c>
      <c r="D28" s="18" t="s">
        <v>1004</v>
      </c>
      <c r="E28" s="20" t="s">
        <v>1215</v>
      </c>
      <c r="F28" s="45" t="n">
        <v>3163087.46</v>
      </c>
      <c r="G28" s="45" t="n">
        <v>3163087.46</v>
      </c>
      <c r="H28" s="46" t="n">
        <v>3163087.46</v>
      </c>
      <c r="I28" s="18" t="n">
        <v>22</v>
      </c>
      <c r="J28" s="20" t="s">
        <v>1216</v>
      </c>
    </row>
    <row r="30" customFormat="false" ht="15" hidden="false" customHeight="false" outlineLevel="0" collapsed="false">
      <c r="C30" s="47" t="s">
        <v>1217</v>
      </c>
      <c r="F30" s="48" t="n">
        <f aca="false">SUMIFS(F4:F28,B4:B28,"CONJUNTO")</f>
        <v>16576852.44</v>
      </c>
      <c r="G30" s="48" t="n">
        <f aca="false">SUMIFS(G4:G28,B4:B28,"CONJUNTO")+SUMIFS(G4:G28,B4:B28,"GRUPO")</f>
        <v>16782799.46</v>
      </c>
      <c r="H30" s="48" t="n">
        <f aca="false">SUMIFS(H4:H28,B4:B28,"CONJUNTO")</f>
        <v>7584020.1</v>
      </c>
    </row>
    <row r="31" customFormat="false" ht="15" hidden="false" customHeight="false" outlineLevel="0" collapsed="false">
      <c r="C31" s="49" t="s">
        <v>1218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G32" activeCellId="0" sqref="G32"/>
    </sheetView>
  </sheetViews>
  <sheetFormatPr defaultColWidth="8.6796875" defaultRowHeight="14.25" zeroHeight="false" outlineLevelRow="0" outlineLevelCol="0"/>
  <cols>
    <col collapsed="false" customWidth="true" hidden="false" outlineLevel="0" max="1" min="1" style="0" width="9"/>
    <col collapsed="false" customWidth="true" hidden="false" outlineLevel="0" max="2" min="2" style="0" width="11"/>
    <col collapsed="false" customWidth="true" hidden="false" outlineLevel="0" max="3" min="3" style="0" width="34"/>
    <col collapsed="false" customWidth="true" hidden="false" outlineLevel="0" max="4" min="4" style="0" width="20"/>
    <col collapsed="false" customWidth="true" hidden="false" outlineLevel="0" max="5" min="5" style="0" width="53.11"/>
    <col collapsed="false" customWidth="true" hidden="false" outlineLevel="0" max="6" min="6" style="0" width="15"/>
    <col collapsed="false" customWidth="true" hidden="false" outlineLevel="0" max="7" min="7" style="0" width="22"/>
    <col collapsed="false" customWidth="true" hidden="false" outlineLevel="0" max="8" min="8" style="0" width="60"/>
    <col collapsed="false" customWidth="true" hidden="false" outlineLevel="0" max="10" min="9" style="0" width="55"/>
  </cols>
  <sheetData>
    <row r="1" customFormat="false" ht="14.25" hidden="false" customHeight="false" outlineLevel="0" collapsed="false">
      <c r="A1" s="50" t="s">
        <v>1219</v>
      </c>
    </row>
    <row r="2" customFormat="false" ht="14.25" hidden="false" customHeight="false" outlineLevel="0" collapsed="false">
      <c r="A2" s="51" t="s">
        <v>38</v>
      </c>
      <c r="B2" s="51" t="s">
        <v>1220</v>
      </c>
      <c r="C2" s="51" t="s">
        <v>1221</v>
      </c>
      <c r="D2" s="51" t="s">
        <v>1222</v>
      </c>
      <c r="E2" s="51" t="s">
        <v>1223</v>
      </c>
      <c r="F2" s="51" t="s">
        <v>1224</v>
      </c>
      <c r="G2" s="51" t="s">
        <v>1225</v>
      </c>
      <c r="H2" s="51" t="s">
        <v>1226</v>
      </c>
      <c r="I2" s="16" t="s">
        <v>1227</v>
      </c>
      <c r="J2" s="16" t="s">
        <v>1228</v>
      </c>
    </row>
    <row r="3" customFormat="false" ht="14.25" hidden="false" customHeight="false" outlineLevel="0" collapsed="false">
      <c r="A3" s="52" t="s">
        <v>62</v>
      </c>
      <c r="B3" s="52" t="s">
        <v>63</v>
      </c>
      <c r="C3" s="52" t="s">
        <v>1229</v>
      </c>
      <c r="D3" s="52" t="s">
        <v>1230</v>
      </c>
      <c r="E3" s="52" t="s">
        <v>1231</v>
      </c>
      <c r="F3" s="53" t="n">
        <v>393500</v>
      </c>
      <c r="G3" s="52" t="s">
        <v>52</v>
      </c>
      <c r="H3" s="52" t="s">
        <v>1232</v>
      </c>
      <c r="I3" s="26" t="s">
        <v>1233</v>
      </c>
      <c r="J3" s="27" t="s">
        <v>1234</v>
      </c>
    </row>
    <row r="4" customFormat="false" ht="22.35" hidden="false" customHeight="false" outlineLevel="0" collapsed="false">
      <c r="A4" s="52" t="s">
        <v>104</v>
      </c>
      <c r="B4" s="52" t="s">
        <v>105</v>
      </c>
      <c r="C4" s="52" t="s">
        <v>1235</v>
      </c>
      <c r="D4" s="52" t="s">
        <v>1236</v>
      </c>
      <c r="E4" s="52" t="s">
        <v>1237</v>
      </c>
      <c r="F4" s="53" t="n">
        <v>850000</v>
      </c>
      <c r="G4" s="52" t="s">
        <v>1238</v>
      </c>
      <c r="H4" s="52" t="s">
        <v>1239</v>
      </c>
      <c r="I4" s="26" t="s">
        <v>1240</v>
      </c>
      <c r="J4" s="27" t="s">
        <v>1241</v>
      </c>
    </row>
    <row r="5" customFormat="false" ht="22.35" hidden="false" customHeight="false" outlineLevel="0" collapsed="false">
      <c r="A5" s="52" t="s">
        <v>277</v>
      </c>
      <c r="B5" s="52" t="s">
        <v>278</v>
      </c>
      <c r="C5" s="52" t="s">
        <v>1235</v>
      </c>
      <c r="D5" s="52" t="s">
        <v>1242</v>
      </c>
      <c r="E5" s="52" t="s">
        <v>1243</v>
      </c>
      <c r="F5" s="53" t="n">
        <v>1328703.93</v>
      </c>
      <c r="G5" s="52" t="s">
        <v>1244</v>
      </c>
      <c r="H5" s="52" t="s">
        <v>1245</v>
      </c>
      <c r="I5" s="26" t="s">
        <v>1246</v>
      </c>
      <c r="J5" s="27" t="s">
        <v>1247</v>
      </c>
    </row>
    <row r="6" customFormat="false" ht="14.25" hidden="false" customHeight="false" outlineLevel="0" collapsed="false">
      <c r="A6" s="52" t="s">
        <v>300</v>
      </c>
      <c r="B6" s="52" t="s">
        <v>301</v>
      </c>
      <c r="C6" s="52" t="s">
        <v>1235</v>
      </c>
      <c r="D6" s="52" t="s">
        <v>1242</v>
      </c>
      <c r="E6" s="52" t="s">
        <v>1237</v>
      </c>
      <c r="F6" s="53" t="n">
        <v>1139300.87</v>
      </c>
      <c r="G6" s="52" t="s">
        <v>1248</v>
      </c>
      <c r="H6" s="52" t="s">
        <v>1245</v>
      </c>
      <c r="I6" s="26" t="s">
        <v>1249</v>
      </c>
      <c r="J6" s="27" t="s">
        <v>1250</v>
      </c>
    </row>
    <row r="7" customFormat="false" ht="22.35" hidden="false" customHeight="false" outlineLevel="0" collapsed="false">
      <c r="A7" s="52" t="s">
        <v>425</v>
      </c>
      <c r="B7" s="52" t="s">
        <v>426</v>
      </c>
      <c r="C7" s="52" t="s">
        <v>1235</v>
      </c>
      <c r="D7" s="52" t="s">
        <v>1236</v>
      </c>
      <c r="E7" s="52" t="s">
        <v>1251</v>
      </c>
      <c r="F7" s="53" t="n">
        <v>233546.68</v>
      </c>
      <c r="G7" s="52" t="s">
        <v>421</v>
      </c>
      <c r="H7" s="52" t="s">
        <v>1252</v>
      </c>
      <c r="I7" s="26" t="s">
        <v>1253</v>
      </c>
      <c r="J7" s="27" t="s">
        <v>1254</v>
      </c>
    </row>
    <row r="8" customFormat="false" ht="22.5" hidden="false" customHeight="true" outlineLevel="0" collapsed="false">
      <c r="A8" s="52" t="s">
        <v>1255</v>
      </c>
      <c r="B8" s="52" t="s">
        <v>1256</v>
      </c>
      <c r="C8" s="52" t="s">
        <v>1257</v>
      </c>
      <c r="D8" s="52" t="s">
        <v>1258</v>
      </c>
      <c r="E8" s="52" t="s">
        <v>1259</v>
      </c>
      <c r="F8" s="53" t="n">
        <v>4881799.51</v>
      </c>
      <c r="G8" s="52" t="s">
        <v>1260</v>
      </c>
      <c r="H8" s="52" t="s">
        <v>1261</v>
      </c>
      <c r="I8" s="26" t="s">
        <v>1262</v>
      </c>
      <c r="J8" s="27" t="s">
        <v>1263</v>
      </c>
    </row>
    <row r="9" customFormat="false" ht="22.35" hidden="false" customHeight="false" outlineLevel="0" collapsed="false">
      <c r="A9" s="52" t="s">
        <v>631</v>
      </c>
      <c r="B9" s="52" t="s">
        <v>632</v>
      </c>
      <c r="C9" s="52" t="s">
        <v>1264</v>
      </c>
      <c r="D9" s="52" t="s">
        <v>1265</v>
      </c>
      <c r="E9" s="52" t="s">
        <v>1266</v>
      </c>
      <c r="F9" s="53" t="n">
        <v>1728513.25</v>
      </c>
      <c r="G9" s="52" t="s">
        <v>625</v>
      </c>
      <c r="H9" s="52" t="s">
        <v>1267</v>
      </c>
      <c r="I9" s="26" t="s">
        <v>1268</v>
      </c>
      <c r="J9" s="27" t="s">
        <v>1269</v>
      </c>
    </row>
    <row r="10" customFormat="false" ht="14.25" hidden="false" customHeight="false" outlineLevel="0" collapsed="false">
      <c r="A10" s="52" t="s">
        <v>1270</v>
      </c>
      <c r="B10" s="52" t="s">
        <v>1271</v>
      </c>
      <c r="C10" s="52" t="s">
        <v>1257</v>
      </c>
      <c r="D10" s="52" t="s">
        <v>1258</v>
      </c>
      <c r="E10" s="52" t="s">
        <v>1272</v>
      </c>
      <c r="F10" s="53" t="n">
        <v>260000.03</v>
      </c>
      <c r="G10" s="52" t="s">
        <v>1273</v>
      </c>
      <c r="H10" s="52" t="s">
        <v>1274</v>
      </c>
      <c r="I10" s="26" t="s">
        <v>1275</v>
      </c>
      <c r="J10" s="27" t="s">
        <v>1276</v>
      </c>
    </row>
    <row r="11" customFormat="false" ht="22.5" hidden="false" customHeight="true" outlineLevel="0" collapsed="false">
      <c r="A11" s="52" t="s">
        <v>1277</v>
      </c>
      <c r="B11" s="52" t="s">
        <v>1278</v>
      </c>
      <c r="C11" s="52" t="s">
        <v>1279</v>
      </c>
      <c r="D11" s="52" t="s">
        <v>1280</v>
      </c>
      <c r="E11" s="52" t="s">
        <v>1281</v>
      </c>
      <c r="F11" s="53" t="n">
        <v>87357.24</v>
      </c>
      <c r="G11" s="52" t="s">
        <v>1273</v>
      </c>
      <c r="H11" s="52" t="s">
        <v>1282</v>
      </c>
      <c r="I11" s="26" t="s">
        <v>1283</v>
      </c>
      <c r="J11" s="27" t="s">
        <v>1284</v>
      </c>
    </row>
    <row r="12" customFormat="false" ht="22.5" hidden="false" customHeight="true" outlineLevel="0" collapsed="false">
      <c r="A12" s="52" t="s">
        <v>1285</v>
      </c>
      <c r="B12" s="52" t="s">
        <v>1286</v>
      </c>
      <c r="C12" s="52" t="s">
        <v>1279</v>
      </c>
      <c r="D12" s="52" t="s">
        <v>1280</v>
      </c>
      <c r="E12" s="52" t="s">
        <v>1287</v>
      </c>
      <c r="F12" s="53" t="n">
        <v>218393.1</v>
      </c>
      <c r="G12" s="52" t="s">
        <v>1273</v>
      </c>
      <c r="H12" s="52" t="s">
        <v>1282</v>
      </c>
      <c r="I12" s="26" t="s">
        <v>1283</v>
      </c>
      <c r="J12" s="27" t="s">
        <v>1250</v>
      </c>
    </row>
    <row r="13" customFormat="false" ht="22.35" hidden="false" customHeight="false" outlineLevel="0" collapsed="false">
      <c r="A13" s="52" t="s">
        <v>1288</v>
      </c>
      <c r="B13" s="52" t="s">
        <v>1289</v>
      </c>
      <c r="C13" s="52" t="s">
        <v>1290</v>
      </c>
      <c r="D13" s="52" t="s">
        <v>1291</v>
      </c>
      <c r="E13" s="52" t="s">
        <v>1292</v>
      </c>
      <c r="F13" s="53" t="n">
        <v>241395</v>
      </c>
      <c r="G13" s="52" t="s">
        <v>1293</v>
      </c>
      <c r="H13" s="52" t="s">
        <v>1294</v>
      </c>
      <c r="I13" s="26" t="s">
        <v>1295</v>
      </c>
      <c r="J13" s="27" t="s">
        <v>1296</v>
      </c>
    </row>
    <row r="14" customFormat="false" ht="22.35" hidden="false" customHeight="false" outlineLevel="0" collapsed="false">
      <c r="A14" s="52" t="s">
        <v>1297</v>
      </c>
      <c r="B14" s="52" t="s">
        <v>1298</v>
      </c>
      <c r="C14" s="52" t="s">
        <v>1290</v>
      </c>
      <c r="D14" s="52" t="s">
        <v>1291</v>
      </c>
      <c r="E14" s="52" t="s">
        <v>1266</v>
      </c>
      <c r="F14" s="53" t="n">
        <v>49425</v>
      </c>
      <c r="G14" s="52" t="s">
        <v>1293</v>
      </c>
      <c r="H14" s="52" t="s">
        <v>1299</v>
      </c>
      <c r="I14" s="26" t="s">
        <v>1300</v>
      </c>
      <c r="J14" s="27" t="s">
        <v>1301</v>
      </c>
    </row>
    <row r="15" customFormat="false" ht="14.25" hidden="false" customHeight="false" outlineLevel="0" collapsed="false">
      <c r="A15" s="52" t="s">
        <v>1302</v>
      </c>
      <c r="B15" s="52" t="s">
        <v>1303</v>
      </c>
      <c r="C15" s="52" t="s">
        <v>1264</v>
      </c>
      <c r="D15" s="52" t="s">
        <v>1265</v>
      </c>
      <c r="E15" s="52" t="s">
        <v>1266</v>
      </c>
      <c r="F15" s="53" t="n">
        <v>591154.24</v>
      </c>
      <c r="G15" s="52" t="s">
        <v>1293</v>
      </c>
      <c r="H15" s="52" t="s">
        <v>1299</v>
      </c>
      <c r="I15" s="26" t="s">
        <v>1304</v>
      </c>
      <c r="J15" s="27" t="s">
        <v>1305</v>
      </c>
    </row>
    <row r="16" customFormat="false" ht="14.25" hidden="false" customHeight="false" outlineLevel="0" collapsed="false">
      <c r="A16" s="52" t="s">
        <v>1306</v>
      </c>
      <c r="B16" s="52" t="s">
        <v>632</v>
      </c>
      <c r="C16" s="52" t="s">
        <v>1307</v>
      </c>
      <c r="D16" s="52" t="s">
        <v>1308</v>
      </c>
      <c r="E16" s="52" t="s">
        <v>1266</v>
      </c>
      <c r="F16" s="53" t="n">
        <v>182000</v>
      </c>
      <c r="G16" s="52" t="s">
        <v>1293</v>
      </c>
      <c r="H16" s="52" t="s">
        <v>1299</v>
      </c>
      <c r="I16" s="26" t="s">
        <v>1309</v>
      </c>
      <c r="J16" s="27" t="s">
        <v>1305</v>
      </c>
    </row>
    <row r="17" customFormat="false" ht="22.35" hidden="false" customHeight="false" outlineLevel="0" collapsed="false">
      <c r="A17" s="52" t="s">
        <v>1310</v>
      </c>
      <c r="B17" s="52" t="s">
        <v>1311</v>
      </c>
      <c r="C17" s="52" t="s">
        <v>1307</v>
      </c>
      <c r="D17" s="52" t="s">
        <v>1308</v>
      </c>
      <c r="E17" s="52" t="s">
        <v>1312</v>
      </c>
      <c r="F17" s="53" t="n">
        <v>386880</v>
      </c>
      <c r="G17" s="52" t="s">
        <v>1293</v>
      </c>
      <c r="H17" s="52" t="s">
        <v>1313</v>
      </c>
      <c r="I17" s="26" t="s">
        <v>1314</v>
      </c>
      <c r="J17" s="27" t="s">
        <v>1315</v>
      </c>
    </row>
    <row r="18" customFormat="false" ht="22.35" hidden="false" customHeight="false" outlineLevel="0" collapsed="false">
      <c r="A18" s="52" t="s">
        <v>1316</v>
      </c>
      <c r="B18" s="52" t="s">
        <v>1317</v>
      </c>
      <c r="C18" s="52" t="s">
        <v>1307</v>
      </c>
      <c r="D18" s="52" t="s">
        <v>1308</v>
      </c>
      <c r="E18" s="52" t="s">
        <v>1318</v>
      </c>
      <c r="F18" s="53" t="n">
        <v>100000</v>
      </c>
      <c r="G18" s="52" t="s">
        <v>1293</v>
      </c>
      <c r="H18" s="52" t="s">
        <v>1319</v>
      </c>
      <c r="I18" s="26" t="s">
        <v>1320</v>
      </c>
      <c r="J18" s="27" t="s">
        <v>1321</v>
      </c>
    </row>
    <row r="19" customFormat="false" ht="14.25" hidden="false" customHeight="false" outlineLevel="0" collapsed="false">
      <c r="A19" s="52" t="s">
        <v>1322</v>
      </c>
      <c r="B19" s="52" t="s">
        <v>1323</v>
      </c>
      <c r="C19" s="52" t="s">
        <v>1307</v>
      </c>
      <c r="D19" s="52" t="s">
        <v>1308</v>
      </c>
      <c r="E19" s="52" t="s">
        <v>1266</v>
      </c>
      <c r="F19" s="53" t="n">
        <v>110000</v>
      </c>
      <c r="G19" s="52" t="s">
        <v>1293</v>
      </c>
      <c r="H19" s="52" t="s">
        <v>1299</v>
      </c>
      <c r="I19" s="26" t="s">
        <v>1324</v>
      </c>
      <c r="J19" s="27" t="s">
        <v>1305</v>
      </c>
    </row>
    <row r="20" customFormat="false" ht="22.5" hidden="false" customHeight="true" outlineLevel="0" collapsed="false">
      <c r="A20" s="52" t="s">
        <v>1325</v>
      </c>
      <c r="B20" s="52" t="s">
        <v>1326</v>
      </c>
      <c r="C20" s="52" t="s">
        <v>1327</v>
      </c>
      <c r="D20" s="52" t="s">
        <v>1328</v>
      </c>
      <c r="E20" s="52" t="s">
        <v>1266</v>
      </c>
      <c r="F20" s="53" t="n">
        <v>193140</v>
      </c>
      <c r="G20" s="52" t="s">
        <v>1293</v>
      </c>
      <c r="H20" s="52" t="s">
        <v>1329</v>
      </c>
      <c r="I20" s="26" t="s">
        <v>1330</v>
      </c>
      <c r="J20" s="27" t="s">
        <v>1331</v>
      </c>
    </row>
    <row r="21" customFormat="false" ht="22.35" hidden="false" customHeight="false" outlineLevel="0" collapsed="false">
      <c r="A21" s="52" t="s">
        <v>1332</v>
      </c>
      <c r="B21" s="52" t="s">
        <v>1333</v>
      </c>
      <c r="C21" s="52" t="s">
        <v>1257</v>
      </c>
      <c r="D21" s="52" t="s">
        <v>1258</v>
      </c>
      <c r="E21" s="52" t="s">
        <v>1334</v>
      </c>
      <c r="F21" s="53" t="n">
        <v>43262.03</v>
      </c>
      <c r="G21" s="52" t="s">
        <v>1293</v>
      </c>
      <c r="H21" s="52" t="s">
        <v>1335</v>
      </c>
      <c r="I21" s="26" t="s">
        <v>1336</v>
      </c>
      <c r="J21" s="27" t="s">
        <v>1337</v>
      </c>
    </row>
    <row r="22" customFormat="false" ht="22.35" hidden="false" customHeight="false" outlineLevel="0" collapsed="false">
      <c r="A22" s="52" t="s">
        <v>950</v>
      </c>
      <c r="B22" s="52" t="s">
        <v>951</v>
      </c>
      <c r="C22" s="52" t="s">
        <v>1338</v>
      </c>
      <c r="D22" s="52" t="s">
        <v>1339</v>
      </c>
      <c r="E22" s="52" t="s">
        <v>1340</v>
      </c>
      <c r="F22" s="53" t="n">
        <v>601341.12</v>
      </c>
      <c r="G22" s="52" t="s">
        <v>1341</v>
      </c>
      <c r="H22" s="52" t="s">
        <v>1342</v>
      </c>
      <c r="I22" s="26" t="s">
        <v>1343</v>
      </c>
      <c r="J22" s="27" t="s">
        <v>1344</v>
      </c>
    </row>
    <row r="23" customFormat="false" ht="22.35" hidden="false" customHeight="false" outlineLevel="0" collapsed="false">
      <c r="A23" s="52" t="s">
        <v>1345</v>
      </c>
      <c r="B23" s="52" t="s">
        <v>1346</v>
      </c>
      <c r="C23" s="52" t="s">
        <v>1347</v>
      </c>
      <c r="D23" s="52" t="s">
        <v>1348</v>
      </c>
      <c r="E23" s="52" t="s">
        <v>1349</v>
      </c>
      <c r="F23" s="53" t="n">
        <v>249883.91</v>
      </c>
      <c r="G23" s="52" t="s">
        <v>987</v>
      </c>
      <c r="H23" s="52" t="s">
        <v>1350</v>
      </c>
      <c r="I23" s="26" t="s">
        <v>1351</v>
      </c>
      <c r="J23" s="27" t="s">
        <v>1352</v>
      </c>
    </row>
    <row r="24" customFormat="false" ht="14.25" hidden="false" customHeight="false" outlineLevel="0" collapsed="false">
      <c r="A24" s="52" t="s">
        <v>1353</v>
      </c>
      <c r="B24" s="52" t="s">
        <v>1354</v>
      </c>
      <c r="C24" s="52" t="s">
        <v>1347</v>
      </c>
      <c r="D24" s="52" t="s">
        <v>1348</v>
      </c>
      <c r="E24" s="52" t="s">
        <v>1349</v>
      </c>
      <c r="F24" s="53" t="n">
        <v>2154062.56</v>
      </c>
      <c r="G24" s="52" t="s">
        <v>987</v>
      </c>
      <c r="H24" s="52" t="s">
        <v>1350</v>
      </c>
      <c r="I24" s="26" t="s">
        <v>1355</v>
      </c>
      <c r="J24" s="27" t="s">
        <v>1250</v>
      </c>
    </row>
    <row r="25" customFormat="false" ht="14.25" hidden="false" customHeight="false" outlineLevel="0" collapsed="false">
      <c r="A25" s="52" t="s">
        <v>1356</v>
      </c>
      <c r="B25" s="52" t="s">
        <v>1354</v>
      </c>
      <c r="C25" s="52" t="s">
        <v>1347</v>
      </c>
      <c r="D25" s="52" t="s">
        <v>1348</v>
      </c>
      <c r="E25" s="52" t="s">
        <v>1349</v>
      </c>
      <c r="F25" s="53" t="n">
        <v>759140.99</v>
      </c>
      <c r="G25" s="52" t="s">
        <v>987</v>
      </c>
      <c r="H25" s="52" t="s">
        <v>1350</v>
      </c>
      <c r="I25" s="26" t="s">
        <v>1355</v>
      </c>
      <c r="J25" s="27" t="s">
        <v>1250</v>
      </c>
    </row>
    <row r="27" customFormat="false" ht="14.25" hidden="false" customHeight="false" outlineLevel="0" collapsed="false">
      <c r="A27" s="54"/>
      <c r="E27" s="54" t="s">
        <v>1357</v>
      </c>
      <c r="F27" s="54" t="n">
        <f aca="false">SUM(F3:F25)</f>
        <v>16782799.46</v>
      </c>
    </row>
    <row r="28" customFormat="false" ht="14.25" hidden="false" customHeight="false" outlineLevel="0" collapsed="false">
      <c r="A28" s="54"/>
      <c r="E28" s="54" t="s">
        <v>1358</v>
      </c>
      <c r="F28" s="54" t="n">
        <v>16576852.44</v>
      </c>
    </row>
    <row r="29" customFormat="false" ht="14.25" hidden="false" customHeight="false" outlineLevel="0" collapsed="false">
      <c r="A29" s="54"/>
      <c r="E29" s="54" t="s">
        <v>1359</v>
      </c>
      <c r="F29" s="54" t="n">
        <f aca="false">F27-F28</f>
        <v>205947.020000001</v>
      </c>
    </row>
    <row r="30" customFormat="false" ht="14.25" hidden="false" customHeight="false" outlineLevel="0" collapsed="false">
      <c r="A30" s="54"/>
      <c r="E30" s="54" t="s">
        <v>1360</v>
      </c>
      <c r="F30" s="54" t="n">
        <f aca="false">F27-CARACTERIZACAO!Q163</f>
        <v>0</v>
      </c>
    </row>
    <row r="31" customFormat="false" ht="14.25" hidden="false" customHeight="false" outlineLevel="0" collapsed="false">
      <c r="A31" s="54"/>
      <c r="E31" s="54"/>
      <c r="F31" s="54"/>
    </row>
    <row r="32" customFormat="false" ht="14.25" hidden="false" customHeight="false" outlineLevel="0" collapsed="false">
      <c r="A32" s="55" t="s">
        <v>1361</v>
      </c>
      <c r="B32" s="55"/>
      <c r="C32" s="55"/>
      <c r="D32" s="55"/>
      <c r="E32" s="55"/>
      <c r="F32" s="54"/>
    </row>
  </sheetData>
  <mergeCells count="1">
    <mergeCell ref="A32:E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40"/>
    <col collapsed="false" customWidth="true" hidden="false" outlineLevel="0" max="3" min="3" style="0" width="30"/>
    <col collapsed="false" customWidth="true" hidden="false" outlineLevel="0" max="4" min="4" style="0" width="14"/>
    <col collapsed="false" customWidth="true" hidden="false" outlineLevel="0" max="5" min="5" style="0" width="70"/>
    <col collapsed="false" customWidth="true" hidden="false" outlineLevel="0" max="6" min="6" style="0" width="16"/>
    <col collapsed="false" customWidth="true" hidden="false" outlineLevel="0" max="7" min="7" style="0" width="38"/>
    <col collapsed="false" customWidth="true" hidden="false" outlineLevel="0" max="8" min="8" style="0" width="28"/>
    <col collapsed="false" customWidth="true" hidden="false" outlineLevel="0" max="9" min="9" style="0" width="60"/>
  </cols>
  <sheetData>
    <row r="1" customFormat="false" ht="15" hidden="false" customHeight="false" outlineLevel="0" collapsed="false">
      <c r="A1" s="56" t="s">
        <v>1362</v>
      </c>
    </row>
    <row r="3" customFormat="false" ht="15" hidden="false" customHeight="false" outlineLevel="0" collapsed="false">
      <c r="A3" s="44" t="s">
        <v>1363</v>
      </c>
      <c r="B3" s="44" t="s">
        <v>1364</v>
      </c>
      <c r="C3" s="44" t="s">
        <v>1365</v>
      </c>
      <c r="D3" s="44" t="s">
        <v>1220</v>
      </c>
      <c r="E3" s="44" t="s">
        <v>1366</v>
      </c>
      <c r="F3" s="44" t="s">
        <v>1367</v>
      </c>
      <c r="G3" s="44" t="s">
        <v>1368</v>
      </c>
      <c r="H3" s="44" t="s">
        <v>1369</v>
      </c>
      <c r="I3" s="44" t="s">
        <v>1370</v>
      </c>
    </row>
    <row r="4" customFormat="false" ht="22.35" hidden="false" customHeight="false" outlineLevel="0" collapsed="false">
      <c r="A4" s="26" t="s">
        <v>1371</v>
      </c>
      <c r="B4" s="26" t="s">
        <v>1372</v>
      </c>
      <c r="C4" s="26" t="s">
        <v>1373</v>
      </c>
      <c r="D4" s="26" t="s">
        <v>1374</v>
      </c>
      <c r="E4" s="26" t="s">
        <v>1375</v>
      </c>
      <c r="F4" s="46" t="n">
        <v>393500</v>
      </c>
      <c r="G4" s="26" t="s">
        <v>1376</v>
      </c>
      <c r="H4" s="27" t="s">
        <v>1377</v>
      </c>
      <c r="I4" s="27" t="s">
        <v>1378</v>
      </c>
    </row>
    <row r="5" customFormat="false" ht="22.35" hidden="false" customHeight="false" outlineLevel="0" collapsed="false">
      <c r="A5" s="26" t="s">
        <v>1379</v>
      </c>
      <c r="B5" s="26" t="s">
        <v>106</v>
      </c>
      <c r="C5" s="26" t="s">
        <v>1380</v>
      </c>
      <c r="D5" s="26" t="s">
        <v>1381</v>
      </c>
      <c r="E5" s="26" t="s">
        <v>1382</v>
      </c>
      <c r="F5" s="46" t="n">
        <v>850000</v>
      </c>
      <c r="G5" s="26" t="s">
        <v>1383</v>
      </c>
      <c r="H5" s="27" t="s">
        <v>1377</v>
      </c>
      <c r="I5" s="27" t="s">
        <v>1384</v>
      </c>
    </row>
    <row r="6" customFormat="false" ht="32.8" hidden="false" customHeight="false" outlineLevel="0" collapsed="false">
      <c r="A6" s="26" t="s">
        <v>1385</v>
      </c>
      <c r="B6" s="26" t="s">
        <v>106</v>
      </c>
      <c r="C6" s="26" t="s">
        <v>1386</v>
      </c>
      <c r="D6" s="26" t="s">
        <v>1387</v>
      </c>
      <c r="E6" s="26" t="s">
        <v>1388</v>
      </c>
      <c r="F6" s="46" t="n">
        <v>2630491.47</v>
      </c>
      <c r="G6" s="26" t="s">
        <v>1389</v>
      </c>
      <c r="H6" s="27" t="s">
        <v>1377</v>
      </c>
      <c r="I6" s="27" t="s">
        <v>1390</v>
      </c>
    </row>
    <row r="7" customFormat="false" ht="32.8" hidden="false" customHeight="false" outlineLevel="0" collapsed="false">
      <c r="A7" s="26" t="s">
        <v>1391</v>
      </c>
      <c r="B7" s="26" t="s">
        <v>1392</v>
      </c>
      <c r="C7" s="26" t="s">
        <v>1393</v>
      </c>
      <c r="D7" s="26" t="s">
        <v>1394</v>
      </c>
      <c r="E7" s="26" t="s">
        <v>1395</v>
      </c>
      <c r="F7" s="46" t="n">
        <v>8992832.34</v>
      </c>
      <c r="G7" s="26" t="s">
        <v>1396</v>
      </c>
      <c r="H7" s="27" t="s">
        <v>1377</v>
      </c>
      <c r="I7" s="27" t="s">
        <v>1397</v>
      </c>
    </row>
    <row r="8" customFormat="false" ht="32.8" hidden="false" customHeight="false" outlineLevel="0" collapsed="false">
      <c r="A8" s="26" t="s">
        <v>1398</v>
      </c>
      <c r="B8" s="26" t="s">
        <v>952</v>
      </c>
      <c r="C8" s="26" t="s">
        <v>1399</v>
      </c>
      <c r="D8" s="26" t="s">
        <v>1400</v>
      </c>
      <c r="E8" s="26" t="s">
        <v>1401</v>
      </c>
      <c r="F8" s="46" t="n">
        <v>757325.08</v>
      </c>
      <c r="G8" s="26" t="s">
        <v>1402</v>
      </c>
      <c r="H8" s="27" t="s">
        <v>1377</v>
      </c>
      <c r="I8" s="27" t="s">
        <v>1403</v>
      </c>
    </row>
    <row r="9" customFormat="false" ht="22.35" hidden="false" customHeight="false" outlineLevel="0" collapsed="false">
      <c r="A9" s="26" t="s">
        <v>1404</v>
      </c>
      <c r="B9" s="26" t="s">
        <v>1405</v>
      </c>
      <c r="C9" s="26" t="s">
        <v>1406</v>
      </c>
      <c r="D9" s="26" t="s">
        <v>1407</v>
      </c>
      <c r="E9" s="26" t="s">
        <v>1408</v>
      </c>
      <c r="F9" s="46" t="n">
        <v>3163087.46</v>
      </c>
      <c r="G9" s="26" t="s">
        <v>1409</v>
      </c>
      <c r="H9" s="27" t="s">
        <v>1377</v>
      </c>
      <c r="I9" s="27" t="s">
        <v>1410</v>
      </c>
    </row>
    <row r="10" customFormat="false" ht="32.8" hidden="false" customHeight="false" outlineLevel="0" collapsed="false">
      <c r="A10" s="26" t="s">
        <v>1411</v>
      </c>
      <c r="B10" s="26" t="s">
        <v>1412</v>
      </c>
      <c r="C10" s="26" t="s">
        <v>1413</v>
      </c>
      <c r="D10" s="26" t="s">
        <v>1414</v>
      </c>
      <c r="E10" s="26" t="s">
        <v>1415</v>
      </c>
      <c r="F10" s="46" t="n">
        <v>300000</v>
      </c>
      <c r="G10" s="26" t="s">
        <v>1416</v>
      </c>
      <c r="H10" s="27" t="s">
        <v>1417</v>
      </c>
      <c r="I10" s="27" t="s">
        <v>1418</v>
      </c>
    </row>
    <row r="11" customFormat="false" ht="22.35" hidden="false" customHeight="false" outlineLevel="0" collapsed="false">
      <c r="A11" s="26" t="s">
        <v>1419</v>
      </c>
      <c r="B11" s="26" t="s">
        <v>1420</v>
      </c>
      <c r="C11" s="26" t="s">
        <v>1421</v>
      </c>
      <c r="D11" s="26" t="s">
        <v>1422</v>
      </c>
      <c r="E11" s="26" t="s">
        <v>1423</v>
      </c>
      <c r="F11" s="46" t="n">
        <v>254648.57</v>
      </c>
      <c r="G11" s="26" t="s">
        <v>1424</v>
      </c>
      <c r="H11" s="27" t="s">
        <v>1425</v>
      </c>
      <c r="I11" s="27" t="s">
        <v>1426</v>
      </c>
    </row>
    <row r="12" customFormat="false" ht="22.35" hidden="false" customHeight="false" outlineLevel="0" collapsed="false">
      <c r="A12" s="26" t="s">
        <v>1427</v>
      </c>
      <c r="B12" s="26" t="s">
        <v>1428</v>
      </c>
      <c r="C12" s="26" t="s">
        <v>1429</v>
      </c>
      <c r="D12" s="26" t="s">
        <v>1430</v>
      </c>
      <c r="E12" s="26" t="s">
        <v>1431</v>
      </c>
      <c r="F12" s="46" t="n">
        <v>386880</v>
      </c>
      <c r="G12" s="26" t="s">
        <v>1432</v>
      </c>
      <c r="H12" s="27" t="s">
        <v>1433</v>
      </c>
      <c r="I12" s="27" t="s">
        <v>1434</v>
      </c>
    </row>
    <row r="13" customFormat="false" ht="15" hidden="false" customHeight="false" outlineLevel="0" collapsed="false">
      <c r="A13" s="26" t="s">
        <v>1435</v>
      </c>
      <c r="B13" s="26" t="s">
        <v>1436</v>
      </c>
      <c r="C13" s="26" t="s">
        <v>1437</v>
      </c>
      <c r="D13" s="26" t="s">
        <v>1438</v>
      </c>
      <c r="E13" s="26" t="s">
        <v>1439</v>
      </c>
      <c r="F13" s="46" t="n">
        <v>724000</v>
      </c>
      <c r="G13" s="26" t="s">
        <v>1424</v>
      </c>
      <c r="H13" s="27" t="s">
        <v>1440</v>
      </c>
      <c r="I13" s="27" t="s">
        <v>1441</v>
      </c>
    </row>
    <row r="14" customFormat="false" ht="22.35" hidden="false" customHeight="false" outlineLevel="0" collapsed="false">
      <c r="A14" s="26" t="s">
        <v>1442</v>
      </c>
      <c r="B14" s="26" t="s">
        <v>1443</v>
      </c>
      <c r="C14" s="26" t="s">
        <v>1444</v>
      </c>
      <c r="D14" s="26" t="s">
        <v>1445</v>
      </c>
      <c r="E14" s="26" t="s">
        <v>1446</v>
      </c>
      <c r="F14" s="46" t="n">
        <v>165815.49</v>
      </c>
      <c r="G14" s="26" t="s">
        <v>1447</v>
      </c>
      <c r="H14" s="27" t="s">
        <v>1448</v>
      </c>
      <c r="I14" s="27" t="s">
        <v>1449</v>
      </c>
    </row>
    <row r="15" customFormat="false" ht="22.35" hidden="false" customHeight="false" outlineLevel="0" collapsed="false">
      <c r="A15" s="26" t="s">
        <v>1450</v>
      </c>
      <c r="B15" s="26" t="s">
        <v>1451</v>
      </c>
      <c r="C15" s="26" t="s">
        <v>1452</v>
      </c>
      <c r="D15" s="26" t="s">
        <v>1453</v>
      </c>
      <c r="E15" s="26" t="s">
        <v>1454</v>
      </c>
      <c r="F15" s="46" t="n">
        <v>896452.7</v>
      </c>
      <c r="G15" s="26" t="s">
        <v>1447</v>
      </c>
      <c r="H15" s="27" t="s">
        <v>1455</v>
      </c>
      <c r="I15" s="27" t="s">
        <v>1456</v>
      </c>
    </row>
    <row r="16" customFormat="false" ht="22.35" hidden="false" customHeight="false" outlineLevel="0" collapsed="false">
      <c r="A16" s="26" t="s">
        <v>1457</v>
      </c>
      <c r="B16" s="26" t="s">
        <v>1458</v>
      </c>
      <c r="C16" s="26" t="s">
        <v>1459</v>
      </c>
      <c r="D16" s="26" t="s">
        <v>1460</v>
      </c>
      <c r="E16" s="26" t="s">
        <v>1461</v>
      </c>
      <c r="F16" s="46" t="n">
        <v>17561000</v>
      </c>
      <c r="G16" s="26" t="s">
        <v>1424</v>
      </c>
      <c r="H16" s="27" t="s">
        <v>1462</v>
      </c>
      <c r="I16" s="27" t="s">
        <v>1463</v>
      </c>
    </row>
    <row r="17" customFormat="false" ht="15" hidden="false" customHeight="false" outlineLevel="0" collapsed="false">
      <c r="A17" s="26" t="s">
        <v>1464</v>
      </c>
      <c r="B17" s="26" t="s">
        <v>1465</v>
      </c>
      <c r="C17" s="26" t="s">
        <v>1466</v>
      </c>
      <c r="D17" s="26" t="s">
        <v>1467</v>
      </c>
      <c r="E17" s="26" t="s">
        <v>1468</v>
      </c>
      <c r="F17" s="46" t="n">
        <v>14600000</v>
      </c>
      <c r="G17" s="26" t="s">
        <v>1424</v>
      </c>
      <c r="H17" s="27" t="s">
        <v>1440</v>
      </c>
      <c r="I17" s="27" t="s">
        <v>1469</v>
      </c>
    </row>
    <row r="18" customFormat="false" ht="22.35" hidden="false" customHeight="false" outlineLevel="0" collapsed="false">
      <c r="A18" s="26" t="s">
        <v>1470</v>
      </c>
      <c r="B18" s="26" t="s">
        <v>1443</v>
      </c>
      <c r="C18" s="26" t="s">
        <v>1471</v>
      </c>
      <c r="D18" s="26" t="s">
        <v>1472</v>
      </c>
      <c r="E18" s="26" t="s">
        <v>1473</v>
      </c>
      <c r="F18" s="46" t="n">
        <v>75496.56</v>
      </c>
      <c r="G18" s="26" t="s">
        <v>1447</v>
      </c>
      <c r="H18" s="27" t="s">
        <v>1474</v>
      </c>
      <c r="I18" s="27" t="s">
        <v>1475</v>
      </c>
    </row>
    <row r="19" customFormat="false" ht="15" hidden="false" customHeight="false" outlineLevel="0" collapsed="false">
      <c r="A19" s="26" t="s">
        <v>1476</v>
      </c>
      <c r="B19" s="26" t="s">
        <v>1338</v>
      </c>
      <c r="C19" s="26" t="s">
        <v>1477</v>
      </c>
      <c r="D19" s="26" t="s">
        <v>1400</v>
      </c>
      <c r="E19" s="26" t="s">
        <v>1478</v>
      </c>
      <c r="F19" s="46" t="n">
        <v>757325.08</v>
      </c>
      <c r="G19" s="26" t="s">
        <v>1479</v>
      </c>
      <c r="H19" s="27" t="s">
        <v>1377</v>
      </c>
      <c r="I19" s="27" t="s">
        <v>1480</v>
      </c>
    </row>
    <row r="20" customFormat="false" ht="22.35" hidden="false" customHeight="false" outlineLevel="0" collapsed="false">
      <c r="A20" s="26" t="s">
        <v>1481</v>
      </c>
      <c r="B20" s="26" t="s">
        <v>1482</v>
      </c>
      <c r="C20" s="26" t="s">
        <v>1483</v>
      </c>
      <c r="D20" s="26" t="s">
        <v>1484</v>
      </c>
      <c r="E20" s="26" t="s">
        <v>1485</v>
      </c>
      <c r="F20" s="46" t="n">
        <v>15596702.35</v>
      </c>
      <c r="G20" s="26" t="s">
        <v>1447</v>
      </c>
      <c r="H20" s="27" t="s">
        <v>1486</v>
      </c>
      <c r="I20" s="27" t="s">
        <v>1487</v>
      </c>
    </row>
    <row r="21" customFormat="false" ht="22.35" hidden="false" customHeight="false" outlineLevel="0" collapsed="false">
      <c r="A21" s="26" t="s">
        <v>1488</v>
      </c>
      <c r="B21" s="26" t="s">
        <v>1489</v>
      </c>
      <c r="C21" s="26" t="s">
        <v>1490</v>
      </c>
      <c r="D21" s="26" t="s">
        <v>1491</v>
      </c>
      <c r="E21" s="26" t="s">
        <v>1492</v>
      </c>
      <c r="F21" s="46" t="n">
        <v>115055</v>
      </c>
      <c r="G21" s="26" t="s">
        <v>1447</v>
      </c>
      <c r="H21" s="27" t="s">
        <v>1455</v>
      </c>
      <c r="I21" s="27" t="s">
        <v>1493</v>
      </c>
    </row>
    <row r="22" customFormat="false" ht="22.35" hidden="false" customHeight="false" outlineLevel="0" collapsed="false">
      <c r="A22" s="26" t="s">
        <v>1494</v>
      </c>
      <c r="B22" s="26" t="s">
        <v>1495</v>
      </c>
      <c r="C22" s="26" t="s">
        <v>1496</v>
      </c>
      <c r="D22" s="26" t="s">
        <v>1445</v>
      </c>
      <c r="E22" s="26" t="s">
        <v>1497</v>
      </c>
      <c r="F22" s="46" t="n">
        <v>366307.56</v>
      </c>
      <c r="G22" s="26" t="s">
        <v>1447</v>
      </c>
      <c r="H22" s="27" t="s">
        <v>1498</v>
      </c>
      <c r="I22" s="27" t="s">
        <v>1499</v>
      </c>
    </row>
    <row r="23" customFormat="false" ht="22.35" hidden="false" customHeight="false" outlineLevel="0" collapsed="false">
      <c r="A23" s="26" t="s">
        <v>1500</v>
      </c>
      <c r="B23" s="26" t="s">
        <v>1501</v>
      </c>
      <c r="C23" s="26" t="s">
        <v>1502</v>
      </c>
      <c r="D23" s="26" t="s">
        <v>1503</v>
      </c>
      <c r="E23" s="26" t="s">
        <v>1504</v>
      </c>
      <c r="F23" s="46" t="n">
        <v>94998.64</v>
      </c>
      <c r="G23" s="26" t="s">
        <v>1447</v>
      </c>
      <c r="H23" s="27" t="s">
        <v>1505</v>
      </c>
      <c r="I23" s="27" t="s">
        <v>1506</v>
      </c>
    </row>
    <row r="24" customFormat="false" ht="32.8" hidden="false" customHeight="false" outlineLevel="0" collapsed="false">
      <c r="A24" s="26" t="s">
        <v>1507</v>
      </c>
      <c r="B24" s="26" t="s">
        <v>1508</v>
      </c>
      <c r="C24" s="26" t="s">
        <v>1509</v>
      </c>
      <c r="D24" s="26" t="s">
        <v>1510</v>
      </c>
      <c r="E24" s="26" t="s">
        <v>1511</v>
      </c>
      <c r="F24" s="46" t="n">
        <v>600000</v>
      </c>
      <c r="G24" s="26" t="s">
        <v>1447</v>
      </c>
      <c r="H24" s="27" t="s">
        <v>1512</v>
      </c>
      <c r="I24" s="27" t="s">
        <v>1513</v>
      </c>
    </row>
    <row r="25" customFormat="false" ht="22.35" hidden="false" customHeight="false" outlineLevel="0" collapsed="false">
      <c r="A25" s="26" t="s">
        <v>1514</v>
      </c>
      <c r="B25" s="26" t="s">
        <v>1515</v>
      </c>
      <c r="C25" s="26" t="s">
        <v>1516</v>
      </c>
      <c r="D25" s="26" t="s">
        <v>1517</v>
      </c>
      <c r="E25" s="26" t="s">
        <v>1518</v>
      </c>
      <c r="F25" s="46" t="n">
        <v>655438.22</v>
      </c>
      <c r="G25" s="26" t="s">
        <v>1519</v>
      </c>
      <c r="H25" s="27" t="s">
        <v>1520</v>
      </c>
      <c r="I25" s="27" t="s">
        <v>1521</v>
      </c>
    </row>
    <row r="26" customFormat="false" ht="15" hidden="false" customHeight="false" outlineLevel="0" collapsed="false">
      <c r="A26" s="26" t="s">
        <v>1522</v>
      </c>
      <c r="B26" s="26" t="s">
        <v>1523</v>
      </c>
      <c r="C26" s="26" t="s">
        <v>1516</v>
      </c>
      <c r="D26" s="26" t="s">
        <v>1517</v>
      </c>
      <c r="E26" s="26" t="s">
        <v>1524</v>
      </c>
      <c r="F26" s="46" t="n">
        <v>3008009.21</v>
      </c>
      <c r="G26" s="26" t="s">
        <v>1424</v>
      </c>
      <c r="H26" s="27" t="s">
        <v>1525</v>
      </c>
      <c r="I26" s="27" t="s">
        <v>1526</v>
      </c>
    </row>
    <row r="27" customFormat="false" ht="22.35" hidden="false" customHeight="false" outlineLevel="0" collapsed="false">
      <c r="A27" s="26" t="s">
        <v>1527</v>
      </c>
      <c r="B27" s="26" t="s">
        <v>1528</v>
      </c>
      <c r="C27" s="26" t="s">
        <v>1529</v>
      </c>
      <c r="D27" s="26" t="s">
        <v>1530</v>
      </c>
      <c r="E27" s="26" t="s">
        <v>1531</v>
      </c>
      <c r="F27" s="46" t="n">
        <v>2348558.5</v>
      </c>
      <c r="G27" s="26" t="s">
        <v>1424</v>
      </c>
      <c r="H27" s="27" t="s">
        <v>1525</v>
      </c>
      <c r="I27" s="27" t="s">
        <v>1532</v>
      </c>
    </row>
    <row r="28" customFormat="false" ht="22.35" hidden="false" customHeight="false" outlineLevel="0" collapsed="false">
      <c r="A28" s="26" t="s">
        <v>1533</v>
      </c>
      <c r="B28" s="26" t="s">
        <v>1534</v>
      </c>
      <c r="C28" s="26" t="s">
        <v>1535</v>
      </c>
      <c r="D28" s="26" t="s">
        <v>1536</v>
      </c>
      <c r="E28" s="26" t="s">
        <v>1537</v>
      </c>
      <c r="F28" s="46" t="n">
        <v>645564.93</v>
      </c>
      <c r="G28" s="26" t="s">
        <v>1424</v>
      </c>
      <c r="H28" s="27" t="s">
        <v>1525</v>
      </c>
      <c r="I28" s="27" t="s">
        <v>1538</v>
      </c>
    </row>
    <row r="29" customFormat="false" ht="15" hidden="false" customHeight="false" outlineLevel="0" collapsed="false">
      <c r="A29" s="26" t="s">
        <v>1539</v>
      </c>
      <c r="B29" s="26" t="s">
        <v>1540</v>
      </c>
      <c r="C29" s="26" t="s">
        <v>1541</v>
      </c>
      <c r="D29" s="26" t="s">
        <v>1542</v>
      </c>
      <c r="E29" s="26" t="s">
        <v>1543</v>
      </c>
      <c r="F29" s="46" t="n">
        <v>17659.86</v>
      </c>
      <c r="G29" s="26" t="s">
        <v>1424</v>
      </c>
      <c r="H29" s="27" t="s">
        <v>1544</v>
      </c>
      <c r="I29" s="27" t="s">
        <v>1305</v>
      </c>
    </row>
    <row r="30" customFormat="false" ht="22.35" hidden="false" customHeight="false" outlineLevel="0" collapsed="false">
      <c r="A30" s="26" t="s">
        <v>1545</v>
      </c>
      <c r="B30" s="26" t="s">
        <v>1546</v>
      </c>
      <c r="C30" s="26" t="s">
        <v>1547</v>
      </c>
      <c r="D30" s="26" t="s">
        <v>1414</v>
      </c>
      <c r="E30" s="26" t="s">
        <v>1548</v>
      </c>
      <c r="F30" s="46" t="n">
        <v>66684.04</v>
      </c>
      <c r="G30" s="26" t="s">
        <v>1549</v>
      </c>
      <c r="H30" s="27" t="s">
        <v>1550</v>
      </c>
      <c r="I30" s="27" t="s">
        <v>1551</v>
      </c>
    </row>
    <row r="31" customFormat="false" ht="22.35" hidden="false" customHeight="false" outlineLevel="0" collapsed="false">
      <c r="A31" s="26" t="s">
        <v>1552</v>
      </c>
      <c r="B31" s="26" t="s">
        <v>1528</v>
      </c>
      <c r="C31" s="26" t="s">
        <v>1553</v>
      </c>
      <c r="D31" s="26" t="s">
        <v>1554</v>
      </c>
      <c r="E31" s="26" t="s">
        <v>1555</v>
      </c>
      <c r="F31" s="46" t="n">
        <v>4376.71</v>
      </c>
      <c r="G31" s="26" t="s">
        <v>1424</v>
      </c>
      <c r="H31" s="27" t="s">
        <v>1525</v>
      </c>
      <c r="I31" s="27" t="s">
        <v>1305</v>
      </c>
    </row>
    <row r="32" customFormat="false" ht="22.35" hidden="false" customHeight="false" outlineLevel="0" collapsed="false">
      <c r="A32" s="26" t="s">
        <v>1556</v>
      </c>
      <c r="B32" s="26" t="s">
        <v>1557</v>
      </c>
      <c r="C32" s="26" t="s">
        <v>1558</v>
      </c>
      <c r="D32" s="26" t="s">
        <v>1445</v>
      </c>
      <c r="E32" s="26" t="s">
        <v>1559</v>
      </c>
      <c r="F32" s="46" t="n">
        <v>202500</v>
      </c>
      <c r="G32" s="26" t="s">
        <v>1447</v>
      </c>
      <c r="H32" s="27" t="s">
        <v>1560</v>
      </c>
      <c r="I32" s="27" t="s">
        <v>1561</v>
      </c>
    </row>
    <row r="33" customFormat="false" ht="15" hidden="false" customHeight="false" outlineLevel="0" collapsed="false">
      <c r="A33" s="26" t="s">
        <v>1562</v>
      </c>
      <c r="B33" s="26" t="s">
        <v>1563</v>
      </c>
      <c r="C33" s="26" t="s">
        <v>1564</v>
      </c>
      <c r="D33" s="26" t="s">
        <v>1554</v>
      </c>
      <c r="E33" s="26" t="s">
        <v>1565</v>
      </c>
      <c r="F33" s="46" t="n">
        <v>6950</v>
      </c>
      <c r="G33" s="26" t="s">
        <v>1424</v>
      </c>
      <c r="H33" s="27" t="s">
        <v>1566</v>
      </c>
      <c r="I33" s="27" t="s">
        <v>1305</v>
      </c>
    </row>
    <row r="34" customFormat="false" ht="22.35" hidden="false" customHeight="false" outlineLevel="0" collapsed="false">
      <c r="A34" s="26" t="s">
        <v>1567</v>
      </c>
      <c r="B34" s="26" t="s">
        <v>1568</v>
      </c>
      <c r="C34" s="26" t="s">
        <v>1569</v>
      </c>
      <c r="D34" s="26" t="s">
        <v>1400</v>
      </c>
      <c r="E34" s="26" t="s">
        <v>1570</v>
      </c>
      <c r="F34" s="46" t="n">
        <v>126347.04</v>
      </c>
      <c r="G34" s="26" t="s">
        <v>1424</v>
      </c>
      <c r="H34" s="27" t="s">
        <v>1571</v>
      </c>
      <c r="I34" s="27" t="s">
        <v>1305</v>
      </c>
    </row>
    <row r="35" customFormat="false" ht="22.35" hidden="false" customHeight="false" outlineLevel="0" collapsed="false">
      <c r="A35" s="26" t="s">
        <v>1572</v>
      </c>
      <c r="B35" s="26" t="s">
        <v>1428</v>
      </c>
      <c r="C35" s="26" t="s">
        <v>1573</v>
      </c>
      <c r="D35" s="26" t="s">
        <v>1574</v>
      </c>
      <c r="E35" s="26" t="s">
        <v>1575</v>
      </c>
      <c r="F35" s="46" t="n">
        <v>100000</v>
      </c>
      <c r="G35" s="26" t="s">
        <v>1576</v>
      </c>
      <c r="H35" s="27" t="s">
        <v>1577</v>
      </c>
      <c r="I35" s="27" t="s">
        <v>1578</v>
      </c>
    </row>
    <row r="36" customFormat="false" ht="22.35" hidden="false" customHeight="false" outlineLevel="0" collapsed="false">
      <c r="A36" s="26" t="s">
        <v>1579</v>
      </c>
      <c r="B36" s="26" t="s">
        <v>1580</v>
      </c>
      <c r="C36" s="26" t="s">
        <v>1581</v>
      </c>
      <c r="D36" s="26" t="s">
        <v>1582</v>
      </c>
      <c r="E36" s="26" t="s">
        <v>1583</v>
      </c>
      <c r="F36" s="46" t="n">
        <v>163621.16</v>
      </c>
      <c r="G36" s="26" t="s">
        <v>1424</v>
      </c>
      <c r="H36" s="27" t="s">
        <v>1584</v>
      </c>
      <c r="I36" s="27" t="s">
        <v>1585</v>
      </c>
    </row>
    <row r="37" customFormat="false" ht="22.35" hidden="false" customHeight="false" outlineLevel="0" collapsed="false">
      <c r="A37" s="26" t="s">
        <v>1586</v>
      </c>
      <c r="B37" s="26" t="s">
        <v>1587</v>
      </c>
      <c r="C37" s="26" t="s">
        <v>1588</v>
      </c>
      <c r="D37" s="26" t="s">
        <v>1589</v>
      </c>
      <c r="E37" s="26" t="s">
        <v>1590</v>
      </c>
      <c r="F37" s="46" t="n">
        <v>201244.95</v>
      </c>
      <c r="G37" s="26" t="s">
        <v>1424</v>
      </c>
      <c r="H37" s="27" t="s">
        <v>1591</v>
      </c>
      <c r="I37" s="27" t="s">
        <v>1305</v>
      </c>
    </row>
    <row r="38" customFormat="false" ht="22.35" hidden="false" customHeight="false" outlineLevel="0" collapsed="false">
      <c r="A38" s="26" t="s">
        <v>1592</v>
      </c>
      <c r="B38" s="26" t="s">
        <v>1593</v>
      </c>
      <c r="C38" s="26" t="s">
        <v>1594</v>
      </c>
      <c r="D38" s="26" t="s">
        <v>1595</v>
      </c>
      <c r="E38" s="26" t="s">
        <v>1596</v>
      </c>
      <c r="F38" s="46" t="n">
        <v>38100.81</v>
      </c>
      <c r="G38" s="26" t="s">
        <v>1424</v>
      </c>
      <c r="H38" s="27" t="s">
        <v>1597</v>
      </c>
      <c r="I38" s="27" t="s">
        <v>1305</v>
      </c>
    </row>
    <row r="39" customFormat="false" ht="15" hidden="false" customHeight="false" outlineLevel="0" collapsed="false">
      <c r="A39" s="26" t="s">
        <v>1598</v>
      </c>
      <c r="B39" s="26" t="s">
        <v>1599</v>
      </c>
      <c r="C39" s="26" t="s">
        <v>1600</v>
      </c>
      <c r="D39" s="26" t="s">
        <v>1601</v>
      </c>
      <c r="E39" s="26" t="s">
        <v>1602</v>
      </c>
      <c r="F39" s="46" t="n">
        <v>64227.6</v>
      </c>
      <c r="G39" s="26" t="s">
        <v>1424</v>
      </c>
      <c r="H39" s="27" t="s">
        <v>1603</v>
      </c>
      <c r="I39" s="27" t="s">
        <v>1305</v>
      </c>
    </row>
    <row r="40" customFormat="false" ht="15" hidden="false" customHeight="false" outlineLevel="0" collapsed="false">
      <c r="A40" s="26" t="s">
        <v>1604</v>
      </c>
      <c r="B40" s="26" t="s">
        <v>1605</v>
      </c>
      <c r="C40" s="26" t="s">
        <v>1606</v>
      </c>
      <c r="D40" s="26" t="s">
        <v>1582</v>
      </c>
      <c r="E40" s="26" t="s">
        <v>1607</v>
      </c>
      <c r="F40" s="46" t="n">
        <v>2895</v>
      </c>
      <c r="G40" s="26" t="s">
        <v>1424</v>
      </c>
      <c r="H40" s="27" t="s">
        <v>1608</v>
      </c>
      <c r="I40" s="27" t="s">
        <v>1305</v>
      </c>
    </row>
    <row r="41" customFormat="false" ht="22.35" hidden="false" customHeight="false" outlineLevel="0" collapsed="false">
      <c r="A41" s="26" t="s">
        <v>1609</v>
      </c>
      <c r="B41" s="26" t="s">
        <v>1610</v>
      </c>
      <c r="C41" s="26" t="s">
        <v>1611</v>
      </c>
      <c r="D41" s="26" t="s">
        <v>1612</v>
      </c>
      <c r="E41" s="26" t="s">
        <v>1613</v>
      </c>
      <c r="F41" s="46" t="n">
        <v>241395</v>
      </c>
      <c r="G41" s="26" t="s">
        <v>1614</v>
      </c>
      <c r="H41" s="27" t="s">
        <v>1615</v>
      </c>
      <c r="I41" s="27" t="s">
        <v>1616</v>
      </c>
    </row>
    <row r="42" customFormat="false" ht="43.25" hidden="false" customHeight="false" outlineLevel="0" collapsed="false">
      <c r="A42" s="26" t="s">
        <v>1617</v>
      </c>
      <c r="B42" s="26" t="s">
        <v>1508</v>
      </c>
      <c r="C42" s="26" t="s">
        <v>1618</v>
      </c>
      <c r="D42" s="26" t="s">
        <v>1619</v>
      </c>
      <c r="E42" s="26" t="s">
        <v>1620</v>
      </c>
      <c r="F42" s="46" t="n">
        <v>160530</v>
      </c>
      <c r="G42" s="26" t="s">
        <v>1447</v>
      </c>
      <c r="H42" s="27" t="s">
        <v>1512</v>
      </c>
      <c r="I42" s="27" t="s">
        <v>1621</v>
      </c>
    </row>
    <row r="43" customFormat="false" ht="22.35" hidden="false" customHeight="false" outlineLevel="0" collapsed="false">
      <c r="A43" s="26" t="s">
        <v>1622</v>
      </c>
      <c r="B43" s="26" t="s">
        <v>1623</v>
      </c>
      <c r="C43" s="26" t="s">
        <v>1624</v>
      </c>
      <c r="D43" s="26" t="s">
        <v>1625</v>
      </c>
      <c r="E43" s="26" t="s">
        <v>1626</v>
      </c>
      <c r="F43" s="46" t="n">
        <v>8185.21</v>
      </c>
      <c r="G43" s="26" t="s">
        <v>1627</v>
      </c>
      <c r="H43" s="27" t="s">
        <v>1628</v>
      </c>
      <c r="I43" s="27" t="s">
        <v>1629</v>
      </c>
    </row>
    <row r="44" customFormat="false" ht="22.35" hidden="false" customHeight="false" outlineLevel="0" collapsed="false">
      <c r="A44" s="26" t="s">
        <v>1630</v>
      </c>
      <c r="B44" s="26" t="s">
        <v>1631</v>
      </c>
      <c r="C44" s="26" t="s">
        <v>1632</v>
      </c>
      <c r="D44" s="26" t="s">
        <v>1633</v>
      </c>
      <c r="E44" s="26" t="s">
        <v>1634</v>
      </c>
      <c r="F44" s="46" t="n">
        <v>54996.53</v>
      </c>
      <c r="G44" s="26" t="s">
        <v>1424</v>
      </c>
      <c r="H44" s="27" t="s">
        <v>1505</v>
      </c>
      <c r="I44" s="27" t="s">
        <v>1635</v>
      </c>
    </row>
    <row r="45" customFormat="false" ht="22.35" hidden="false" customHeight="false" outlineLevel="0" collapsed="false">
      <c r="A45" s="26" t="s">
        <v>1636</v>
      </c>
      <c r="B45" s="26" t="s">
        <v>1637</v>
      </c>
      <c r="C45" s="26" t="s">
        <v>1638</v>
      </c>
      <c r="D45" s="26" t="s">
        <v>1589</v>
      </c>
      <c r="E45" s="26" t="s">
        <v>1639</v>
      </c>
      <c r="F45" s="46" t="n">
        <v>44680</v>
      </c>
      <c r="G45" s="26" t="s">
        <v>1640</v>
      </c>
      <c r="H45" s="27" t="s">
        <v>1641</v>
      </c>
      <c r="I45" s="27" t="s">
        <v>1305</v>
      </c>
    </row>
    <row r="46" customFormat="false" ht="15" hidden="false" customHeight="false" outlineLevel="0" collapsed="false">
      <c r="A46" s="26" t="s">
        <v>1642</v>
      </c>
      <c r="B46" s="26" t="s">
        <v>1643</v>
      </c>
      <c r="C46" s="26" t="s">
        <v>1644</v>
      </c>
      <c r="D46" s="26" t="s">
        <v>1445</v>
      </c>
      <c r="E46" s="26" t="s">
        <v>1645</v>
      </c>
      <c r="F46" s="46" t="n">
        <v>106301</v>
      </c>
      <c r="G46" s="26" t="s">
        <v>1646</v>
      </c>
      <c r="H46" s="27" t="s">
        <v>1647</v>
      </c>
      <c r="I46" s="27" t="s">
        <v>1648</v>
      </c>
    </row>
    <row r="47" customFormat="false" ht="22.35" hidden="false" customHeight="false" outlineLevel="0" collapsed="false">
      <c r="A47" s="26" t="s">
        <v>1649</v>
      </c>
      <c r="B47" s="26" t="s">
        <v>1650</v>
      </c>
      <c r="C47" s="26" t="s">
        <v>1651</v>
      </c>
      <c r="D47" s="26" t="s">
        <v>1619</v>
      </c>
      <c r="E47" s="26" t="s">
        <v>1652</v>
      </c>
      <c r="F47" s="46" t="n">
        <v>129732.24</v>
      </c>
      <c r="G47" s="26" t="s">
        <v>1424</v>
      </c>
      <c r="H47" s="27" t="s">
        <v>1525</v>
      </c>
      <c r="I47" s="27" t="s">
        <v>1305</v>
      </c>
    </row>
    <row r="48" customFormat="false" ht="15" hidden="false" customHeight="false" outlineLevel="0" collapsed="false">
      <c r="A48" s="26" t="s">
        <v>1653</v>
      </c>
      <c r="B48" s="26" t="s">
        <v>1654</v>
      </c>
      <c r="C48" s="26" t="s">
        <v>1655</v>
      </c>
      <c r="D48" s="26" t="s">
        <v>1656</v>
      </c>
      <c r="E48" s="26" t="s">
        <v>1657</v>
      </c>
      <c r="F48" s="46" t="n">
        <v>39904.3</v>
      </c>
      <c r="G48" s="26" t="s">
        <v>1424</v>
      </c>
      <c r="H48" s="27" t="s">
        <v>1525</v>
      </c>
      <c r="I48" s="27" t="s">
        <v>1658</v>
      </c>
    </row>
    <row r="49" customFormat="false" ht="22.35" hidden="false" customHeight="false" outlineLevel="0" collapsed="false">
      <c r="A49" s="26" t="s">
        <v>1659</v>
      </c>
      <c r="B49" s="26" t="s">
        <v>1660</v>
      </c>
      <c r="C49" s="26" t="s">
        <v>1661</v>
      </c>
      <c r="D49" s="26" t="s">
        <v>1662</v>
      </c>
      <c r="E49" s="26" t="s">
        <v>1663</v>
      </c>
      <c r="F49" s="46" t="n">
        <v>187795.83</v>
      </c>
      <c r="G49" s="26" t="s">
        <v>1424</v>
      </c>
      <c r="H49" s="27" t="s">
        <v>1525</v>
      </c>
      <c r="I49" s="27" t="s">
        <v>1305</v>
      </c>
    </row>
    <row r="50" customFormat="false" ht="22.35" hidden="false" customHeight="false" outlineLevel="0" collapsed="false">
      <c r="A50" s="26" t="s">
        <v>1664</v>
      </c>
      <c r="B50" s="26" t="s">
        <v>1665</v>
      </c>
      <c r="C50" s="26" t="s">
        <v>1666</v>
      </c>
      <c r="D50" s="26" t="s">
        <v>1667</v>
      </c>
      <c r="E50" s="26" t="s">
        <v>1668</v>
      </c>
      <c r="F50" s="46" t="n">
        <v>14368</v>
      </c>
      <c r="G50" s="26" t="s">
        <v>1424</v>
      </c>
      <c r="H50" s="27" t="s">
        <v>1505</v>
      </c>
      <c r="I50" s="27" t="s">
        <v>1305</v>
      </c>
    </row>
    <row r="51" customFormat="false" ht="22.35" hidden="false" customHeight="false" outlineLevel="0" collapsed="false">
      <c r="A51" s="26" t="s">
        <v>1669</v>
      </c>
      <c r="B51" s="26" t="s">
        <v>1670</v>
      </c>
      <c r="C51" s="26" t="s">
        <v>1671</v>
      </c>
      <c r="D51" s="26" t="s">
        <v>1672</v>
      </c>
      <c r="E51" s="26" t="s">
        <v>1673</v>
      </c>
      <c r="F51" s="46" t="n">
        <v>845227.71</v>
      </c>
      <c r="G51" s="26" t="s">
        <v>1424</v>
      </c>
      <c r="H51" s="27" t="s">
        <v>1674</v>
      </c>
      <c r="I51" s="27" t="s">
        <v>1675</v>
      </c>
    </row>
    <row r="52" customFormat="false" ht="22.35" hidden="false" customHeight="false" outlineLevel="0" collapsed="false">
      <c r="A52" s="26" t="s">
        <v>1676</v>
      </c>
      <c r="B52" s="26" t="s">
        <v>1677</v>
      </c>
      <c r="C52" s="26" t="s">
        <v>1678</v>
      </c>
      <c r="D52" s="26" t="s">
        <v>1601</v>
      </c>
      <c r="E52" s="26" t="s">
        <v>1679</v>
      </c>
      <c r="F52" s="46" t="n">
        <v>1400</v>
      </c>
      <c r="G52" s="26" t="s">
        <v>1424</v>
      </c>
      <c r="H52" s="27" t="s">
        <v>1680</v>
      </c>
      <c r="I52" s="27" t="s">
        <v>1305</v>
      </c>
    </row>
    <row r="54" customFormat="false" ht="15" hidden="false" customHeight="false" outlineLevel="0" collapsed="false">
      <c r="E54" s="49" t="s">
        <v>1681</v>
      </c>
      <c r="F54" s="48" t="n">
        <f aca="false">SUM(F4:F52)</f>
        <v>78768612.15</v>
      </c>
    </row>
    <row r="55" customFormat="false" ht="15" hidden="false" customHeight="false" outlineLevel="0" collapsed="false">
      <c r="E55" s="49" t="s">
        <v>1682</v>
      </c>
      <c r="F55" s="48" t="n">
        <f aca="false">393500+850000+2630491.47+8992832.34+546941.16+3163087.46</f>
        <v>16576852.43</v>
      </c>
    </row>
    <row r="56" customFormat="false" ht="15" hidden="false" customHeight="false" outlineLevel="0" collapsed="false">
      <c r="E56" s="49" t="s">
        <v>1683</v>
      </c>
      <c r="F56" s="48" t="n">
        <v>16576852.44</v>
      </c>
    </row>
    <row r="57" customFormat="false" ht="15" hidden="false" customHeight="false" outlineLevel="0" collapsed="false">
      <c r="E57" s="49" t="s">
        <v>1684</v>
      </c>
      <c r="F57" s="48" t="n">
        <f aca="false">F55-F56</f>
        <v>-0.00999999977648258</v>
      </c>
    </row>
  </sheetData>
  <autoFilter ref="A3:I5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2"/>
    <col collapsed="false" customWidth="true" hidden="false" outlineLevel="0" max="3" min="3" style="0" width="18"/>
    <col collapsed="false" customWidth="true" hidden="false" outlineLevel="0" max="4" min="4" style="0" width="90"/>
    <col collapsed="false" customWidth="true" hidden="false" outlineLevel="0" max="5" min="5" style="0" width="40"/>
    <col collapsed="false" customWidth="true" hidden="false" outlineLevel="0" max="6" min="6" style="0" width="50"/>
  </cols>
  <sheetData>
    <row r="1" customFormat="false" ht="15" hidden="false" customHeight="false" outlineLevel="0" collapsed="false">
      <c r="A1" s="43" t="s">
        <v>1685</v>
      </c>
    </row>
    <row r="3" customFormat="false" ht="15" hidden="false" customHeight="false" outlineLevel="0" collapsed="false">
      <c r="A3" s="57" t="s">
        <v>1686</v>
      </c>
      <c r="B3" s="57" t="s">
        <v>1687</v>
      </c>
      <c r="C3" s="57" t="s">
        <v>1688</v>
      </c>
      <c r="D3" s="57" t="s">
        <v>1689</v>
      </c>
      <c r="E3" s="57" t="s">
        <v>1690</v>
      </c>
      <c r="F3" s="57" t="s">
        <v>1691</v>
      </c>
    </row>
    <row r="4" customFormat="false" ht="32.8" hidden="false" customHeight="false" outlineLevel="0" collapsed="false">
      <c r="A4" s="27" t="s">
        <v>1692</v>
      </c>
      <c r="B4" s="27" t="s">
        <v>1693</v>
      </c>
      <c r="C4" s="27" t="s">
        <v>1694</v>
      </c>
      <c r="D4" s="27" t="s">
        <v>1695</v>
      </c>
      <c r="E4" s="27" t="s">
        <v>1696</v>
      </c>
      <c r="F4" s="27" t="s">
        <v>1697</v>
      </c>
    </row>
    <row r="5" customFormat="false" ht="22.35" hidden="false" customHeight="false" outlineLevel="0" collapsed="false">
      <c r="A5" s="27" t="s">
        <v>1698</v>
      </c>
      <c r="B5" s="27" t="s">
        <v>1699</v>
      </c>
      <c r="C5" s="27" t="s">
        <v>1694</v>
      </c>
      <c r="D5" s="27" t="s">
        <v>1700</v>
      </c>
      <c r="E5" s="27" t="s">
        <v>1701</v>
      </c>
      <c r="F5" s="27" t="s">
        <v>1250</v>
      </c>
    </row>
    <row r="6" customFormat="false" ht="32.8" hidden="false" customHeight="false" outlineLevel="0" collapsed="false">
      <c r="A6" s="27" t="s">
        <v>1702</v>
      </c>
      <c r="B6" s="27" t="s">
        <v>1703</v>
      </c>
      <c r="C6" s="27" t="s">
        <v>1704</v>
      </c>
      <c r="D6" s="27" t="s">
        <v>1705</v>
      </c>
      <c r="E6" s="27" t="s">
        <v>1706</v>
      </c>
      <c r="F6" s="27" t="s">
        <v>1707</v>
      </c>
    </row>
    <row r="7" customFormat="false" ht="22.35" hidden="false" customHeight="false" outlineLevel="0" collapsed="false">
      <c r="A7" s="27" t="s">
        <v>1708</v>
      </c>
      <c r="B7" s="27" t="s">
        <v>1709</v>
      </c>
      <c r="C7" s="27" t="s">
        <v>1710</v>
      </c>
      <c r="D7" s="27" t="s">
        <v>1711</v>
      </c>
      <c r="E7" s="27" t="s">
        <v>1712</v>
      </c>
      <c r="F7" s="27" t="s">
        <v>1713</v>
      </c>
    </row>
    <row r="8" customFormat="false" ht="22.35" hidden="false" customHeight="false" outlineLevel="0" collapsed="false">
      <c r="A8" s="27" t="s">
        <v>1714</v>
      </c>
      <c r="B8" s="27" t="s">
        <v>442</v>
      </c>
      <c r="C8" s="27" t="s">
        <v>1704</v>
      </c>
      <c r="D8" s="27" t="s">
        <v>1715</v>
      </c>
      <c r="E8" s="27" t="s">
        <v>1716</v>
      </c>
      <c r="F8" s="27" t="s">
        <v>1717</v>
      </c>
    </row>
    <row r="9" customFormat="false" ht="22.35" hidden="false" customHeight="false" outlineLevel="0" collapsed="false">
      <c r="A9" s="27" t="s">
        <v>1718</v>
      </c>
      <c r="B9" s="27" t="s">
        <v>1719</v>
      </c>
      <c r="C9" s="27" t="s">
        <v>1704</v>
      </c>
      <c r="D9" s="27" t="s">
        <v>1720</v>
      </c>
      <c r="E9" s="27" t="s">
        <v>1721</v>
      </c>
      <c r="F9" s="27" t="s">
        <v>1722</v>
      </c>
    </row>
    <row r="10" customFormat="false" ht="22.35" hidden="false" customHeight="false" outlineLevel="0" collapsed="false">
      <c r="A10" s="27" t="s">
        <v>1723</v>
      </c>
      <c r="B10" s="27" t="s">
        <v>52</v>
      </c>
      <c r="C10" s="27" t="s">
        <v>1710</v>
      </c>
      <c r="D10" s="27" t="s">
        <v>1724</v>
      </c>
      <c r="E10" s="27" t="s">
        <v>1725</v>
      </c>
      <c r="F10" s="27" t="s">
        <v>1726</v>
      </c>
    </row>
    <row r="11" customFormat="false" ht="32.8" hidden="false" customHeight="false" outlineLevel="0" collapsed="false">
      <c r="A11" s="27" t="s">
        <v>1727</v>
      </c>
      <c r="B11" s="27" t="s">
        <v>486</v>
      </c>
      <c r="C11" s="27" t="s">
        <v>1704</v>
      </c>
      <c r="D11" s="27" t="s">
        <v>1728</v>
      </c>
      <c r="E11" s="27" t="s">
        <v>1729</v>
      </c>
      <c r="F11" s="27" t="s">
        <v>1730</v>
      </c>
    </row>
    <row r="12" customFormat="false" ht="32.8" hidden="false" customHeight="false" outlineLevel="0" collapsed="false">
      <c r="A12" s="27" t="s">
        <v>1731</v>
      </c>
      <c r="B12" s="27" t="s">
        <v>486</v>
      </c>
      <c r="C12" s="27" t="s">
        <v>1704</v>
      </c>
      <c r="D12" s="27" t="s">
        <v>1732</v>
      </c>
      <c r="E12" s="27" t="s">
        <v>1733</v>
      </c>
      <c r="F12" s="27" t="s">
        <v>1734</v>
      </c>
    </row>
    <row r="13" customFormat="false" ht="32.8" hidden="false" customHeight="false" outlineLevel="0" collapsed="false">
      <c r="A13" s="27" t="s">
        <v>1735</v>
      </c>
      <c r="B13" s="27" t="s">
        <v>1736</v>
      </c>
      <c r="C13" s="27" t="s">
        <v>1737</v>
      </c>
      <c r="D13" s="27" t="s">
        <v>1738</v>
      </c>
      <c r="E13" s="27" t="s">
        <v>1739</v>
      </c>
      <c r="F13" s="27" t="s">
        <v>1740</v>
      </c>
    </row>
    <row r="14" customFormat="false" ht="22.35" hidden="false" customHeight="false" outlineLevel="0" collapsed="false">
      <c r="A14" s="27" t="s">
        <v>1741</v>
      </c>
      <c r="B14" s="27" t="s">
        <v>564</v>
      </c>
      <c r="C14" s="27" t="s">
        <v>1710</v>
      </c>
      <c r="D14" s="27" t="s">
        <v>1742</v>
      </c>
      <c r="E14" s="27" t="s">
        <v>1743</v>
      </c>
      <c r="F14" s="27" t="s">
        <v>1744</v>
      </c>
    </row>
    <row r="15" customFormat="false" ht="22.35" hidden="false" customHeight="false" outlineLevel="0" collapsed="false">
      <c r="A15" s="27" t="s">
        <v>1745</v>
      </c>
      <c r="B15" s="27" t="s">
        <v>486</v>
      </c>
      <c r="C15" s="27" t="s">
        <v>1704</v>
      </c>
      <c r="D15" s="27" t="s">
        <v>1746</v>
      </c>
      <c r="E15" s="27" t="s">
        <v>1747</v>
      </c>
      <c r="F15" s="27" t="s">
        <v>1748</v>
      </c>
    </row>
    <row r="16" customFormat="false" ht="22.35" hidden="false" customHeight="false" outlineLevel="0" collapsed="false">
      <c r="A16" s="27" t="s">
        <v>1749</v>
      </c>
      <c r="B16" s="27" t="s">
        <v>945</v>
      </c>
      <c r="C16" s="27" t="s">
        <v>1704</v>
      </c>
      <c r="D16" s="27" t="s">
        <v>1750</v>
      </c>
      <c r="E16" s="27" t="s">
        <v>1751</v>
      </c>
      <c r="F16" s="27" t="s">
        <v>1752</v>
      </c>
    </row>
    <row r="17" customFormat="false" ht="22.35" hidden="false" customHeight="false" outlineLevel="0" collapsed="false">
      <c r="A17" s="27" t="s">
        <v>1753</v>
      </c>
      <c r="B17" s="27" t="s">
        <v>945</v>
      </c>
      <c r="C17" s="27" t="s">
        <v>1737</v>
      </c>
      <c r="D17" s="27" t="s">
        <v>1754</v>
      </c>
      <c r="E17" s="27" t="s">
        <v>1755</v>
      </c>
      <c r="F17" s="27" t="s">
        <v>1756</v>
      </c>
    </row>
    <row r="18" customFormat="false" ht="22.35" hidden="false" customHeight="false" outlineLevel="0" collapsed="false">
      <c r="A18" s="27" t="s">
        <v>1757</v>
      </c>
      <c r="B18" s="27" t="s">
        <v>987</v>
      </c>
      <c r="C18" s="27" t="s">
        <v>1704</v>
      </c>
      <c r="D18" s="27" t="s">
        <v>1758</v>
      </c>
      <c r="E18" s="27" t="s">
        <v>1759</v>
      </c>
      <c r="F18" s="27" t="s">
        <v>1760</v>
      </c>
    </row>
    <row r="19" customFormat="false" ht="22.35" hidden="false" customHeight="false" outlineLevel="0" collapsed="false">
      <c r="A19" s="27" t="s">
        <v>1761</v>
      </c>
      <c r="B19" s="27" t="s">
        <v>1762</v>
      </c>
      <c r="C19" s="27" t="s">
        <v>1704</v>
      </c>
      <c r="D19" s="27" t="s">
        <v>1763</v>
      </c>
      <c r="E19" s="27" t="s">
        <v>1764</v>
      </c>
      <c r="F19" s="27" t="s">
        <v>1765</v>
      </c>
    </row>
    <row r="20" customFormat="false" ht="43.25" hidden="false" customHeight="false" outlineLevel="0" collapsed="false">
      <c r="A20" s="27" t="s">
        <v>1766</v>
      </c>
      <c r="B20" s="27" t="s">
        <v>1767</v>
      </c>
      <c r="C20" s="27" t="s">
        <v>1704</v>
      </c>
      <c r="D20" s="27" t="s">
        <v>1768</v>
      </c>
      <c r="E20" s="27" t="s">
        <v>1769</v>
      </c>
      <c r="F20" s="27" t="s">
        <v>1770</v>
      </c>
    </row>
    <row r="21" customFormat="false" ht="32.8" hidden="false" customHeight="false" outlineLevel="0" collapsed="false">
      <c r="A21" s="27" t="s">
        <v>1771</v>
      </c>
      <c r="B21" s="27" t="s">
        <v>1767</v>
      </c>
      <c r="C21" s="27" t="s">
        <v>1772</v>
      </c>
      <c r="D21" s="27" t="s">
        <v>1773</v>
      </c>
      <c r="E21" s="27" t="s">
        <v>1774</v>
      </c>
      <c r="F21" s="27" t="s">
        <v>1775</v>
      </c>
    </row>
    <row r="22" customFormat="false" ht="22.35" hidden="false" customHeight="false" outlineLevel="0" collapsed="false">
      <c r="A22" s="27" t="s">
        <v>1776</v>
      </c>
      <c r="B22" s="27" t="s">
        <v>1767</v>
      </c>
      <c r="C22" s="27" t="s">
        <v>1704</v>
      </c>
      <c r="D22" s="27" t="s">
        <v>1777</v>
      </c>
      <c r="E22" s="27" t="s">
        <v>1778</v>
      </c>
      <c r="F22" s="27" t="s">
        <v>1779</v>
      </c>
    </row>
    <row r="23" customFormat="false" ht="22.35" hidden="false" customHeight="false" outlineLevel="0" collapsed="false">
      <c r="A23" s="27" t="s">
        <v>1780</v>
      </c>
      <c r="B23" s="27" t="s">
        <v>640</v>
      </c>
      <c r="C23" s="27" t="s">
        <v>1704</v>
      </c>
      <c r="D23" s="27" t="s">
        <v>1781</v>
      </c>
      <c r="E23" s="27" t="s">
        <v>1782</v>
      </c>
      <c r="F23" s="27" t="s">
        <v>1783</v>
      </c>
    </row>
    <row r="24" customFormat="false" ht="22.35" hidden="false" customHeight="false" outlineLevel="0" collapsed="false">
      <c r="A24" s="27" t="s">
        <v>1784</v>
      </c>
      <c r="B24" s="27" t="s">
        <v>1785</v>
      </c>
      <c r="C24" s="27" t="s">
        <v>1737</v>
      </c>
      <c r="D24" s="27" t="s">
        <v>1786</v>
      </c>
      <c r="E24" s="27" t="s">
        <v>1787</v>
      </c>
      <c r="F24" s="27" t="s">
        <v>1788</v>
      </c>
    </row>
    <row r="25" customFormat="false" ht="43.25" hidden="false" customHeight="false" outlineLevel="0" collapsed="false">
      <c r="A25" s="27" t="s">
        <v>1789</v>
      </c>
      <c r="B25" s="27" t="s">
        <v>1790</v>
      </c>
      <c r="C25" s="27" t="s">
        <v>1737</v>
      </c>
      <c r="D25" s="27" t="s">
        <v>1791</v>
      </c>
      <c r="E25" s="27" t="s">
        <v>1792</v>
      </c>
      <c r="F25" s="27" t="s">
        <v>1793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2026-10-07T19:39:57Z</dcterms:created>
  <dc:creator>openpyxl</dc:creator>
  <dc:description/>
  <dc:language>en-US</dc:language>
  <cp:lastModifiedBy>rafael batista de paula</cp:lastModifiedBy>
  <dcterms:modified xsi:type="dcterms:W3CDTF">2026-10-13T15:21:19Z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